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2100" yWindow="1065" windowWidth="18960" windowHeight="12660" activeTab="2"/>
  </bookViews>
  <sheets>
    <sheet name="1.0 Content" sheetId="10" r:id="rId1"/>
    <sheet name="2.0 Calculation Sheet " sheetId="8" r:id="rId2"/>
    <sheet name="3.0 ASCE-10 Tables" sheetId="9" r:id="rId3"/>
  </sheets>
  <externalReferences>
    <externalReference r:id="rId4"/>
    <externalReference r:id="rId5"/>
    <externalReference r:id="rId6"/>
  </externalReferences>
  <definedNames>
    <definedName name="\0" localSheetId="0">#REF!</definedName>
    <definedName name="\0" localSheetId="1">#REF!</definedName>
    <definedName name="\0">#REF!</definedName>
    <definedName name="\c" localSheetId="0">#REF!</definedName>
    <definedName name="\c">#REF!</definedName>
    <definedName name="\e" localSheetId="0">#REF!</definedName>
    <definedName name="\e">#REF!</definedName>
    <definedName name="\f">#REF!</definedName>
    <definedName name="\i">#REF!</definedName>
    <definedName name="\j">#REF!</definedName>
    <definedName name="\m">#REF!</definedName>
    <definedName name="\n">#REF!</definedName>
    <definedName name="\P">#REF!</definedName>
    <definedName name="\s">#REF!</definedName>
    <definedName name="\t">#REF!</definedName>
    <definedName name="\x">#REF!</definedName>
    <definedName name="\z">#REF!</definedName>
    <definedName name="_a5" localSheetId="0">'1.0 Content'!Module1.UNITOK</definedName>
    <definedName name="_a5" localSheetId="1">'2.0 Calculation Sheet '!Module1.UNITOK</definedName>
    <definedName name="_a5">[0]!Module1.UNITOK</definedName>
    <definedName name="_a6" localSheetId="0">'1.0 Content'!UNITOK</definedName>
    <definedName name="_a6" localSheetId="1">'2.0 Calculation Sheet '!UNITOK</definedName>
    <definedName name="_a6">[0]!UNITOK</definedName>
    <definedName name="_APP1" localSheetId="0">#REF!</definedName>
    <definedName name="_APP1" localSheetId="1">#REF!</definedName>
    <definedName name="_APP1">#REF!</definedName>
    <definedName name="_APP2" localSheetId="0">#REF!</definedName>
    <definedName name="_APP2">#REF!</definedName>
    <definedName name="_APP3" localSheetId="0">#REF!</definedName>
    <definedName name="_APP3">#REF!</definedName>
    <definedName name="_APP4">#REF!</definedName>
    <definedName name="_BYE1">#REF!</definedName>
    <definedName name="_BYE2">#REF!</definedName>
    <definedName name="_BYE3">#REF!</definedName>
    <definedName name="_BYE4">#REF!</definedName>
    <definedName name="_CAL1">#REF!</definedName>
    <definedName name="_CAL2">#REF!</definedName>
    <definedName name="_CAL3">#REF!</definedName>
    <definedName name="_CAL4">#REF!</definedName>
    <definedName name="_CAN2" localSheetId="0">'1.0 Content'!_CAN2</definedName>
    <definedName name="_CAN2" localSheetId="1">'2.0 Calculation Sheet '!_CAN2</definedName>
    <definedName name="_CAN2">[0]!_CAN2</definedName>
    <definedName name="_CAN9" localSheetId="0">'1.0 Content'!_CAN9</definedName>
    <definedName name="_CAN9" localSheetId="1">'2.0 Calculation Sheet '!_CAN9</definedName>
    <definedName name="_CAN9">[0]!_CAN9</definedName>
    <definedName name="_CHK1" localSheetId="0">#REF!</definedName>
    <definedName name="_CHK1" localSheetId="1">#REF!</definedName>
    <definedName name="_CHK1">#REF!</definedName>
    <definedName name="_CHK2" localSheetId="0">#REF!</definedName>
    <definedName name="_CHK2">#REF!</definedName>
    <definedName name="_CHK3" localSheetId="0">#REF!</definedName>
    <definedName name="_CHK3">#REF!</definedName>
    <definedName name="_CHK4">#REF!</definedName>
    <definedName name="_DAT1">#REF!</definedName>
    <definedName name="_DAT2">#REF!</definedName>
    <definedName name="_DAT3">#REF!</definedName>
    <definedName name="_DAT4">#REF!</definedName>
    <definedName name="_DCS1">#REF!</definedName>
    <definedName name="_DCS2">#REF!</definedName>
    <definedName name="_ELP1">#REF!</definedName>
    <definedName name="_ELP2">#REF!</definedName>
    <definedName name="_ELP3">#REF!</definedName>
    <definedName name="_ELP4">#REF!</definedName>
    <definedName name="_FDT1">#REF!</definedName>
    <definedName name="_FDT2">#REF!</definedName>
    <definedName name="_FDT3">#REF!</definedName>
    <definedName name="_FDT4">#REF!</definedName>
    <definedName name="_HMB1">#REF!</definedName>
    <definedName name="_HMB2">#REF!</definedName>
    <definedName name="_IMP1">#REF!</definedName>
    <definedName name="_IMP2">#REF!</definedName>
    <definedName name="_IMP5">#REF!</definedName>
    <definedName name="_LIQ1">#REF!</definedName>
    <definedName name="_LIQ2">#REF!</definedName>
    <definedName name="_LIQ3">#REF!</definedName>
    <definedName name="_LIQ4">#REF!</definedName>
    <definedName name="_ODP1">#REF!</definedName>
    <definedName name="_ODP2">#REF!</definedName>
    <definedName name="_ODP3">#REF!</definedName>
    <definedName name="_ODP4">#REF!</definedName>
    <definedName name="_OPT8" localSheetId="0">'1.0 Content'!_OPT8</definedName>
    <definedName name="_OPT8" localSheetId="1">'2.0 Calculation Sheet '!_OPT8</definedName>
    <definedName name="_OPT8">[0]!_OPT8</definedName>
    <definedName name="_OPT9" localSheetId="0">'1.0 Content'!_OPT9</definedName>
    <definedName name="_OPT9" localSheetId="1">'2.0 Calculation Sheet '!_OPT9</definedName>
    <definedName name="_OPT9">[0]!_OPT9</definedName>
    <definedName name="_RAT1" localSheetId="0">#REF!</definedName>
    <definedName name="_RAT1" localSheetId="1">#REF!</definedName>
    <definedName name="_RAT1">#REF!</definedName>
    <definedName name="_RAT2" localSheetId="0">#REF!</definedName>
    <definedName name="_RAT2">#REF!</definedName>
    <definedName name="_RAT3" localSheetId="0">#REF!</definedName>
    <definedName name="_RAT3">#REF!</definedName>
    <definedName name="_RAT4">#REF!</definedName>
    <definedName name="_REV1" localSheetId="0">"Texte 161"</definedName>
    <definedName name="_REV1">#REF!</definedName>
    <definedName name="_REV2" localSheetId="0">"Texte 173"</definedName>
    <definedName name="_REV2">#REF!</definedName>
    <definedName name="_REV3" localSheetId="0">"Texte 167"</definedName>
    <definedName name="_REV3">#REF!</definedName>
    <definedName name="_REV4" localSheetId="0">"Texte 179"</definedName>
    <definedName name="_REV4">#REF!</definedName>
    <definedName name="_UPP1" localSheetId="0">#REF!</definedName>
    <definedName name="_UPP1">#REF!</definedName>
    <definedName name="_UPP2" localSheetId="0">#REF!</definedName>
    <definedName name="_UPP2">#REF!</definedName>
    <definedName name="_UPP3" localSheetId="0">#REF!</definedName>
    <definedName name="_UPP3">#REF!</definedName>
    <definedName name="_UPP4">#REF!</definedName>
    <definedName name="_VIS1">#REF!</definedName>
    <definedName name="_VIS2">#REF!</definedName>
    <definedName name="_VIS3">#REF!</definedName>
    <definedName name="_VIS4">#REF!</definedName>
    <definedName name="_VP1">#REF!</definedName>
    <definedName name="_VP2">#REF!</definedName>
    <definedName name="_VP3">#REF!</definedName>
    <definedName name="_VP4">#REF!</definedName>
    <definedName name="ABPOW1">#REF!</definedName>
    <definedName name="ABPOW2">#REF!</definedName>
    <definedName name="ABPOW3">#REF!</definedName>
    <definedName name="ABPOW4">#REF!</definedName>
    <definedName name="ABPOWR">#REF!</definedName>
    <definedName name="aff" localSheetId="0">'[1]LV induction motors'!#REF!</definedName>
    <definedName name="aff">'[1]LV induction motors'!#REF!</definedName>
    <definedName name="ANPSH1" localSheetId="0">#REF!</definedName>
    <definedName name="ANPSH1">#REF!</definedName>
    <definedName name="ANPSH2" localSheetId="0">#REF!</definedName>
    <definedName name="ANPSH2">#REF!</definedName>
    <definedName name="ANPSH3" localSheetId="0">#REF!</definedName>
    <definedName name="ANPSH3">#REF!</definedName>
    <definedName name="ANPSH4">#REF!</definedName>
    <definedName name="ANPSHR">#REF!</definedName>
    <definedName name="APAGE">#REF!</definedName>
    <definedName name="APPROUVE1">"Texte 166"</definedName>
    <definedName name="APPROUVE2">"Texte 178"</definedName>
    <definedName name="APPROUVE3">"Texte 172"</definedName>
    <definedName name="APPROUVE4">"Texte 184"</definedName>
    <definedName name="AREA" localSheetId="0">#REF!</definedName>
    <definedName name="AREA">#REF!</definedName>
    <definedName name="AUTRE_REF">"Texte 152"</definedName>
    <definedName name="BLKPAGE" localSheetId="0">#REF!</definedName>
    <definedName name="BLKPAGE">#REF!</definedName>
    <definedName name="BPAGE" localSheetId="0">#REF!</definedName>
    <definedName name="BPAGE">#REF!</definedName>
    <definedName name="C_" localSheetId="0">#REF!</definedName>
    <definedName name="C_">#REF!</definedName>
    <definedName name="CAL">#REF!</definedName>
    <definedName name="CALC2A">#REF!</definedName>
    <definedName name="CALC2B">#REF!</definedName>
    <definedName name="CALC2C">#REF!</definedName>
    <definedName name="CALC3A">#REF!</definedName>
    <definedName name="CALC3B">#REF!</definedName>
    <definedName name="CALC3C">#REF!</definedName>
    <definedName name="CALC4A">#REF!</definedName>
    <definedName name="CALC4B">#REF!</definedName>
    <definedName name="CALC4C">#REF!</definedName>
    <definedName name="CALCP1">#REF!</definedName>
    <definedName name="CALCP2">#REF!</definedName>
    <definedName name="CALCP3">#REF!</definedName>
    <definedName name="CALCR1">#REF!</definedName>
    <definedName name="CALCR2">#REF!</definedName>
    <definedName name="CASE1D">#REF!</definedName>
    <definedName name="CASE1U">#REF!</definedName>
    <definedName name="CASE2D">#REF!</definedName>
    <definedName name="CASE2U">#REF!</definedName>
    <definedName name="CASE3D">#REF!</definedName>
    <definedName name="CASE3U">#REF!</definedName>
    <definedName name="CASE4D">#REF!</definedName>
    <definedName name="CASE4U">#REF!</definedName>
    <definedName name="CASENO">#REF!</definedName>
    <definedName name="CASENUM">#REF!</definedName>
    <definedName name="CASEQ">#REF!</definedName>
    <definedName name="CHCOPY">#REF!</definedName>
    <definedName name="CHECK">#REF!</definedName>
    <definedName name="CLEANUP">#REF!</definedName>
    <definedName name="CLIENT">#REF!</definedName>
    <definedName name="CLIENT1">"Texte 153"</definedName>
    <definedName name="CLIENT2">"Texte 154"</definedName>
    <definedName name="CNAME1" localSheetId="0">#REF!</definedName>
    <definedName name="CNAME1">#REF!</definedName>
    <definedName name="CNAME2" localSheetId="0">#REF!</definedName>
    <definedName name="CNAME2">#REF!</definedName>
    <definedName name="CNAME3" localSheetId="0">#REF!</definedName>
    <definedName name="CNAME3">#REF!</definedName>
    <definedName name="CNAME4">#REF!</definedName>
    <definedName name="CODP1">#REF!</definedName>
    <definedName name="CODP2">#REF!</definedName>
    <definedName name="CODP3">#REF!</definedName>
    <definedName name="CODP4">#REF!</definedName>
    <definedName name="CODPR">#REF!</definedName>
    <definedName name="CON">#REF!</definedName>
    <definedName name="CORRC">#REF!</definedName>
    <definedName name="CPAGE">#REF!</definedName>
    <definedName name="_xlnm.Criteria">#REF!</definedName>
    <definedName name="CVDP1">#REF!</definedName>
    <definedName name="CVDP2">#REF!</definedName>
    <definedName name="CVDP3">#REF!</definedName>
    <definedName name="CVDP4">#REF!</definedName>
    <definedName name="CVDPR">#REF!</definedName>
    <definedName name="DATA1D">#REF!</definedName>
    <definedName name="DATA1U">#REF!</definedName>
    <definedName name="DATA2D">#REF!</definedName>
    <definedName name="DATA2U">#REF!</definedName>
    <definedName name="DATA3D">#REF!</definedName>
    <definedName name="DATA3U">#REF!</definedName>
    <definedName name="DATA4D">#REF!</definedName>
    <definedName name="DATA4U">#REF!</definedName>
    <definedName name="_xlnm.Database">#REF!</definedName>
    <definedName name="DATE">#REF!</definedName>
    <definedName name="DATE1">"Texte 162"</definedName>
    <definedName name="DATE2">"Texte 174"</definedName>
    <definedName name="DATE3">"Texte 168"</definedName>
    <definedName name="DATE4">"Texte 180"</definedName>
    <definedName name="DCCASE1" localSheetId="0">#REF!</definedName>
    <definedName name="DCCASE1">#REF!</definedName>
    <definedName name="DCCASE2" localSheetId="0">#REF!</definedName>
    <definedName name="DCCASE2">#REF!</definedName>
    <definedName name="DCDATA1" localSheetId="0">#REF!</definedName>
    <definedName name="DCDATA1">#REF!</definedName>
    <definedName name="DCDATA2">#REF!</definedName>
    <definedName name="DCDOWN">#REF!</definedName>
    <definedName name="DCEND">#REF!</definedName>
    <definedName name="DCF">#REF!</definedName>
    <definedName name="DCFILE1">#REF!</definedName>
    <definedName name="DCFILE2">#REF!</definedName>
    <definedName name="DCFNO1">#REF!</definedName>
    <definedName name="DCFNO2">#REF!</definedName>
    <definedName name="DCSNO1">#REF!</definedName>
    <definedName name="DCSNO2">#REF!</definedName>
    <definedName name="DCSTRM1">#REF!</definedName>
    <definedName name="DCSTRM2">#REF!</definedName>
    <definedName name="DCUP">#REF!</definedName>
    <definedName name="DELPS">#REF!</definedName>
    <definedName name="DENS1">#REF!</definedName>
    <definedName name="DENS2">#REF!</definedName>
    <definedName name="DENS3">#REF!</definedName>
    <definedName name="DENS4">#REF!</definedName>
    <definedName name="DENSR">#REF!</definedName>
    <definedName name="DESIGNATION1">"Texte 163"</definedName>
    <definedName name="DESIGNATION2">"Texte 175"</definedName>
    <definedName name="DESIGNATION3">"Texte 169"</definedName>
    <definedName name="DESIGNATION4">"Texte 181"</definedName>
    <definedName name="DFDP1" localSheetId="0">#REF!</definedName>
    <definedName name="DFDP1">#REF!</definedName>
    <definedName name="DFDP2" localSheetId="0">#REF!</definedName>
    <definedName name="DFDP2">#REF!</definedName>
    <definedName name="DFDP3" localSheetId="0">#REF!</definedName>
    <definedName name="DFDP3">#REF!</definedName>
    <definedName name="DFDP4">#REF!</definedName>
    <definedName name="DFDPR">#REF!</definedName>
    <definedName name="DISP1">#REF!</definedName>
    <definedName name="DISP2">#REF!</definedName>
    <definedName name="DISP3">#REF!</definedName>
    <definedName name="DISP4">#REF!</definedName>
    <definedName name="DISPR">#REF!</definedName>
    <definedName name="DOCNO">#REF!</definedName>
    <definedName name="DOWNP1">#REF!</definedName>
    <definedName name="DOWNP2">#REF!</definedName>
    <definedName name="DOWNP3">#REF!</definedName>
    <definedName name="DOWNP4">#REF!</definedName>
    <definedName name="DOWNPR">#REF!</definedName>
    <definedName name="DPAGE">#REF!</definedName>
    <definedName name="DRIVE">#REF!</definedName>
    <definedName name="DRIVER">#REF!</definedName>
    <definedName name="DSTHD">#REF!</definedName>
    <definedName name="DSTHD1">#REF!</definedName>
    <definedName name="DSTHD2">#REF!</definedName>
    <definedName name="DSTHD3">#REF!</definedName>
    <definedName name="DSTHD4">#REF!</definedName>
    <definedName name="DSTHDR">#REF!</definedName>
    <definedName name="DSTITLE">#REF!</definedName>
    <definedName name="ELPR">#REF!</definedName>
    <definedName name="EPAGE">#REF!</definedName>
    <definedName name="EQDP1">#REF!</definedName>
    <definedName name="EQDP2">#REF!</definedName>
    <definedName name="EQDP3">#REF!</definedName>
    <definedName name="EQDP4">#REF!</definedName>
    <definedName name="EQDPR">#REF!</definedName>
    <definedName name="EQUIP1">#REF!</definedName>
    <definedName name="EQUIP2">#REF!</definedName>
    <definedName name="EQUIPMENTLIST">#REF!</definedName>
    <definedName name="EQUIPMENTLISTINDEX">#REF!</definedName>
    <definedName name="EQUIPNO">#REF!</definedName>
    <definedName name="ERASE1">#REF!</definedName>
    <definedName name="ERASE2">#REF!</definedName>
    <definedName name="ERASE3">#REF!</definedName>
    <definedName name="ERASE4">#REF!</definedName>
    <definedName name="ETABLI1">"Texte 164"</definedName>
    <definedName name="ETABLI2">"Texte 176"</definedName>
    <definedName name="ETABLI3">"Texte 170"</definedName>
    <definedName name="ETABLI4">"Texte 182"</definedName>
    <definedName name="EXDP1" localSheetId="0">#REF!</definedName>
    <definedName name="EXDP1">#REF!</definedName>
    <definedName name="EXDP2" localSheetId="0">#REF!</definedName>
    <definedName name="EXDP2">#REF!</definedName>
    <definedName name="EXDP3" localSheetId="0">#REF!</definedName>
    <definedName name="EXDP3">#REF!</definedName>
    <definedName name="EXDP4">#REF!</definedName>
    <definedName name="EXDPR">#REF!</definedName>
    <definedName name="FILENAME">#REF!</definedName>
    <definedName name="fin">"Texte 2,Texte 3,Texte 4,Texte 5,Texte 6,Texte 7,Texte 8,Texte 9,Texte 10,Texte 11,Texte 12,Texte 13,Texte 14,Trait 15,Trait 16,Trait 17,Trait 18,Trait 19,Trait 20,Trait 21,Trait 22,Trait 23,Rectangle 24,Trait 25,Rectangle 26,Texte 1"</definedName>
    <definedName name="FLG_RATING_TEMP">#REF!</definedName>
    <definedName name="FLGMAT150">#REF!</definedName>
    <definedName name="FLGMAT1500">#REF!</definedName>
    <definedName name="FLGMAT2500">#REF!</definedName>
    <definedName name="FLGMAT300">#REF!</definedName>
    <definedName name="FLGMAT400">#REF!</definedName>
    <definedName name="FLGMAT600">#REF!</definedName>
    <definedName name="FLGMAT900">#REF!</definedName>
    <definedName name="FPAGE" localSheetId="0">#REF!</definedName>
    <definedName name="FPAGE">#REF!</definedName>
    <definedName name="Ft_Fac" localSheetId="0">#REF!</definedName>
    <definedName name="Ft_Fac">#REF!</definedName>
    <definedName name="fv" localSheetId="0">#REF!</definedName>
    <definedName name="fv">#REF!</definedName>
    <definedName name="GETCASE">#REF!</definedName>
    <definedName name="GETCN">#REF!</definedName>
    <definedName name="HEADER">#REF!</definedName>
    <definedName name="HEADINGS">#REF!</definedName>
    <definedName name="Hor_regime">#REF!</definedName>
    <definedName name="HYDP1">#REF!</definedName>
    <definedName name="HYDP2">#REF!</definedName>
    <definedName name="HYDP3">#REF!</definedName>
    <definedName name="HYDP4">#REF!</definedName>
    <definedName name="HYDPR">#REF!</definedName>
    <definedName name="I">"Texte 149"</definedName>
    <definedName name="IMP0" localSheetId="0">#REF!</definedName>
    <definedName name="IMP0">#REF!</definedName>
    <definedName name="IMPC1D" localSheetId="0">#REF!</definedName>
    <definedName name="IMPC1D">#REF!</definedName>
    <definedName name="IMPC1U" localSheetId="0">#REF!</definedName>
    <definedName name="IMPC1U">#REF!</definedName>
    <definedName name="IMPC2D">#REF!</definedName>
    <definedName name="IMPC2U">#REF!</definedName>
    <definedName name="IMPC3D">#REF!</definedName>
    <definedName name="IMPC3U">#REF!</definedName>
    <definedName name="IMPC4D">#REF!</definedName>
    <definedName name="IMPC4U">#REF!</definedName>
    <definedName name="IMPEND">#REF!</definedName>
    <definedName name="IMPMENU">#REF!</definedName>
    <definedName name="INDP">#REF!</definedName>
    <definedName name="ITEM">"Texte 185"</definedName>
    <definedName name="JOB" localSheetId="0">#REF!</definedName>
    <definedName name="JOB">#REF!</definedName>
    <definedName name="Legend" localSheetId="0">#REF!</definedName>
    <definedName name="Legend">#REF!</definedName>
    <definedName name="LIEU1">"Texte 157"</definedName>
    <definedName name="LIEU2">"Texte 158"</definedName>
    <definedName name="Liq_Crit_Col" localSheetId="0">#REF!</definedName>
    <definedName name="Liq_Crit_Col">#REF!</definedName>
    <definedName name="Liq_Crit_Head" localSheetId="0">#REF!</definedName>
    <definedName name="Liq_Crit_Head">#REF!</definedName>
    <definedName name="Liq_pr_col" localSheetId="0">#REF!</definedName>
    <definedName name="Liq_pr_col">#REF!</definedName>
    <definedName name="liq_pr_dr_crit">#REF!</definedName>
    <definedName name="Liq_pr_head">#REF!</definedName>
    <definedName name="Liq_Vel_Crit">#REF!</definedName>
    <definedName name="LIQR">#REF!</definedName>
    <definedName name="Lq._Fr._No.">#REF!</definedName>
    <definedName name="MACRO">#REF!</definedName>
    <definedName name="Macro1">[0]!Macro1</definedName>
    <definedName name="Macro20">[0]!Macro20</definedName>
    <definedName name="MACROS" localSheetId="0">#REF!</definedName>
    <definedName name="MACROS">#REF!</definedName>
    <definedName name="MARGDP1" localSheetId="0">#REF!</definedName>
    <definedName name="MARGDP1">#REF!</definedName>
    <definedName name="MARGDP2" localSheetId="0">#REF!</definedName>
    <definedName name="MARGDP2">#REF!</definedName>
    <definedName name="MARGDP3">#REF!</definedName>
    <definedName name="MARGDP4">#REF!</definedName>
    <definedName name="MARGDPR">#REF!</definedName>
    <definedName name="MARGIN1">#REF!</definedName>
    <definedName name="MARGIN2">#REF!</definedName>
    <definedName name="MARGIN3">#REF!</definedName>
    <definedName name="MARGIN4">#REF!</definedName>
    <definedName name="MARGINR">#REF!</definedName>
    <definedName name="MAXDNP">#REF!</definedName>
    <definedName name="MAXDNT">#REF!</definedName>
    <definedName name="MAXSP1">#REF!</definedName>
    <definedName name="MAXSP2">#REF!</definedName>
    <definedName name="MAXSP3">#REF!</definedName>
    <definedName name="MAXSP4">#REF!</definedName>
    <definedName name="MAXSPR">#REF!</definedName>
    <definedName name="MAXUPP">#REF!</definedName>
    <definedName name="MAXUPT">#REF!</definedName>
    <definedName name="MENU1">#REF!</definedName>
    <definedName name="METDP1">#REF!</definedName>
    <definedName name="METDP2">#REF!</definedName>
    <definedName name="METDP3">#REF!</definedName>
    <definedName name="METDP4">#REF!</definedName>
    <definedName name="METDPR">#REF!</definedName>
    <definedName name="MINDNT">#REF!</definedName>
    <definedName name="MINUPT">#REF!</definedName>
    <definedName name="MISDP1">#REF!</definedName>
    <definedName name="MISDP2">#REF!</definedName>
    <definedName name="MISDP3">#REF!</definedName>
    <definedName name="MISDP4">#REF!</definedName>
    <definedName name="MISDPR">#REF!</definedName>
    <definedName name="Module1.NOTES" localSheetId="0">'1.0 Content'!Module1.NOTES</definedName>
    <definedName name="Module1.NOTES" localSheetId="1">'2.0 Calculation Sheet '!Module1.NOTES</definedName>
    <definedName name="Module1.NOTES">[0]!Module1.NOTES</definedName>
    <definedName name="Module1.UNITOK" localSheetId="0">'1.0 Content'!Module1.UNITOK</definedName>
    <definedName name="Module1.UNITOK" localSheetId="1">'2.0 Calculation Sheet '!Module1.UNITOK</definedName>
    <definedName name="Module1.UNITOK">'2.0 Calculation Sheet '!Module1.UNITOK</definedName>
    <definedName name="motor" localSheetId="0">#REF!</definedName>
    <definedName name="motor" localSheetId="1">#REF!</definedName>
    <definedName name="motor">#REF!</definedName>
    <definedName name="MP_CLIENTREVISION0" localSheetId="0">#REF!</definedName>
    <definedName name="MP_CLIENTREVISION0" localSheetId="1">#REF!</definedName>
    <definedName name="MP_CLIENTREVISION0">#REF!</definedName>
    <definedName name="MP_CLIENTREVISION1" localSheetId="0">#REF!</definedName>
    <definedName name="MP_CLIENTREVISION1">#REF!</definedName>
    <definedName name="MP_CLIENTREVISION2">#REF!</definedName>
    <definedName name="MP_DOCAPPROVER0">#REF!</definedName>
    <definedName name="MP_DOCAPPROVER1">#REF!</definedName>
    <definedName name="MP_DOCAPPROVER2">#REF!</definedName>
    <definedName name="MP_DOCCHECKER0">#REF!</definedName>
    <definedName name="MP_DOCCHECKER1">#REF!</definedName>
    <definedName name="MP_DOCCHECKER2">#REF!</definedName>
    <definedName name="MP_DOCID">#REF!</definedName>
    <definedName name="MP_DOCISSSTADAT">#REF!</definedName>
    <definedName name="MP_DOCISSSTADAT0">#REF!</definedName>
    <definedName name="MP_DOCISSSTADAT1">#REF!</definedName>
    <definedName name="MP_DOCISSSTADAT2">#REF!</definedName>
    <definedName name="MP_DOCREVDES0">#REF!</definedName>
    <definedName name="MP_DOCREVDES1">#REF!</definedName>
    <definedName name="MP_DOCREVDES2">#REF!</definedName>
    <definedName name="MP_EQ_002">#REF!</definedName>
    <definedName name="MP_EQ_003">#REF!</definedName>
    <definedName name="MP_EQ_004">#REF!</definedName>
    <definedName name="MP_EQ_005">#REF!</definedName>
    <definedName name="MP_EQ_006">#REF!</definedName>
    <definedName name="MP_EQ_007">#REF!</definedName>
    <definedName name="MP_EQ_008">#REF!</definedName>
    <definedName name="MP_EQ_009">#REF!</definedName>
    <definedName name="MP_EQ_010">#REF!</definedName>
    <definedName name="MP_EQ_011">#REF!</definedName>
    <definedName name="MP_EQ_012">#REF!</definedName>
    <definedName name="MP_EQ_013">#REF!</definedName>
    <definedName name="MP_EQ_014">#REF!</definedName>
    <definedName name="MP_EQ_015">#REF!</definedName>
    <definedName name="MP_EQ_016">#REF!</definedName>
    <definedName name="MP_EQ_017">#REF!</definedName>
    <definedName name="MP_EQ_018">#REF!</definedName>
    <definedName name="MP_EQ_019">#REF!</definedName>
    <definedName name="MP_EQ_020">#REF!</definedName>
    <definedName name="MP_EQ_021">#REF!</definedName>
    <definedName name="MP_EQ_022">#REF!</definedName>
    <definedName name="MP_EQ_023">#REF!</definedName>
    <definedName name="MP_EQ_024">#REF!</definedName>
    <definedName name="MP_EQ_025">#REF!</definedName>
    <definedName name="MP_EQ_026">#REF!</definedName>
    <definedName name="MP_EQ_027">#REF!</definedName>
    <definedName name="MP_EQ_028">#REF!</definedName>
    <definedName name="MP_EQ_029">#REF!</definedName>
    <definedName name="MP_EQ_030">#REF!</definedName>
    <definedName name="MP_EQ_031">#REF!</definedName>
    <definedName name="MP_EQ_032">#REF!</definedName>
    <definedName name="MP_EQ_033">#REF!</definedName>
    <definedName name="MP_EQ_034">#REF!</definedName>
    <definedName name="MP_EQ_035">#REF!</definedName>
    <definedName name="MP_EQ_036">#REF!</definedName>
    <definedName name="MP_EQ_037">#REF!</definedName>
    <definedName name="MP_EQ_038">#REF!</definedName>
    <definedName name="MP_EQ_039">#REF!</definedName>
    <definedName name="MP_EQ_040">#REF!</definedName>
    <definedName name="MP_EQ_041">#REF!</definedName>
    <definedName name="MP_EQ_042">#REF!</definedName>
    <definedName name="MP_EQ_043">#REF!</definedName>
    <definedName name="MP_EQ_044">#REF!</definedName>
    <definedName name="MP_EQ_045">#REF!</definedName>
    <definedName name="MP_EQ_046">#REF!</definedName>
    <definedName name="MP_EQ_047">#REF!</definedName>
    <definedName name="MP_EQ_048">#REF!</definedName>
    <definedName name="MP_EQ_049">#REF!</definedName>
    <definedName name="MP_EQ_050">#REF!</definedName>
    <definedName name="MP_EQDESC_002">#REF!</definedName>
    <definedName name="MP_EQDESC_003">#REF!</definedName>
    <definedName name="MP_EQDESC_004">#REF!</definedName>
    <definedName name="MP_EQDESC_005">#REF!</definedName>
    <definedName name="MP_EQDESC_006">#REF!</definedName>
    <definedName name="MP_EQDESC_007">#REF!</definedName>
    <definedName name="MP_EQDESC_008">#REF!</definedName>
    <definedName name="MP_EQDESC_009">#REF!</definedName>
    <definedName name="MP_EQDESC_010">#REF!</definedName>
    <definedName name="MP_EQDESC_011">#REF!</definedName>
    <definedName name="MP_EQDESC_012">#REF!</definedName>
    <definedName name="MP_EQDESC_013">#REF!</definedName>
    <definedName name="MP_EQDESC_014">#REF!</definedName>
    <definedName name="MP_EQDESC_015">#REF!</definedName>
    <definedName name="MP_EQDESC_016">#REF!</definedName>
    <definedName name="MP_EQDESC_017">#REF!</definedName>
    <definedName name="MP_EQDESC_018">#REF!</definedName>
    <definedName name="MP_EQDESC_019">#REF!</definedName>
    <definedName name="MP_EQDESC_020">#REF!</definedName>
    <definedName name="MP_EQDESC_021">#REF!</definedName>
    <definedName name="MP_EQDESC_022">#REF!</definedName>
    <definedName name="MP_EQDESC_023">#REF!</definedName>
    <definedName name="MP_EQDESC_024">#REF!</definedName>
    <definedName name="MP_EQDESC_025">#REF!</definedName>
    <definedName name="MP_EQDESC_026">#REF!</definedName>
    <definedName name="MP_EQDESC_027">#REF!</definedName>
    <definedName name="MP_EQDESC_028">#REF!</definedName>
    <definedName name="MP_EQDESC_029">#REF!</definedName>
    <definedName name="MP_EQDESC_030">#REF!</definedName>
    <definedName name="MP_EQDESC_031">#REF!</definedName>
    <definedName name="MP_EQDESC_032">#REF!</definedName>
    <definedName name="MP_EQDESC_033">#REF!</definedName>
    <definedName name="MP_EQDESC_034">#REF!</definedName>
    <definedName name="MP_EQDESC_035">#REF!</definedName>
    <definedName name="MP_EQDESC_036">#REF!</definedName>
    <definedName name="MP_EQDESC_037">#REF!</definedName>
    <definedName name="MP_EQDESC_038">#REF!</definedName>
    <definedName name="MP_EQDESC_039">#REF!</definedName>
    <definedName name="MP_EQDESC_040">#REF!</definedName>
    <definedName name="MP_EQDESC_041">#REF!</definedName>
    <definedName name="MP_EQDESC_042">#REF!</definedName>
    <definedName name="MP_EQDESC_043">#REF!</definedName>
    <definedName name="MP_EQDESC_044">#REF!</definedName>
    <definedName name="MP_EQDESC_045">#REF!</definedName>
    <definedName name="MP_EQDESC_046">#REF!</definedName>
    <definedName name="MP_EQDESC_047">#REF!</definedName>
    <definedName name="MP_EQDESC_048">#REF!</definedName>
    <definedName name="MP_EQDESC_049">#REF!</definedName>
    <definedName name="MP_EQDESC_050">#REF!</definedName>
    <definedName name="MP_EQUIPDESC">#REF!</definedName>
    <definedName name="MP_EQUIPNR">#REF!</definedName>
    <definedName name="MP_EXTREVISION">#REF!</definedName>
    <definedName name="MP_ORIGIN0">#REF!</definedName>
    <definedName name="MP_ORIGIN1">#REF!</definedName>
    <definedName name="MP_ORIGIN2">#REF!</definedName>
    <definedName name="MP_PROCLIENT">#REF!</definedName>
    <definedName name="MP_PROJECTNAME">#REF!</definedName>
    <definedName name="MP_PROLOCATION">#REF!</definedName>
    <definedName name="MP_PROSHORTNAME">#REF!</definedName>
    <definedName name="MP_REQSUBCNO">#REF!</definedName>
    <definedName name="MP_WRDSENDERGRPCOD">#REF!</definedName>
    <definedName name="naff">[2]Alternator!#REF!</definedName>
    <definedName name="NETP1" localSheetId="0">#REF!</definedName>
    <definedName name="NETP1">#REF!</definedName>
    <definedName name="NETP2" localSheetId="0">#REF!</definedName>
    <definedName name="NETP2">#REF!</definedName>
    <definedName name="NETP3" localSheetId="0">#REF!</definedName>
    <definedName name="NETP3">#REF!</definedName>
    <definedName name="NETP4">#REF!</definedName>
    <definedName name="NETPR">#REF!</definedName>
    <definedName name="NOMDOC">'[1]LV induction motors'!#REF!</definedName>
    <definedName name="NoPlan">"Texte 148"</definedName>
    <definedName name="NOTE" localSheetId="0">#REF!</definedName>
    <definedName name="NOTE">#REF!</definedName>
    <definedName name="NOTE0" localSheetId="0">#REF!</definedName>
    <definedName name="NOTE0">#REF!</definedName>
    <definedName name="NOTE1" localSheetId="0">#REF!</definedName>
    <definedName name="NOTE1">#REF!</definedName>
    <definedName name="NOTE4">#REF!</definedName>
    <definedName name="NOTESPC">#REF!</definedName>
    <definedName name="NPSHAV1">#REF!</definedName>
    <definedName name="NPSHAV2">#REF!</definedName>
    <definedName name="NPSHAV3">#REF!</definedName>
    <definedName name="NPSHAV4">#REF!</definedName>
    <definedName name="NPSHAVR">#REF!</definedName>
    <definedName name="NTMENU">#REF!</definedName>
    <definedName name="NUMSPEC">[2]Alternator!#REF!</definedName>
    <definedName name="ODPR" localSheetId="0">#REF!</definedName>
    <definedName name="ODPR">#REF!</definedName>
    <definedName name="OUTDP" localSheetId="0">#REF!</definedName>
    <definedName name="OUTDP">#REF!</definedName>
    <definedName name="PAGE">"Texte 150"</definedName>
    <definedName name="PAGE1" localSheetId="0">#REF!</definedName>
    <definedName name="PAGE1">#REF!</definedName>
    <definedName name="PAGE2" localSheetId="0">#REF!</definedName>
    <definedName name="PAGE2">#REF!</definedName>
    <definedName name="PAGE3" localSheetId="0">#REF!</definedName>
    <definedName name="PAGE3">#REF!</definedName>
    <definedName name="PAGE4">#REF!</definedName>
    <definedName name="PAGE7">#REF!</definedName>
    <definedName name="PCALCR">#REF!</definedName>
    <definedName name="PEFF1">#REF!</definedName>
    <definedName name="PEFF2">#REF!</definedName>
    <definedName name="PEFF3">#REF!</definedName>
    <definedName name="PEFF4">#REF!</definedName>
    <definedName name="PEFFR">#REF!</definedName>
    <definedName name="PERC1">#REF!</definedName>
    <definedName name="PERC2">#REF!</definedName>
    <definedName name="PERC3">#REF!</definedName>
    <definedName name="PERC4">#REF!</definedName>
    <definedName name="PERCENT">#REF!</definedName>
    <definedName name="PERMES">#REF!</definedName>
    <definedName name="PRCALC1">#REF!</definedName>
    <definedName name="PRCALC2">#REF!</definedName>
    <definedName name="PRCALC3">#REF!</definedName>
    <definedName name="PRCALC4">#REF!</definedName>
    <definedName name="Pressure_Drop_Criteria">#REF!</definedName>
    <definedName name="Pressure_Drop_Size">#REF!</definedName>
    <definedName name="Pressure_Drop_Type">#REF!</definedName>
    <definedName name="_xlnm.Print_Area" localSheetId="0">'1.0 Content'!$A$1:$J$124</definedName>
    <definedName name="_xlnm.Print_Area" localSheetId="1">'2.0 Calculation Sheet '!$A$1:$S$45</definedName>
    <definedName name="Print_Area_MI" localSheetId="0">#REF!</definedName>
    <definedName name="Print_Area_MI" localSheetId="1">#REF!</definedName>
    <definedName name="Print_Area_MI">#REF!</definedName>
    <definedName name="_xlnm.Print_Titles" localSheetId="0">'1.0 Content'!$31:$32</definedName>
    <definedName name="PRINT1" localSheetId="0">#REF!</definedName>
    <definedName name="PRINT1">#REF!</definedName>
    <definedName name="PRINT2" localSheetId="0">#REF!</definedName>
    <definedName name="PRINT2">#REF!</definedName>
    <definedName name="PRINT3" localSheetId="0">#REF!</definedName>
    <definedName name="PRINT3">#REF!</definedName>
    <definedName name="PRINTD">#REF!</definedName>
    <definedName name="PRNTEND">#REF!</definedName>
    <definedName name="PRNTMSG">#REF!</definedName>
    <definedName name="PRNTSCRN">#REF!</definedName>
    <definedName name="PROJECT">#REF!</definedName>
    <definedName name="PUMPDP1">#REF!</definedName>
    <definedName name="PUMPDP2">#REF!</definedName>
    <definedName name="PUMPDP3">#REF!</definedName>
    <definedName name="PUMPDP4">#REF!</definedName>
    <definedName name="PUMPDPR">#REF!</definedName>
    <definedName name="PUMPHD1">#REF!</definedName>
    <definedName name="PUMPHD2">#REF!</definedName>
    <definedName name="PUMPHD3">#REF!</definedName>
    <definedName name="PUMPHD4">#REF!</definedName>
    <definedName name="PUMPHDR">#REF!</definedName>
    <definedName name="QUIT">#REF!</definedName>
    <definedName name="RATED">#REF!</definedName>
    <definedName name="RATNO1">#REF!</definedName>
    <definedName name="RATNO2">#REF!</definedName>
    <definedName name="REF_CLIENT1">"Texte 155"</definedName>
    <definedName name="REF_CLIENT2">"Texte 156"</definedName>
    <definedName name="RESET" localSheetId="0">#REF!</definedName>
    <definedName name="RESET">#REF!</definedName>
    <definedName name="REV" localSheetId="0">#REF!</definedName>
    <definedName name="REV">#REF!</definedName>
    <definedName name="Révision">#REF!</definedName>
    <definedName name="REVNAME1">#REF!</definedName>
    <definedName name="REVNAME2">#REF!</definedName>
    <definedName name="REVNAME3">#REF!</definedName>
    <definedName name="REVNAME4">#REF!</definedName>
    <definedName name="REVNO">#REF!</definedName>
    <definedName name="RNT">#REF!</definedName>
    <definedName name="RSOFF1">#REF!</definedName>
    <definedName name="RSOFF2">#REF!</definedName>
    <definedName name="RSOFF3">#REF!</definedName>
    <definedName name="RSOFF4">#REF!</definedName>
    <definedName name="RSOFFR">#REF!</definedName>
    <definedName name="RTBRNCH">#REF!</definedName>
    <definedName name="SAVE">#REF!</definedName>
    <definedName name="Schedule">#REF!</definedName>
    <definedName name="sds">#REF!</definedName>
    <definedName name="SERVICE">"Texte 151"</definedName>
    <definedName name="SET" localSheetId="0">#REF!</definedName>
    <definedName name="SET">#REF!</definedName>
    <definedName name="SET0" localSheetId="0">#REF!</definedName>
    <definedName name="SET0">#REF!</definedName>
    <definedName name="SFDP1" localSheetId="0">#REF!</definedName>
    <definedName name="SFDP1">#REF!</definedName>
    <definedName name="SFDP2">#REF!</definedName>
    <definedName name="SFDP3">#REF!</definedName>
    <definedName name="SFDP4">#REF!</definedName>
    <definedName name="SFDPR">#REF!</definedName>
    <definedName name="Sheet1">#REF!</definedName>
    <definedName name="Sheet2" localSheetId="0">'[3]Electrical Load List'!#REF!</definedName>
    <definedName name="Sheet2">'[3]Electrical Load List'!#REF!</definedName>
    <definedName name="Sheet3" localSheetId="0">'[3]Electrical Load List'!#REF!</definedName>
    <definedName name="Sheet3">'[3]Electrical Load List'!#REF!</definedName>
    <definedName name="Sheet4" localSheetId="0">'[3]Electrical Load List'!#REF!</definedName>
    <definedName name="Sheet4">'[3]Electrical Load List'!#REF!</definedName>
    <definedName name="Sheet5" localSheetId="0">'[3]Electrical Load List'!#REF!</definedName>
    <definedName name="Sheet5">'[3]Electrical Load List'!#REF!</definedName>
    <definedName name="Sheet6" localSheetId="0">'[3]Electrical Load List'!#REF!</definedName>
    <definedName name="Sheet6">'[3]Electrical Load List'!#REF!</definedName>
    <definedName name="SHUTR" localSheetId="0">#REF!</definedName>
    <definedName name="SHUTR" localSheetId="1">#REF!</definedName>
    <definedName name="SHUTR">#REF!</definedName>
    <definedName name="sigle" localSheetId="0">'[1]LV induction motors'!#REF!</definedName>
    <definedName name="sigle" localSheetId="1">'[1]LV induction motors'!#REF!</definedName>
    <definedName name="sigle">'[1]LV induction motors'!#REF!</definedName>
    <definedName name="SKETCH" localSheetId="0">#REF!</definedName>
    <definedName name="SKETCH" localSheetId="1">#REF!</definedName>
    <definedName name="SKETCH">#REF!</definedName>
    <definedName name="SKTCH1" localSheetId="0">#REF!</definedName>
    <definedName name="SKTCH1">#REF!</definedName>
    <definedName name="SKTCH2" localSheetId="0">#REF!</definedName>
    <definedName name="SKTCH2">#REF!</definedName>
    <definedName name="SRCEP1">#REF!</definedName>
    <definedName name="SRCEP2">#REF!</definedName>
    <definedName name="SRCEP3">#REF!</definedName>
    <definedName name="SRCEP4">#REF!</definedName>
    <definedName name="SRCEPR">#REF!</definedName>
    <definedName name="SSTHD">#REF!</definedName>
    <definedName name="SSTHD1">#REF!</definedName>
    <definedName name="SSTHD2">#REF!</definedName>
    <definedName name="SSTHD3">#REF!</definedName>
    <definedName name="SSTHD4">#REF!</definedName>
    <definedName name="SSTHDR">#REF!</definedName>
    <definedName name="STAN">#REF!</definedName>
    <definedName name="STRM1D">#REF!</definedName>
    <definedName name="STRM1U">#REF!</definedName>
    <definedName name="STRM2D">#REF!</definedName>
    <definedName name="STRM2U">#REF!</definedName>
    <definedName name="STRM3D">#REF!</definedName>
    <definedName name="STRM3U">#REF!</definedName>
    <definedName name="STRM4D">#REF!</definedName>
    <definedName name="STRM4U">#REF!</definedName>
    <definedName name="STRMESS">#REF!</definedName>
    <definedName name="STRMNAME">#REF!</definedName>
    <definedName name="SUBHEADER">#REF!</definedName>
    <definedName name="SUCDPR">#REF!</definedName>
    <definedName name="SUCP1">#REF!</definedName>
    <definedName name="SUCP2">#REF!</definedName>
    <definedName name="SUCP3">#REF!</definedName>
    <definedName name="SUCP4">#REF!</definedName>
    <definedName name="SYSTEM">#REF!</definedName>
    <definedName name="TEMP1">#REF!</definedName>
    <definedName name="TEMP2">#REF!</definedName>
    <definedName name="TEMP3">#REF!</definedName>
    <definedName name="TEMP4">#REF!</definedName>
    <definedName name="TEMPR">#REF!</definedName>
    <definedName name="titre1" localSheetId="0">'[1]LV induction motors'!#REF!</definedName>
    <definedName name="titre1">'[1]LV induction motors'!#REF!</definedName>
    <definedName name="titre2" localSheetId="0">'[1]LV induction motors'!#REF!</definedName>
    <definedName name="titre2">'[1]LV induction motors'!#REF!</definedName>
    <definedName name="titreb" localSheetId="0">'[1]LV induction motors'!#REF!</definedName>
    <definedName name="titreb">'[1]LV induction motors'!#REF!</definedName>
    <definedName name="titreb2" localSheetId="0">[2]Alternator!#REF!</definedName>
    <definedName name="titreb2">[2]Alternator!#REF!</definedName>
    <definedName name="TKW" localSheetId="0">#REF!</definedName>
    <definedName name="TKW">#REF!</definedName>
    <definedName name="UNITE1">"Texte 159"</definedName>
    <definedName name="UNITE2">"Texte 160"</definedName>
    <definedName name="UNITOK" localSheetId="0">'1.0 Content'!UNITOK</definedName>
    <definedName name="UNITOK" localSheetId="1">'2.0 Calculation Sheet '!UNITOK</definedName>
    <definedName name="UNITOK">'2.0 Calculation Sheet '!UNITOK</definedName>
    <definedName name="UPPR" localSheetId="0">#REF!</definedName>
    <definedName name="UPPR" localSheetId="1">#REF!</definedName>
    <definedName name="UPPR">#REF!</definedName>
    <definedName name="Ver_Regime" localSheetId="0">#REF!</definedName>
    <definedName name="Ver_Regime">#REF!</definedName>
    <definedName name="VERIFIE1">"Texte 165"</definedName>
    <definedName name="VERIFIE2">"Texte 177"</definedName>
    <definedName name="VERIFIE3">"Texte 171"</definedName>
    <definedName name="VERIFIE4">"Texte 183"</definedName>
    <definedName name="VFLOW1" localSheetId="0">#REF!</definedName>
    <definedName name="VFLOW1">#REF!</definedName>
    <definedName name="VFLOW2" localSheetId="0">#REF!</definedName>
    <definedName name="VFLOW2">#REF!</definedName>
    <definedName name="VFLOW3" localSheetId="0">#REF!</definedName>
    <definedName name="VFLOW3">#REF!</definedName>
    <definedName name="VFLOW4">#REF!</definedName>
    <definedName name="VFLOWR">#REF!</definedName>
    <definedName name="VISR">#REF!</definedName>
    <definedName name="VPR">#REF!</definedName>
    <definedName name="WALLTHK">#REF!</definedName>
    <definedName name="WFLOW">#REF!</definedName>
    <definedName name="WFLOW1">#REF!</definedName>
    <definedName name="WFLOW2">#REF!</definedName>
    <definedName name="WFLOW3">#REF!</definedName>
    <definedName name="WFLOW4">#REF!</definedName>
    <definedName name="WFLOWR">#REF!</definedName>
    <definedName name="Zone_impres_MI">#REF!</definedName>
  </definedNames>
  <calcPr calcId="145621"/>
</workbook>
</file>

<file path=xl/calcChain.xml><?xml version="1.0" encoding="utf-8"?>
<calcChain xmlns="http://schemas.openxmlformats.org/spreadsheetml/2006/main">
  <c r="B27" i="8" l="1"/>
  <c r="H15" i="8" l="1"/>
  <c r="L31" i="8" l="1"/>
  <c r="I36" i="8" l="1"/>
  <c r="M36" i="8" s="1"/>
  <c r="I37" i="8"/>
  <c r="M37" i="8" s="1"/>
  <c r="P31" i="8"/>
  <c r="D41" i="8" l="1"/>
  <c r="J41" i="8"/>
  <c r="J43" i="8" s="1"/>
  <c r="Q37" i="8"/>
  <c r="Q36" i="8"/>
</calcChain>
</file>

<file path=xl/sharedStrings.xml><?xml version="1.0" encoding="utf-8"?>
<sst xmlns="http://schemas.openxmlformats.org/spreadsheetml/2006/main" count="127" uniqueCount="113">
  <si>
    <t>Revision</t>
  </si>
  <si>
    <t>A</t>
  </si>
  <si>
    <t>Applicability</t>
  </si>
  <si>
    <t>REVISION / APPROVAL HISTORY</t>
  </si>
  <si>
    <t>Rev</t>
  </si>
  <si>
    <t>Date</t>
  </si>
  <si>
    <t>Description of Change</t>
  </si>
  <si>
    <t>Approver</t>
  </si>
  <si>
    <t>CONTENTS</t>
  </si>
  <si>
    <t>PURPOSE</t>
  </si>
  <si>
    <t>SCOPE</t>
  </si>
  <si>
    <t>DEFINITIONS AND ACRONYMS</t>
  </si>
  <si>
    <t>Acronyms</t>
  </si>
  <si>
    <t>1.0    PURPOSE</t>
  </si>
  <si>
    <t>Definitions</t>
  </si>
  <si>
    <t>Document Number</t>
  </si>
  <si>
    <t>Document Type</t>
  </si>
  <si>
    <t>Reviewer</t>
  </si>
  <si>
    <t>2.0    SCOPE</t>
  </si>
  <si>
    <t>3.1    Definitions</t>
  </si>
  <si>
    <t>3.2    Acronyms</t>
  </si>
  <si>
    <t xml:space="preserve">4.0    REFERENCES </t>
  </si>
  <si>
    <t xml:space="preserve">5.0    RESPONSIBILITY &amp; AUTHORITY </t>
  </si>
  <si>
    <t>7.0    RECORDS</t>
  </si>
  <si>
    <t>6.0    DESCRIPTION OF ACTIVITIES</t>
  </si>
  <si>
    <t>DESCRIPTION OF ACTIVITIES</t>
  </si>
  <si>
    <t xml:space="preserve">REFERENCES </t>
  </si>
  <si>
    <t xml:space="preserve">RESPONSIBILITY &amp; AUTHORITY </t>
  </si>
  <si>
    <t>RECORDS</t>
  </si>
  <si>
    <t>APPENDICES</t>
  </si>
  <si>
    <t>Project:</t>
  </si>
  <si>
    <t>PQR Plant</t>
  </si>
  <si>
    <t>Rev.</t>
  </si>
  <si>
    <t>Client:</t>
  </si>
  <si>
    <t>LMN Corpn</t>
  </si>
  <si>
    <t>Date :</t>
  </si>
  <si>
    <t>DD/MM/YYYY</t>
  </si>
  <si>
    <t>Job No:</t>
  </si>
  <si>
    <t>JI-000</t>
  </si>
  <si>
    <t>Prep. By:</t>
  </si>
  <si>
    <t>ABC</t>
  </si>
  <si>
    <t>Doc No:</t>
  </si>
  <si>
    <t>Attachment to                                                     JI-000-EPI-STA-XXX</t>
  </si>
  <si>
    <t>Chkd. By:</t>
  </si>
  <si>
    <t>XYZ</t>
  </si>
  <si>
    <t>OUTPUT</t>
  </si>
  <si>
    <t>B</t>
  </si>
  <si>
    <t>C</t>
  </si>
  <si>
    <t>=</t>
  </si>
  <si>
    <t>mg</t>
  </si>
  <si>
    <t>7.1</t>
  </si>
  <si>
    <t>The user shall fill data in the cells highlighted yellow only.</t>
  </si>
  <si>
    <t>Site Class</t>
  </si>
  <si>
    <t>D</t>
  </si>
  <si>
    <t>E</t>
  </si>
  <si>
    <r>
      <t>F</t>
    </r>
    <r>
      <rPr>
        <vertAlign val="subscript"/>
        <sz val="12"/>
        <rFont val="Trebuchet MS"/>
        <family val="2"/>
      </rPr>
      <t>p</t>
    </r>
    <r>
      <rPr>
        <sz val="12"/>
        <rFont val="Trebuchet MS"/>
        <family val="2"/>
      </rPr>
      <t xml:space="preserve"> = 0.4 x a</t>
    </r>
    <r>
      <rPr>
        <vertAlign val="subscript"/>
        <sz val="12"/>
        <rFont val="Trebuchet MS"/>
        <family val="2"/>
      </rPr>
      <t>p</t>
    </r>
    <r>
      <rPr>
        <sz val="12"/>
        <rFont val="Trebuchet MS"/>
        <family val="2"/>
      </rPr>
      <t xml:space="preserve">  x S</t>
    </r>
    <r>
      <rPr>
        <vertAlign val="subscript"/>
        <sz val="12"/>
        <rFont val="Trebuchet MS"/>
        <family val="2"/>
      </rPr>
      <t>DS</t>
    </r>
    <r>
      <rPr>
        <sz val="12"/>
        <rFont val="Trebuchet MS"/>
        <family val="2"/>
      </rPr>
      <t xml:space="preserve"> x I</t>
    </r>
    <r>
      <rPr>
        <vertAlign val="subscript"/>
        <sz val="12"/>
        <rFont val="Trebuchet MS"/>
        <family val="2"/>
      </rPr>
      <t>p</t>
    </r>
    <r>
      <rPr>
        <sz val="12"/>
        <rFont val="Trebuchet MS"/>
        <family val="2"/>
      </rPr>
      <t>/R</t>
    </r>
    <r>
      <rPr>
        <vertAlign val="subscript"/>
        <sz val="12"/>
        <rFont val="Trebuchet MS"/>
        <family val="2"/>
      </rPr>
      <t>p</t>
    </r>
    <r>
      <rPr>
        <sz val="12"/>
        <rFont val="Trebuchet MS"/>
        <family val="2"/>
      </rPr>
      <t xml:space="preserve"> x { 1+ (2 x z/h)} x W</t>
    </r>
    <r>
      <rPr>
        <vertAlign val="subscript"/>
        <sz val="12"/>
        <rFont val="Trebuchet MS"/>
        <family val="2"/>
      </rPr>
      <t>p</t>
    </r>
  </si>
  <si>
    <t>*</t>
  </si>
  <si>
    <t>Seismic "g" Load Factor for Input in Stress Analysis Calculations =</t>
  </si>
  <si>
    <t>ALL</t>
  </si>
  <si>
    <t>Document  Title</t>
  </si>
  <si>
    <t>Approved</t>
  </si>
  <si>
    <t>Spread Sheet</t>
  </si>
  <si>
    <t>Developer</t>
  </si>
  <si>
    <t>Records of approval are retained in the QMS</t>
  </si>
  <si>
    <t>3.0     DEFINITIONS AND ACRONYMS</t>
  </si>
  <si>
    <t>Spreadsheet calculates the value of cells highlighted in green.</t>
  </si>
  <si>
    <t>All Stress Engineers are the main users. Approval &amp; checking responsibility lies with Lead/Area Lead 
Stress Engineer.</t>
  </si>
  <si>
    <t>Factor (z/h)</t>
  </si>
  <si>
    <r>
      <t>Seismic Importance Factor (I</t>
    </r>
    <r>
      <rPr>
        <vertAlign val="subscript"/>
        <sz val="12"/>
        <rFont val="Trebuchet MS"/>
        <family val="2"/>
      </rPr>
      <t>p</t>
    </r>
    <r>
      <rPr>
        <sz val="12"/>
        <rFont val="Trebuchet MS"/>
        <family val="2"/>
      </rPr>
      <t>)</t>
    </r>
  </si>
  <si>
    <r>
      <t>Mapped Spectral Response Acceleration (S</t>
    </r>
    <r>
      <rPr>
        <vertAlign val="subscript"/>
        <sz val="12"/>
        <rFont val="Trebuchet MS"/>
        <family val="2"/>
      </rPr>
      <t>s</t>
    </r>
    <r>
      <rPr>
        <sz val="12"/>
        <rFont val="Trebuchet MS"/>
        <family val="2"/>
      </rPr>
      <t>)</t>
    </r>
  </si>
  <si>
    <r>
      <t>W</t>
    </r>
    <r>
      <rPr>
        <vertAlign val="subscript"/>
        <sz val="12"/>
        <rFont val="Trebuchet MS"/>
        <family val="2"/>
      </rPr>
      <t>p</t>
    </r>
  </si>
  <si>
    <t>Seismic "g" load factor calculation defines the acceleration factor to be applied on the stress system.</t>
  </si>
  <si>
    <t xml:space="preserve">When Seismic "g" load calculation is to be carried out, copy the spread sheet to the relevant project folder. Rename the file as "Seismic "g" load calculations for project number JI-XXX'. Input the relevant parameters &amp; run the calculations. The calculation is to be enclosed as an Attachment to the Project Stress Analysis Specification. Accordingly enter the applicable "Attachment no &amp; Document number" in the "DOC  No" column of the spread sheet. </t>
  </si>
  <si>
    <t>The purpose of this spread sheet is to use methodology as per ASCE 7-10 code to calculate the seismic "g" load factor for use in Pipe Stress Analysis calculations.</t>
  </si>
  <si>
    <t xml:space="preserve">This spread sheet describes the procedure to be followed for calculating seismic "g" load factor. This needs to be used while performing stress analysis calculations for projects/proposals where seismic design as per ASCE 7-10 Code is applicable for piping. </t>
  </si>
  <si>
    <t>ASCE 7-10         American Society of Civil Engineers-2010</t>
  </si>
  <si>
    <t>This spread sheet is used to calculate seismic "g' Load factor as per ASCE 7-10 Code.</t>
  </si>
  <si>
    <r>
      <t>Site Co-efficient (F</t>
    </r>
    <r>
      <rPr>
        <vertAlign val="subscript"/>
        <sz val="12"/>
        <rFont val="Trebuchet MS"/>
        <family val="2"/>
      </rPr>
      <t>a</t>
    </r>
    <r>
      <rPr>
        <sz val="12"/>
        <rFont val="Trebuchet MS"/>
        <family val="2"/>
      </rPr>
      <t>)
(As per ASCE 7-10,Table 11.4-1)</t>
    </r>
  </si>
  <si>
    <r>
      <t>In Structure Component Amplification Factor (a</t>
    </r>
    <r>
      <rPr>
        <vertAlign val="subscript"/>
        <sz val="12"/>
        <rFont val="Trebuchet MS"/>
        <family val="2"/>
      </rPr>
      <t>p</t>
    </r>
    <r>
      <rPr>
        <sz val="12"/>
        <rFont val="Trebuchet MS"/>
        <family val="2"/>
      </rPr>
      <t>) 
(As per ASCE 7-10,Table 13.6-1)</t>
    </r>
  </si>
  <si>
    <r>
      <t>Component Response Modification Factor  (R</t>
    </r>
    <r>
      <rPr>
        <vertAlign val="subscript"/>
        <sz val="12"/>
        <rFont val="Trebuchet MS"/>
        <family val="2"/>
      </rPr>
      <t>p</t>
    </r>
    <r>
      <rPr>
        <sz val="12"/>
        <rFont val="Trebuchet MS"/>
        <family val="2"/>
      </rPr>
      <t>)
(As per ASCE 7-10,Table 13.6-1)</t>
    </r>
  </si>
  <si>
    <t>1) GEOMETRICAL INPUT</t>
  </si>
  <si>
    <t xml:space="preserve">INPUT </t>
  </si>
  <si>
    <r>
      <t>S</t>
    </r>
    <r>
      <rPr>
        <vertAlign val="subscript"/>
        <sz val="12"/>
        <rFont val="Trebuchet MS"/>
        <family val="2"/>
      </rPr>
      <t>DS</t>
    </r>
    <r>
      <rPr>
        <sz val="12"/>
        <rFont val="Trebuchet MS"/>
        <family val="2"/>
      </rPr>
      <t xml:space="preserve"> = 2/3 x S</t>
    </r>
    <r>
      <rPr>
        <vertAlign val="subscript"/>
        <sz val="12"/>
        <rFont val="Trebuchet MS"/>
        <family val="2"/>
      </rPr>
      <t>s</t>
    </r>
    <r>
      <rPr>
        <sz val="12"/>
        <rFont val="Trebuchet MS"/>
        <family val="2"/>
      </rPr>
      <t xml:space="preserve"> x F</t>
    </r>
    <r>
      <rPr>
        <vertAlign val="subscript"/>
        <sz val="12"/>
        <rFont val="Trebuchet MS"/>
        <family val="2"/>
      </rPr>
      <t>a</t>
    </r>
  </si>
  <si>
    <t>2) OTHER PARAMETERS</t>
  </si>
  <si>
    <r>
      <t>1.6 x S</t>
    </r>
    <r>
      <rPr>
        <vertAlign val="subscript"/>
        <sz val="12"/>
        <rFont val="Trebuchet MS"/>
        <family val="2"/>
      </rPr>
      <t>DS</t>
    </r>
    <r>
      <rPr>
        <sz val="12"/>
        <rFont val="Trebuchet MS"/>
        <family val="2"/>
      </rPr>
      <t xml:space="preserve"> x I</t>
    </r>
    <r>
      <rPr>
        <vertAlign val="subscript"/>
        <sz val="12"/>
        <rFont val="Trebuchet MS"/>
        <family val="2"/>
      </rPr>
      <t>p</t>
    </r>
    <r>
      <rPr>
        <sz val="12"/>
        <rFont val="Trebuchet MS"/>
        <family val="2"/>
      </rPr>
      <t xml:space="preserve"> x W</t>
    </r>
    <r>
      <rPr>
        <vertAlign val="subscript"/>
        <sz val="12"/>
        <rFont val="Trebuchet MS"/>
        <family val="2"/>
      </rPr>
      <t>p</t>
    </r>
  </si>
  <si>
    <r>
      <t xml:space="preserve"> a) F</t>
    </r>
    <r>
      <rPr>
        <vertAlign val="subscript"/>
        <sz val="12"/>
        <rFont val="Trebuchet MS"/>
        <family val="2"/>
      </rPr>
      <t>p</t>
    </r>
    <r>
      <rPr>
        <sz val="12"/>
        <rFont val="Trebuchet MS"/>
        <family val="2"/>
      </rPr>
      <t>Max&lt;= 1.6 x S</t>
    </r>
    <r>
      <rPr>
        <vertAlign val="subscript"/>
        <sz val="12"/>
        <rFont val="Trebuchet MS"/>
        <family val="2"/>
      </rPr>
      <t>DS</t>
    </r>
    <r>
      <rPr>
        <sz val="12"/>
        <rFont val="Trebuchet MS"/>
        <family val="2"/>
      </rPr>
      <t xml:space="preserve"> x I</t>
    </r>
    <r>
      <rPr>
        <vertAlign val="subscript"/>
        <sz val="12"/>
        <rFont val="Trebuchet MS"/>
        <family val="2"/>
      </rPr>
      <t>p</t>
    </r>
    <r>
      <rPr>
        <sz val="12"/>
        <rFont val="Trebuchet MS"/>
        <family val="2"/>
      </rPr>
      <t xml:space="preserve"> x W</t>
    </r>
    <r>
      <rPr>
        <vertAlign val="subscript"/>
        <sz val="12"/>
        <rFont val="Trebuchet MS"/>
        <family val="2"/>
      </rPr>
      <t>p</t>
    </r>
  </si>
  <si>
    <r>
      <t xml:space="preserve"> b) F</t>
    </r>
    <r>
      <rPr>
        <vertAlign val="subscript"/>
        <sz val="12"/>
        <rFont val="Trebuchet MS"/>
        <family val="2"/>
      </rPr>
      <t>p</t>
    </r>
    <r>
      <rPr>
        <sz val="12"/>
        <rFont val="Trebuchet MS"/>
        <family val="2"/>
      </rPr>
      <t>Min&gt;= 0.3 x S</t>
    </r>
    <r>
      <rPr>
        <vertAlign val="subscript"/>
        <sz val="12"/>
        <rFont val="Trebuchet MS"/>
        <family val="2"/>
      </rPr>
      <t>DS</t>
    </r>
    <r>
      <rPr>
        <sz val="12"/>
        <rFont val="Trebuchet MS"/>
        <family val="2"/>
      </rPr>
      <t xml:space="preserve"> x I</t>
    </r>
    <r>
      <rPr>
        <vertAlign val="subscript"/>
        <sz val="12"/>
        <rFont val="Trebuchet MS"/>
        <family val="2"/>
      </rPr>
      <t>p</t>
    </r>
    <r>
      <rPr>
        <sz val="12"/>
        <rFont val="Trebuchet MS"/>
        <family val="2"/>
      </rPr>
      <t xml:space="preserve"> x W</t>
    </r>
    <r>
      <rPr>
        <vertAlign val="subscript"/>
        <sz val="12"/>
        <rFont val="Trebuchet MS"/>
        <family val="2"/>
      </rPr>
      <t>p</t>
    </r>
  </si>
  <si>
    <r>
      <t>0.3 x S</t>
    </r>
    <r>
      <rPr>
        <vertAlign val="subscript"/>
        <sz val="12"/>
        <rFont val="Trebuchet MS"/>
        <family val="2"/>
      </rPr>
      <t>DS</t>
    </r>
    <r>
      <rPr>
        <sz val="12"/>
        <rFont val="Trebuchet MS"/>
        <family val="2"/>
      </rPr>
      <t xml:space="preserve"> x I</t>
    </r>
    <r>
      <rPr>
        <vertAlign val="subscript"/>
        <sz val="12"/>
        <rFont val="Trebuchet MS"/>
        <family val="2"/>
      </rPr>
      <t>p</t>
    </r>
    <r>
      <rPr>
        <sz val="12"/>
        <rFont val="Trebuchet MS"/>
        <family val="2"/>
      </rPr>
      <t xml:space="preserve"> x W</t>
    </r>
    <r>
      <rPr>
        <vertAlign val="subscript"/>
        <sz val="12"/>
        <rFont val="Trebuchet MS"/>
        <family val="2"/>
      </rPr>
      <t>p</t>
    </r>
  </si>
  <si>
    <t>Check</t>
  </si>
  <si>
    <r>
      <t>Seismic Design Force (F</t>
    </r>
    <r>
      <rPr>
        <vertAlign val="subscript"/>
        <sz val="12"/>
        <rFont val="Trebuchet MS"/>
        <family val="2"/>
      </rPr>
      <t>p</t>
    </r>
    <r>
      <rPr>
        <sz val="12"/>
        <rFont val="Trebuchet MS"/>
        <family val="2"/>
      </rPr>
      <t>) 
(As per ASCE7-10,Equation13.3-1)</t>
    </r>
  </si>
  <si>
    <r>
      <t>Checking of Section 13.3, Equation 13.3-2 &amp; 13.3-3:  a) F</t>
    </r>
    <r>
      <rPr>
        <vertAlign val="subscript"/>
        <sz val="12"/>
        <rFont val="Trebuchet MS"/>
        <family val="2"/>
      </rPr>
      <t>p</t>
    </r>
    <r>
      <rPr>
        <sz val="12"/>
        <rFont val="Trebuchet MS"/>
        <family val="2"/>
      </rPr>
      <t>Max&lt;= 1.6 x S</t>
    </r>
    <r>
      <rPr>
        <vertAlign val="subscript"/>
        <sz val="12"/>
        <rFont val="Trebuchet MS"/>
        <family val="2"/>
      </rPr>
      <t>DS</t>
    </r>
    <r>
      <rPr>
        <sz val="12"/>
        <rFont val="Trebuchet MS"/>
        <family val="2"/>
      </rPr>
      <t xml:space="preserve"> x I</t>
    </r>
    <r>
      <rPr>
        <vertAlign val="subscript"/>
        <sz val="12"/>
        <rFont val="Trebuchet MS"/>
        <family val="2"/>
      </rPr>
      <t>p</t>
    </r>
    <r>
      <rPr>
        <sz val="12"/>
        <rFont val="Trebuchet MS"/>
        <family val="2"/>
      </rPr>
      <t xml:space="preserve"> x W</t>
    </r>
    <r>
      <rPr>
        <vertAlign val="subscript"/>
        <sz val="12"/>
        <rFont val="Trebuchet MS"/>
        <family val="2"/>
      </rPr>
      <t>p</t>
    </r>
    <r>
      <rPr>
        <sz val="12"/>
        <rFont val="Trebuchet MS"/>
        <family val="2"/>
      </rPr>
      <t xml:space="preserve"> 
                                                                            b) F</t>
    </r>
    <r>
      <rPr>
        <vertAlign val="subscript"/>
        <sz val="12"/>
        <rFont val="Trebuchet MS"/>
        <family val="2"/>
      </rPr>
      <t>p</t>
    </r>
    <r>
      <rPr>
        <sz val="12"/>
        <rFont val="Trebuchet MS"/>
        <family val="2"/>
      </rPr>
      <t>Min&gt;= 0.3 x S</t>
    </r>
    <r>
      <rPr>
        <vertAlign val="subscript"/>
        <sz val="12"/>
        <rFont val="Trebuchet MS"/>
        <family val="2"/>
      </rPr>
      <t>DS</t>
    </r>
    <r>
      <rPr>
        <sz val="12"/>
        <rFont val="Trebuchet MS"/>
        <family val="2"/>
      </rPr>
      <t xml:space="preserve"> x I</t>
    </r>
    <r>
      <rPr>
        <vertAlign val="subscript"/>
        <sz val="12"/>
        <rFont val="Trebuchet MS"/>
        <family val="2"/>
      </rPr>
      <t>p</t>
    </r>
    <r>
      <rPr>
        <sz val="12"/>
        <rFont val="Trebuchet MS"/>
        <family val="2"/>
      </rPr>
      <t xml:space="preserve"> x W</t>
    </r>
    <r>
      <rPr>
        <vertAlign val="subscript"/>
        <sz val="12"/>
        <rFont val="Trebuchet MS"/>
        <family val="2"/>
      </rPr>
      <t>p</t>
    </r>
    <r>
      <rPr>
        <sz val="12"/>
        <rFont val="Trebuchet MS"/>
        <family val="2"/>
      </rPr>
      <t xml:space="preserve">   </t>
    </r>
  </si>
  <si>
    <t>F</t>
  </si>
  <si>
    <t>Ratul Barkataki      E.Lakshmanan
K.S.Venkatesan
P.K.Gupta</t>
  </si>
  <si>
    <t>Kollol SenGupta</t>
  </si>
  <si>
    <t>If the calculations have to be submitted as an independent document or as part of any other document, then only sheet Appendix 1: "2.0 Calculation" shall be submitted.</t>
  </si>
  <si>
    <t>PEC-EN-VSS-L-13473</t>
  </si>
  <si>
    <t>Seismic "g" Load Calculation as per ASCE 7-10 Code (Validation Record)</t>
  </si>
  <si>
    <t>PEC-EN-VSR-L-13477</t>
  </si>
  <si>
    <t>M.P.Kumaresan</t>
  </si>
  <si>
    <r>
      <t>Design Spectral Acceleration (S</t>
    </r>
    <r>
      <rPr>
        <vertAlign val="subscript"/>
        <sz val="12"/>
        <rFont val="Trebuchet MS"/>
        <family val="2"/>
      </rPr>
      <t>DS</t>
    </r>
    <r>
      <rPr>
        <sz val="12"/>
        <rFont val="Trebuchet MS"/>
        <family val="2"/>
      </rPr>
      <t>)(As per ASCE 7-10, clause 11.4.4)</t>
    </r>
  </si>
  <si>
    <t>Seismic "g" Load Calculation as per ASCE 7-10 Code</t>
  </si>
  <si>
    <t>Seismic "g" Load Calculation as per
ASCE 7-10 Code</t>
  </si>
  <si>
    <t>Effective applicable date of this document</t>
  </si>
  <si>
    <t>FLOWCHART</t>
  </si>
  <si>
    <t>2.1   Effective applicable date of this document</t>
  </si>
  <si>
    <t>8.0   FLOWCHART</t>
  </si>
  <si>
    <t>N/A</t>
  </si>
  <si>
    <t>9.0    APPENDICES</t>
  </si>
  <si>
    <t>This document will be effective from 25-Dec-2013.</t>
  </si>
  <si>
    <t>Excel sheets created as per Note 6.4  needs to be printed to "Adope PDF" &amp; enclosed to the relevant Document.</t>
  </si>
  <si>
    <t>After use of this speradsheet, calculation sheet (Appendix 1) needs to be preserved as record.</t>
  </si>
  <si>
    <t>APPENDIX 1: 2.0 CALCULATION</t>
  </si>
  <si>
    <t>APPENDIX 2: 3.0 ASCE 7-10 Tables</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</si>
</sst>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64" formatCode="&quot;£&quot;#,##0;[Red]\-&quot;£&quot;#,##0"/>
    <numFmt numFmtId="165" formatCode="&quot;£&quot;#,##0.00;[Red]\-&quot;£&quot;#,##0.00"/>
    <numFmt numFmtId="166" formatCode="_-* #,##0_-;\-* #,##0_-;_-* &quot;-&quot;_-;_-@_-"/>
    <numFmt numFmtId="167" formatCode="_-* #,##0.00_-;\-* #,##0.00_-;_-* &quot;-&quot;??_-;_-@_-"/>
    <numFmt numFmtId="168" formatCode="&quot;$&quot;#,##0.0000_);\(&quot;$&quot;#,##0.0000\)"/>
    <numFmt numFmtId="169" formatCode="#,##0.0_);\(#,##0.0\)"/>
    <numFmt numFmtId="170" formatCode="_-* #,##0\ _F_-;\-* #,##0\ _F_-;_-* &quot;-&quot;\ _F_-;_-@_-"/>
    <numFmt numFmtId="171" formatCode="_-* #,##0.00\ _F_-;\-* #,##0.00\ _F_-;_-* &quot;-&quot;??\ _F_-;_-@_-"/>
    <numFmt numFmtId="172" formatCode="_-* #,##0\ &quot;F&quot;_-;\-* #,##0\ &quot;F&quot;_-;_-* &quot;-&quot;\ &quot;F&quot;_-;_-@_-"/>
    <numFmt numFmtId="173" formatCode="_-* #,##0.00\ &quot;F&quot;_-;\-* #,##0.00\ &quot;F&quot;_-;_-* &quot;-&quot;??\ &quot;F&quot;_-;_-@_-"/>
    <numFmt numFmtId="174" formatCode="0.00_)"/>
    <numFmt numFmtId="175" formatCode="&quot;$&quot;#,##0;\-&quot;$&quot;#,##0"/>
    <numFmt numFmtId="176" formatCode="mm/dd/yy"/>
    <numFmt numFmtId="177" formatCode="0.000"/>
    <numFmt numFmtId="178" formatCode="0.0"/>
    <numFmt numFmtId="179" formatCode="[$-409]d\-mmm\-yy;@"/>
  </numFmts>
  <fonts count="42">
    <font>
      <sz val="10"/>
      <name val="Arial"/>
    </font>
    <font>
      <sz val="11"/>
      <color theme="1"/>
      <name val="Calibri"/>
      <family val="2"/>
      <scheme val="minor"/>
    </font>
    <font>
      <sz val="10"/>
      <name val="Trebuchet MS"/>
      <family val="2"/>
    </font>
    <font>
      <b/>
      <sz val="10"/>
      <name val="Trebuchet MS"/>
      <family val="2"/>
    </font>
    <font>
      <u/>
      <sz val="10"/>
      <color indexed="12"/>
      <name val="Arial"/>
      <family val="2"/>
    </font>
    <font>
      <sz val="11"/>
      <name val="Trebuchet MS"/>
      <family val="2"/>
    </font>
    <font>
      <b/>
      <sz val="11"/>
      <name val="Trebuchet MS"/>
      <family val="2"/>
    </font>
    <font>
      <b/>
      <sz val="16"/>
      <name val="Trebuchet MS"/>
      <family val="2"/>
    </font>
    <font>
      <i/>
      <sz val="11"/>
      <name val="Trebuchet MS"/>
      <family val="2"/>
    </font>
    <font>
      <b/>
      <sz val="12"/>
      <name val="Trebuchet MS"/>
      <family val="2"/>
    </font>
    <font>
      <sz val="10"/>
      <name val="Arial"/>
      <family val="2"/>
    </font>
    <font>
      <b/>
      <sz val="24"/>
      <name val="Trebuchet MS"/>
      <family val="2"/>
    </font>
    <font>
      <sz val="9"/>
      <name val="Trebuchet MS"/>
      <family val="2"/>
    </font>
    <font>
      <sz val="10"/>
      <name val="Arial"/>
      <family val="2"/>
    </font>
    <font>
      <b/>
      <sz val="12"/>
      <name val="Arial"/>
      <family val="2"/>
    </font>
    <font>
      <sz val="8"/>
      <name val="Times New Roman"/>
      <family val="1"/>
    </font>
    <font>
      <sz val="10"/>
      <name val="MS Serif"/>
      <family val="1"/>
    </font>
    <font>
      <sz val="10"/>
      <name val="Courier"/>
      <family val="3"/>
    </font>
    <font>
      <sz val="10"/>
      <color indexed="16"/>
      <name val="MS Serif"/>
      <family val="1"/>
    </font>
    <font>
      <sz val="10"/>
      <name val="Times New Roman"/>
      <family val="1"/>
    </font>
    <font>
      <sz val="8"/>
      <name val="Arial"/>
      <family val="2"/>
    </font>
    <font>
      <sz val="12"/>
      <name val="Helv"/>
    </font>
    <font>
      <sz val="12"/>
      <color indexed="9"/>
      <name val="Helv"/>
    </font>
    <font>
      <b/>
      <i/>
      <sz val="16"/>
      <name val="Helv"/>
    </font>
    <font>
      <sz val="10"/>
      <name val="Tms Rmn"/>
    </font>
    <font>
      <sz val="10"/>
      <name val="MS Sans Serif"/>
      <family val="2"/>
    </font>
    <font>
      <sz val="8"/>
      <name val="Helv"/>
    </font>
    <font>
      <sz val="8"/>
      <name val="Arial MT"/>
    </font>
    <font>
      <b/>
      <sz val="8"/>
      <color indexed="8"/>
      <name val="Helv"/>
    </font>
    <font>
      <i/>
      <sz val="12"/>
      <name val="Trebuchet MS"/>
      <family val="2"/>
    </font>
    <font>
      <sz val="12"/>
      <name val="Trebuchet MS"/>
      <family val="2"/>
    </font>
    <font>
      <b/>
      <u/>
      <sz val="12"/>
      <name val="Trebuchet MS"/>
      <family val="2"/>
    </font>
    <font>
      <vertAlign val="subscript"/>
      <sz val="12"/>
      <name val="Trebuchet MS"/>
      <family val="2"/>
    </font>
    <font>
      <sz val="15"/>
      <name val="Trebuchet MS"/>
      <family val="2"/>
    </font>
    <font>
      <b/>
      <sz val="9"/>
      <name val="Trebuchet MS"/>
      <family val="2"/>
    </font>
    <font>
      <i/>
      <sz val="11"/>
      <color theme="1"/>
      <name val="Trebuchet MS"/>
      <family val="2"/>
    </font>
    <font>
      <b/>
      <sz val="14"/>
      <name val="Arial"/>
      <family val="2"/>
    </font>
    <font>
      <sz val="10"/>
      <color indexed="12"/>
      <name val="Arial"/>
      <family val="2"/>
    </font>
    <font>
      <sz val="12"/>
      <name val="CG Times"/>
    </font>
    <font>
      <i/>
      <sz val="10"/>
      <color indexed="39"/>
      <name val="Times New Roman"/>
      <family val="1"/>
    </font>
    <font>
      <sz val="18"/>
      <name val="Trebuchet MS"/>
      <family val="2"/>
    </font>
    <font>
      <u/>
      <sz val="10"/>
      <color theme="10"/>
      <name val="Arial"/>
      <family val="2"/>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30">
    <border>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style="medium">
        <color indexed="64"/>
      </right>
      <top/>
      <bottom style="medium">
        <color indexed="64"/>
      </bottom>
      <diagonal/>
    </border>
    <border>
      <left/>
      <right style="thin">
        <color indexed="64"/>
      </right>
      <top/>
      <bottom style="medium">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style="thin">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s>
  <cellStyleXfs count="53">
    <xf numFmtId="0" fontId="0" fillId="0" borderId="0"/>
    <xf numFmtId="0" fontId="15" fillId="0" borderId="0">
      <alignment horizontal="center" wrapText="1"/>
      <protection locked="0"/>
    </xf>
    <xf numFmtId="0" fontId="13" fillId="0" borderId="0" applyFill="0" applyBorder="0">
      <alignment vertical="center"/>
    </xf>
    <xf numFmtId="168" fontId="13" fillId="0" borderId="0" applyFill="0" applyBorder="0" applyAlignment="0"/>
    <xf numFmtId="0" fontId="16" fillId="0" borderId="0" applyNumberFormat="0" applyAlignment="0">
      <alignment horizontal="left"/>
    </xf>
    <xf numFmtId="0" fontId="17" fillId="0" borderId="0" applyNumberFormat="0" applyAlignment="0"/>
    <xf numFmtId="165" fontId="13" fillId="0" borderId="0" applyFill="0" applyBorder="0" applyAlignment="0" applyProtection="0"/>
    <xf numFmtId="164" fontId="13" fillId="0" borderId="0" applyFill="0" applyBorder="0" applyAlignment="0" applyProtection="0"/>
    <xf numFmtId="0" fontId="18" fillId="0" borderId="0" applyNumberFormat="0" applyAlignment="0">
      <alignment horizontal="left"/>
    </xf>
    <xf numFmtId="0" fontId="19" fillId="0" borderId="1" applyNumberFormat="0" applyFill="0" applyBorder="0" applyAlignment="0" applyProtection="0">
      <protection locked="0"/>
    </xf>
    <xf numFmtId="38" fontId="20" fillId="2" borderId="0" applyNumberFormat="0" applyBorder="0" applyAlignment="0" applyProtection="0"/>
    <xf numFmtId="0" fontId="14" fillId="0" borderId="2" applyNumberFormat="0" applyAlignment="0" applyProtection="0">
      <alignment horizontal="left" vertical="center"/>
    </xf>
    <xf numFmtId="0" fontId="14" fillId="0" borderId="3">
      <alignment horizontal="left" vertical="center"/>
    </xf>
    <xf numFmtId="0" fontId="14" fillId="0" borderId="0"/>
    <xf numFmtId="10" fontId="20" fillId="3" borderId="4" applyNumberFormat="0" applyBorder="0" applyAlignment="0" applyProtection="0"/>
    <xf numFmtId="169" fontId="21" fillId="4" borderId="0"/>
    <xf numFmtId="169" fontId="22" fillId="5" borderId="0"/>
    <xf numFmtId="170" fontId="13" fillId="0" borderId="0" applyFont="0" applyFill="0" applyBorder="0" applyAlignment="0" applyProtection="0"/>
    <xf numFmtId="171" fontId="13" fillId="0" borderId="0" applyFont="0" applyFill="0" applyBorder="0" applyAlignment="0" applyProtection="0"/>
    <xf numFmtId="172" fontId="13" fillId="0" borderId="0" applyFont="0" applyFill="0" applyBorder="0" applyAlignment="0" applyProtection="0"/>
    <xf numFmtId="173" fontId="13" fillId="0" borderId="0" applyFont="0" applyFill="0" applyBorder="0" applyAlignment="0" applyProtection="0"/>
    <xf numFmtId="174" fontId="23" fillId="0" borderId="0"/>
    <xf numFmtId="0" fontId="13" fillId="0" borderId="0"/>
    <xf numFmtId="167" fontId="13" fillId="0" borderId="0" applyFont="0" applyFill="0" applyBorder="0" applyAlignment="0" applyProtection="0"/>
    <xf numFmtId="166" fontId="13" fillId="0" borderId="0" applyFont="0" applyFill="0" applyBorder="0" applyAlignment="0" applyProtection="0"/>
    <xf numFmtId="14" fontId="15" fillId="0" borderId="0">
      <alignment horizontal="center" wrapText="1"/>
      <protection locked="0"/>
    </xf>
    <xf numFmtId="10" fontId="13" fillId="0" borderId="0" applyFont="0" applyFill="0" applyBorder="0" applyAlignment="0" applyProtection="0"/>
    <xf numFmtId="175" fontId="24" fillId="0" borderId="0"/>
    <xf numFmtId="0" fontId="25" fillId="0" borderId="0" applyNumberFormat="0" applyFont="0" applyFill="0" applyBorder="0" applyAlignment="0" applyProtection="0">
      <alignment horizontal="left"/>
    </xf>
    <xf numFmtId="176" fontId="26" fillId="0" borderId="0" applyNumberFormat="0" applyFill="0" applyBorder="0" applyAlignment="0" applyProtection="0">
      <alignment horizontal="left"/>
    </xf>
    <xf numFmtId="0" fontId="27" fillId="0" borderId="5" applyBorder="0" applyAlignment="0">
      <alignment horizontal="left"/>
    </xf>
    <xf numFmtId="40" fontId="28" fillId="0" borderId="0" applyBorder="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 fillId="0" borderId="0"/>
    <xf numFmtId="0" fontId="10" fillId="0" borderId="0"/>
    <xf numFmtId="0" fontId="10" fillId="0" borderId="0"/>
    <xf numFmtId="0" fontId="10" fillId="0" borderId="0"/>
    <xf numFmtId="0" fontId="10" fillId="0" borderId="0"/>
    <xf numFmtId="0" fontId="36" fillId="0" borderId="16" applyFill="0" applyBorder="0"/>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37" fillId="0" borderId="0">
      <alignment horizontal="center"/>
    </xf>
    <xf numFmtId="0" fontId="38" fillId="0" borderId="0"/>
    <xf numFmtId="178" fontId="37" fillId="0" borderId="0">
      <alignment horizontal="center"/>
    </xf>
    <xf numFmtId="9" fontId="10" fillId="0" borderId="0" applyFont="0" applyFill="0" applyBorder="0" applyAlignment="0" applyProtection="0"/>
    <xf numFmtId="178" fontId="39" fillId="0" borderId="0" applyNumberFormat="0" applyFont="0" applyFill="0" applyAlignment="0">
      <protection locked="0"/>
    </xf>
    <xf numFmtId="0" fontId="41" fillId="0" borderId="0" applyNumberFormat="0" applyFill="0" applyBorder="0" applyAlignment="0" applyProtection="0"/>
  </cellStyleXfs>
  <cellXfs count="202">
    <xf numFmtId="0" fontId="0" fillId="0" borderId="0" xfId="0"/>
    <xf numFmtId="0" fontId="10" fillId="0" borderId="0" xfId="0" applyFont="1"/>
    <xf numFmtId="0" fontId="29" fillId="0" borderId="16" xfId="32" applyFont="1" applyBorder="1" applyAlignment="1" applyProtection="1">
      <alignment horizontal="left" vertical="center"/>
      <protection hidden="1"/>
    </xf>
    <xf numFmtId="0" fontId="10" fillId="0" borderId="0" xfId="33" applyProtection="1">
      <protection hidden="1"/>
    </xf>
    <xf numFmtId="0" fontId="29" fillId="0" borderId="18" xfId="32" applyFont="1" applyBorder="1" applyAlignment="1" applyProtection="1">
      <alignment horizontal="left" vertical="center"/>
      <protection hidden="1"/>
    </xf>
    <xf numFmtId="0" fontId="29" fillId="0" borderId="19" xfId="32" applyFont="1" applyBorder="1" applyAlignment="1" applyProtection="1">
      <alignment horizontal="left" vertical="center"/>
      <protection hidden="1"/>
    </xf>
    <xf numFmtId="178" fontId="30" fillId="6" borderId="4" xfId="33" applyNumberFormat="1" applyFont="1" applyFill="1" applyBorder="1" applyAlignment="1" applyProtection="1">
      <alignment horizontal="center" vertical="center" wrapText="1"/>
      <protection locked="0"/>
    </xf>
    <xf numFmtId="0" fontId="34" fillId="0" borderId="4" xfId="35" applyFont="1" applyBorder="1" applyAlignment="1">
      <alignment horizontal="center" vertical="center" wrapText="1"/>
    </xf>
    <xf numFmtId="0" fontId="9" fillId="0" borderId="0" xfId="36" applyFont="1" applyBorder="1" applyAlignment="1"/>
    <xf numFmtId="0" fontId="5" fillId="0" borderId="4" xfId="37" applyFont="1" applyBorder="1" applyAlignment="1">
      <alignment horizontal="center" vertical="top" wrapText="1"/>
    </xf>
    <xf numFmtId="0" fontId="1" fillId="0" borderId="0" xfId="39"/>
    <xf numFmtId="0" fontId="1" fillId="0" borderId="9" xfId="39" applyBorder="1"/>
    <xf numFmtId="0" fontId="1" fillId="0" borderId="0" xfId="39" applyBorder="1"/>
    <xf numFmtId="0" fontId="1" fillId="0" borderId="10" xfId="39" applyBorder="1"/>
    <xf numFmtId="0" fontId="6" fillId="0" borderId="4" xfId="37" applyFont="1" applyBorder="1" applyAlignment="1">
      <alignment horizontal="center" vertical="center" wrapText="1"/>
    </xf>
    <xf numFmtId="0" fontId="5" fillId="0" borderId="4" xfId="37" applyFont="1" applyBorder="1" applyAlignment="1">
      <alignment horizontal="center" vertical="center" wrapText="1"/>
    </xf>
    <xf numFmtId="0" fontId="5" fillId="0" borderId="4" xfId="37" applyFont="1" applyBorder="1" applyAlignment="1">
      <alignment horizontal="left" vertical="center" wrapText="1"/>
    </xf>
    <xf numFmtId="0" fontId="35" fillId="0" borderId="4" xfId="39" applyFont="1" applyBorder="1" applyAlignment="1">
      <alignment vertical="center" wrapText="1"/>
    </xf>
    <xf numFmtId="0" fontId="6" fillId="0" borderId="27" xfId="37" applyFont="1" applyBorder="1" applyAlignment="1">
      <alignment horizontal="center" vertical="center" wrapText="1"/>
    </xf>
    <xf numFmtId="0" fontId="1" fillId="0" borderId="11" xfId="39" applyBorder="1"/>
    <xf numFmtId="0" fontId="1" fillId="0" borderId="8" xfId="39" applyBorder="1"/>
    <xf numFmtId="0" fontId="1" fillId="0" borderId="12" xfId="39" applyBorder="1"/>
    <xf numFmtId="0" fontId="1" fillId="0" borderId="13" xfId="39" applyBorder="1"/>
    <xf numFmtId="0" fontId="1" fillId="0" borderId="14" xfId="39" applyBorder="1"/>
    <xf numFmtId="0" fontId="9" fillId="0" borderId="10" xfId="36" applyFont="1" applyBorder="1" applyAlignment="1"/>
    <xf numFmtId="0" fontId="6" fillId="0" borderId="0" xfId="41" applyFont="1" applyBorder="1" applyAlignment="1">
      <alignment horizontal="center"/>
    </xf>
    <xf numFmtId="0" fontId="6" fillId="0" borderId="0" xfId="43" applyFont="1" applyBorder="1"/>
    <xf numFmtId="0" fontId="12" fillId="0" borderId="0" xfId="41" applyFont="1" applyBorder="1" applyAlignment="1">
      <alignment horizontal="center"/>
    </xf>
    <xf numFmtId="0" fontId="12" fillId="0" borderId="0" xfId="43" applyFont="1" applyBorder="1"/>
    <xf numFmtId="0" fontId="1" fillId="0" borderId="15" xfId="39" applyBorder="1"/>
    <xf numFmtId="0" fontId="5" fillId="0" borderId="0" xfId="39" applyFont="1" applyBorder="1"/>
    <xf numFmtId="0" fontId="5" fillId="0" borderId="0" xfId="39" applyFont="1" applyBorder="1" applyAlignment="1">
      <alignment horizontal="left" vertical="top"/>
    </xf>
    <xf numFmtId="0" fontId="8" fillId="0" borderId="0" xfId="39" applyFont="1" applyBorder="1" applyAlignment="1">
      <alignment horizontal="left" vertical="top" wrapText="1"/>
    </xf>
    <xf numFmtId="0" fontId="8" fillId="0" borderId="0" xfId="39" applyFont="1" applyBorder="1"/>
    <xf numFmtId="0" fontId="5" fillId="0" borderId="0" xfId="33" applyFont="1" applyBorder="1" applyAlignment="1">
      <alignment horizontal="left" vertical="top"/>
    </xf>
    <xf numFmtId="0" fontId="5" fillId="0" borderId="0" xfId="33" applyFont="1" applyBorder="1" applyAlignment="1">
      <alignment horizontal="left" vertical="top" wrapText="1"/>
    </xf>
    <xf numFmtId="0" fontId="5" fillId="7" borderId="4" xfId="33" applyFont="1" applyFill="1" applyBorder="1" applyAlignment="1">
      <alignment horizontal="left" vertical="center" wrapText="1"/>
    </xf>
    <xf numFmtId="0" fontId="5" fillId="0" borderId="0" xfId="33" applyFont="1" applyBorder="1" applyAlignment="1">
      <alignment horizontal="left" vertical="center" wrapText="1"/>
    </xf>
    <xf numFmtId="0" fontId="5" fillId="8" borderId="4" xfId="33" applyFont="1" applyFill="1" applyBorder="1" applyAlignment="1">
      <alignment horizontal="left" vertical="center" wrapText="1"/>
    </xf>
    <xf numFmtId="0" fontId="6" fillId="0" borderId="0" xfId="39" applyFont="1" applyBorder="1" applyAlignment="1">
      <alignment horizontal="left" vertical="top"/>
    </xf>
    <xf numFmtId="49" fontId="5" fillId="0" borderId="0" xfId="33" applyNumberFormat="1" applyFont="1" applyBorder="1" applyAlignment="1">
      <alignment horizontal="left" vertical="top"/>
    </xf>
    <xf numFmtId="0" fontId="2" fillId="0" borderId="0" xfId="39" applyFont="1" applyBorder="1"/>
    <xf numFmtId="0" fontId="5" fillId="0" borderId="0" xfId="39" applyFont="1" applyBorder="1" applyAlignment="1">
      <alignment horizontal="left" vertical="top"/>
    </xf>
    <xf numFmtId="2" fontId="30" fillId="6" borderId="4" xfId="33" applyNumberFormat="1" applyFont="1" applyFill="1" applyBorder="1" applyAlignment="1" applyProtection="1">
      <alignment horizontal="center" vertical="center" wrapText="1"/>
      <protection locked="0"/>
    </xf>
    <xf numFmtId="0" fontId="30" fillId="6" borderId="4" xfId="33" applyFont="1" applyFill="1" applyBorder="1" applyAlignment="1" applyProtection="1">
      <alignment horizontal="center" vertical="center" wrapText="1"/>
      <protection locked="0"/>
    </xf>
    <xf numFmtId="177" fontId="30" fillId="6" borderId="4" xfId="33" applyNumberFormat="1" applyFont="1" applyFill="1" applyBorder="1" applyAlignment="1" applyProtection="1">
      <alignment horizontal="center" vertical="center" wrapText="1"/>
      <protection locked="0"/>
    </xf>
    <xf numFmtId="0" fontId="30" fillId="0" borderId="18" xfId="33" applyFont="1" applyBorder="1" applyAlignment="1" applyProtection="1">
      <alignment horizontal="center" vertical="center" wrapText="1"/>
      <protection hidden="1"/>
    </xf>
    <xf numFmtId="0" fontId="30" fillId="0" borderId="28" xfId="33" applyFont="1" applyBorder="1" applyAlignment="1" applyProtection="1">
      <alignment vertical="center" wrapText="1"/>
      <protection hidden="1"/>
    </xf>
    <xf numFmtId="0" fontId="30" fillId="0" borderId="1" xfId="33" applyFont="1" applyBorder="1" applyAlignment="1" applyProtection="1">
      <alignment vertical="center" wrapText="1"/>
      <protection hidden="1"/>
    </xf>
    <xf numFmtId="0" fontId="30" fillId="0" borderId="18" xfId="33" applyFont="1" applyBorder="1" applyAlignment="1" applyProtection="1">
      <alignment vertical="center" wrapText="1"/>
      <protection hidden="1"/>
    </xf>
    <xf numFmtId="0" fontId="29" fillId="0" borderId="17" xfId="34" applyFont="1" applyBorder="1" applyAlignment="1" applyProtection="1">
      <alignment horizontal="right" vertical="center"/>
      <protection hidden="1"/>
    </xf>
    <xf numFmtId="0" fontId="29" fillId="0" borderId="9" xfId="34" applyFont="1" applyBorder="1" applyAlignment="1" applyProtection="1">
      <alignment horizontal="right" vertical="center"/>
      <protection hidden="1"/>
    </xf>
    <xf numFmtId="0" fontId="29" fillId="0" borderId="9" xfId="33" applyFont="1" applyBorder="1" applyAlignment="1" applyProtection="1">
      <alignment horizontal="right" vertical="center"/>
      <protection hidden="1"/>
    </xf>
    <xf numFmtId="0" fontId="29" fillId="0" borderId="20" xfId="33" applyFont="1" applyBorder="1" applyAlignment="1" applyProtection="1">
      <alignment horizontal="right" vertical="center"/>
      <protection hidden="1"/>
    </xf>
    <xf numFmtId="0" fontId="9" fillId="0" borderId="9" xfId="33" applyFont="1" applyFill="1" applyBorder="1" applyAlignment="1" applyProtection="1">
      <alignment vertical="center"/>
      <protection hidden="1"/>
    </xf>
    <xf numFmtId="0" fontId="30" fillId="0" borderId="0" xfId="33" applyFont="1" applyBorder="1" applyAlignment="1" applyProtection="1">
      <alignment horizontal="right" vertical="center" wrapText="1"/>
      <protection hidden="1"/>
    </xf>
    <xf numFmtId="177" fontId="30" fillId="8" borderId="23" xfId="0" applyNumberFormat="1" applyFont="1" applyFill="1" applyBorder="1" applyAlignment="1" applyProtection="1">
      <alignment horizontal="left" vertical="center"/>
      <protection hidden="1"/>
    </xf>
    <xf numFmtId="177" fontId="33" fillId="8" borderId="4" xfId="0" applyNumberFormat="1" applyFont="1" applyFill="1" applyBorder="1" applyAlignment="1" applyProtection="1">
      <alignment horizontal="center" vertical="center"/>
      <protection hidden="1"/>
    </xf>
    <xf numFmtId="177" fontId="30" fillId="8" borderId="4" xfId="0" applyNumberFormat="1" applyFont="1" applyFill="1" applyBorder="1" applyAlignment="1" applyProtection="1">
      <alignment horizontal="center" vertical="center"/>
      <protection hidden="1"/>
    </xf>
    <xf numFmtId="177" fontId="40" fillId="8" borderId="3" xfId="0" applyNumberFormat="1" applyFont="1" applyFill="1" applyBorder="1" applyAlignment="1" applyProtection="1">
      <alignment horizontal="center" vertical="center"/>
      <protection hidden="1"/>
    </xf>
    <xf numFmtId="177" fontId="30" fillId="8" borderId="3" xfId="0" applyNumberFormat="1" applyFont="1" applyFill="1" applyBorder="1" applyAlignment="1" applyProtection="1">
      <alignment horizontal="left" vertical="center"/>
      <protection hidden="1"/>
    </xf>
    <xf numFmtId="177" fontId="33" fillId="8" borderId="3" xfId="0" applyNumberFormat="1" applyFont="1" applyFill="1" applyBorder="1" applyAlignment="1" applyProtection="1">
      <alignment horizontal="center" vertical="center"/>
      <protection hidden="1"/>
    </xf>
    <xf numFmtId="177" fontId="30" fillId="8" borderId="22" xfId="0" applyNumberFormat="1" applyFont="1" applyFill="1" applyBorder="1" applyAlignment="1" applyProtection="1">
      <alignment horizontal="right" vertical="center"/>
      <protection hidden="1"/>
    </xf>
    <xf numFmtId="179" fontId="5" fillId="0" borderId="4" xfId="37" applyNumberFormat="1" applyFont="1" applyBorder="1" applyAlignment="1">
      <alignment horizontal="center" vertical="top" wrapText="1"/>
    </xf>
    <xf numFmtId="0" fontId="9" fillId="9" borderId="29" xfId="33" applyFont="1" applyFill="1" applyBorder="1" applyAlignment="1" applyProtection="1">
      <alignment vertical="center"/>
      <protection hidden="1"/>
    </xf>
    <xf numFmtId="0" fontId="5" fillId="0" borderId="0" xfId="39" applyFont="1" applyBorder="1" applyAlignment="1">
      <alignment vertical="center"/>
    </xf>
    <xf numFmtId="0" fontId="41" fillId="0" borderId="0" xfId="52"/>
    <xf numFmtId="0" fontId="30" fillId="8" borderId="22" xfId="0" applyFont="1" applyFill="1" applyBorder="1" applyProtection="1">
      <protection hidden="1"/>
    </xf>
    <xf numFmtId="0" fontId="30" fillId="0" borderId="3" xfId="33" applyFont="1" applyBorder="1" applyAlignment="1" applyProtection="1">
      <alignment horizontal="right" vertical="center" wrapText="1"/>
      <protection hidden="1"/>
    </xf>
    <xf numFmtId="0" fontId="30" fillId="0" borderId="23" xfId="33" applyFont="1" applyBorder="1" applyAlignment="1" applyProtection="1">
      <alignment horizontal="right" vertical="center" wrapText="1"/>
      <protection hidden="1"/>
    </xf>
    <xf numFmtId="0" fontId="30" fillId="0" borderId="14" xfId="33" applyFont="1" applyBorder="1" applyAlignment="1" applyProtection="1">
      <alignment horizontal="right" vertical="center" wrapText="1"/>
      <protection hidden="1"/>
    </xf>
    <xf numFmtId="0" fontId="30" fillId="0" borderId="8" xfId="33" applyFont="1" applyBorder="1" applyAlignment="1" applyProtection="1">
      <alignment horizontal="right" vertical="center" wrapText="1"/>
      <protection hidden="1"/>
    </xf>
    <xf numFmtId="0" fontId="30" fillId="0" borderId="16" xfId="0" applyFont="1" applyBorder="1" applyProtection="1">
      <protection hidden="1"/>
    </xf>
    <xf numFmtId="0" fontId="30" fillId="0" borderId="21" xfId="0" applyFont="1" applyBorder="1" applyProtection="1">
      <protection hidden="1"/>
    </xf>
    <xf numFmtId="0" fontId="30" fillId="0" borderId="25" xfId="0" applyFont="1" applyBorder="1" applyProtection="1">
      <protection hidden="1"/>
    </xf>
    <xf numFmtId="0" fontId="30" fillId="0" borderId="28" xfId="0" applyFont="1" applyBorder="1" applyProtection="1">
      <protection hidden="1"/>
    </xf>
    <xf numFmtId="0" fontId="30" fillId="0" borderId="0" xfId="0" applyFont="1" applyBorder="1" applyProtection="1">
      <protection hidden="1"/>
    </xf>
    <xf numFmtId="0" fontId="30" fillId="0" borderId="1" xfId="0" applyFont="1" applyBorder="1" applyProtection="1">
      <protection hidden="1"/>
    </xf>
    <xf numFmtId="0" fontId="30" fillId="0" borderId="18" xfId="0" applyFont="1" applyBorder="1" applyProtection="1">
      <protection hidden="1"/>
    </xf>
    <xf numFmtId="0" fontId="30" fillId="0" borderId="3" xfId="0" applyFont="1" applyFill="1" applyBorder="1" applyAlignment="1" applyProtection="1">
      <alignment horizontal="left"/>
      <protection hidden="1"/>
    </xf>
    <xf numFmtId="0" fontId="30" fillId="0" borderId="3" xfId="0" applyFont="1" applyFill="1" applyBorder="1" applyAlignment="1" applyProtection="1">
      <alignment horizontal="center"/>
      <protection hidden="1"/>
    </xf>
    <xf numFmtId="2" fontId="30" fillId="0" borderId="4" xfId="33" applyNumberFormat="1" applyFont="1" applyFill="1" applyBorder="1" applyAlignment="1" applyProtection="1">
      <alignment horizontal="center" vertical="center" wrapText="1"/>
      <protection hidden="1"/>
    </xf>
    <xf numFmtId="178" fontId="30" fillId="0" borderId="0" xfId="33" applyNumberFormat="1" applyFont="1" applyFill="1" applyBorder="1" applyAlignment="1" applyProtection="1">
      <alignment horizontal="center" vertical="center" wrapText="1"/>
      <protection hidden="1"/>
    </xf>
    <xf numFmtId="0" fontId="30" fillId="8" borderId="3" xfId="0" applyFont="1" applyFill="1" applyBorder="1" applyProtection="1">
      <protection hidden="1"/>
    </xf>
    <xf numFmtId="0" fontId="30" fillId="0" borderId="0" xfId="0" applyFont="1" applyBorder="1" applyAlignment="1" applyProtection="1">
      <alignment horizontal="center"/>
      <protection hidden="1"/>
    </xf>
    <xf numFmtId="0" fontId="0" fillId="0" borderId="0" xfId="0" applyProtection="1">
      <protection hidden="1"/>
    </xf>
    <xf numFmtId="0" fontId="30" fillId="0" borderId="19" xfId="0" applyFont="1" applyBorder="1" applyProtection="1">
      <protection hidden="1"/>
    </xf>
    <xf numFmtId="0" fontId="30" fillId="0" borderId="24" xfId="0" applyFont="1" applyBorder="1" applyProtection="1">
      <protection hidden="1"/>
    </xf>
    <xf numFmtId="0" fontId="30" fillId="0" borderId="6" xfId="0" applyFont="1" applyBorder="1" applyProtection="1">
      <protection hidden="1"/>
    </xf>
    <xf numFmtId="0" fontId="5" fillId="0" borderId="0" xfId="39" applyFont="1" applyBorder="1" applyAlignment="1">
      <alignment vertical="center" wrapText="1"/>
    </xf>
    <xf numFmtId="0" fontId="6" fillId="0" borderId="0" xfId="42" applyFont="1" applyBorder="1" applyAlignment="1">
      <alignment horizontal="left"/>
    </xf>
    <xf numFmtId="0" fontId="5" fillId="0" borderId="0" xfId="33" applyFont="1" applyBorder="1" applyAlignment="1">
      <alignment horizontal="center"/>
    </xf>
    <xf numFmtId="0" fontId="5" fillId="0" borderId="0" xfId="33" applyFont="1" applyBorder="1"/>
    <xf numFmtId="0" fontId="8" fillId="0" borderId="4" xfId="37" applyFont="1" applyBorder="1" applyAlignment="1">
      <alignment horizontal="center" vertical="center" wrapText="1"/>
    </xf>
    <xf numFmtId="0" fontId="3" fillId="0" borderId="22" xfId="38" applyFont="1" applyFill="1" applyBorder="1" applyAlignment="1">
      <alignment horizontal="left"/>
    </xf>
    <xf numFmtId="0" fontId="3" fillId="0" borderId="3" xfId="38" applyFont="1" applyFill="1" applyBorder="1" applyAlignment="1">
      <alignment horizontal="left"/>
    </xf>
    <xf numFmtId="0" fontId="3" fillId="0" borderId="23" xfId="38" applyFont="1" applyFill="1" applyBorder="1" applyAlignment="1">
      <alignment horizontal="left"/>
    </xf>
    <xf numFmtId="0" fontId="3" fillId="0" borderId="4" xfId="38" applyFont="1" applyFill="1" applyBorder="1" applyAlignment="1">
      <alignment horizontal="left"/>
    </xf>
    <xf numFmtId="0" fontId="11" fillId="0" borderId="13" xfId="38" applyFont="1" applyFill="1" applyBorder="1" applyAlignment="1">
      <alignment horizontal="center" vertical="center" wrapText="1"/>
    </xf>
    <xf numFmtId="0" fontId="11" fillId="0" borderId="14" xfId="38" applyFont="1" applyFill="1" applyBorder="1" applyAlignment="1">
      <alignment horizontal="center" vertical="center" wrapText="1"/>
    </xf>
    <xf numFmtId="0" fontId="11" fillId="0" borderId="15" xfId="38" applyFont="1" applyFill="1" applyBorder="1" applyAlignment="1">
      <alignment horizontal="center" vertical="center" wrapText="1"/>
    </xf>
    <xf numFmtId="0" fontId="11" fillId="0" borderId="9" xfId="38" applyFont="1" applyFill="1" applyBorder="1" applyAlignment="1">
      <alignment horizontal="center" vertical="center" wrapText="1"/>
    </xf>
    <xf numFmtId="0" fontId="11" fillId="0" borderId="0" xfId="38" applyFont="1" applyFill="1" applyBorder="1" applyAlignment="1">
      <alignment horizontal="center" vertical="center" wrapText="1"/>
    </xf>
    <xf numFmtId="0" fontId="11" fillId="0" borderId="10" xfId="38" applyFont="1" applyFill="1" applyBorder="1" applyAlignment="1">
      <alignment horizontal="center" vertical="center" wrapText="1"/>
    </xf>
    <xf numFmtId="0" fontId="11" fillId="0" borderId="11" xfId="38" applyFont="1" applyFill="1" applyBorder="1" applyAlignment="1">
      <alignment horizontal="center" vertical="center" wrapText="1"/>
    </xf>
    <xf numFmtId="0" fontId="11" fillId="0" borderId="8" xfId="38" applyFont="1" applyFill="1" applyBorder="1" applyAlignment="1">
      <alignment horizontal="center" vertical="center" wrapText="1"/>
    </xf>
    <xf numFmtId="0" fontId="11" fillId="0" borderId="12" xfId="38" applyFont="1" applyFill="1" applyBorder="1" applyAlignment="1">
      <alignment horizontal="center" vertical="center" wrapText="1"/>
    </xf>
    <xf numFmtId="0" fontId="3" fillId="0" borderId="22" xfId="38" applyFont="1" applyFill="1" applyBorder="1" applyAlignment="1">
      <alignment horizontal="left" vertical="center"/>
    </xf>
    <xf numFmtId="0" fontId="3" fillId="0" borderId="3" xfId="38" applyFont="1" applyFill="1" applyBorder="1" applyAlignment="1">
      <alignment horizontal="left" vertical="center"/>
    </xf>
    <xf numFmtId="0" fontId="3" fillId="0" borderId="23" xfId="38" applyFont="1" applyFill="1" applyBorder="1" applyAlignment="1">
      <alignment horizontal="left" vertical="center"/>
    </xf>
    <xf numFmtId="0" fontId="3" fillId="0" borderId="22" xfId="38" applyFont="1" applyFill="1" applyBorder="1" applyAlignment="1">
      <alignment horizontal="left" vertical="center" wrapText="1"/>
    </xf>
    <xf numFmtId="0" fontId="1" fillId="0" borderId="9" xfId="39" applyBorder="1" applyAlignment="1">
      <alignment horizontal="center"/>
    </xf>
    <xf numFmtId="0" fontId="1" fillId="0" borderId="0" xfId="39" applyBorder="1" applyAlignment="1">
      <alignment horizontal="center"/>
    </xf>
    <xf numFmtId="0" fontId="7" fillId="0" borderId="9" xfId="40" applyFont="1" applyBorder="1" applyAlignment="1">
      <alignment horizontal="center" vertical="center"/>
    </xf>
    <xf numFmtId="0" fontId="7" fillId="0" borderId="0" xfId="40" applyFont="1" applyBorder="1" applyAlignment="1">
      <alignment horizontal="center" vertical="center"/>
    </xf>
    <xf numFmtId="0" fontId="6" fillId="0" borderId="4" xfId="37" applyFont="1" applyBorder="1" applyAlignment="1">
      <alignment horizontal="justify" vertical="center" wrapText="1"/>
    </xf>
    <xf numFmtId="0" fontId="6" fillId="0" borderId="0" xfId="42" applyFont="1" applyBorder="1" applyAlignment="1">
      <alignment horizontal="left"/>
    </xf>
    <xf numFmtId="0" fontId="34" fillId="0" borderId="4" xfId="35" applyFont="1" applyBorder="1" applyAlignment="1">
      <alignment horizontal="center" vertical="center" wrapText="1"/>
    </xf>
    <xf numFmtId="0" fontId="9" fillId="0" borderId="4" xfId="35" applyFont="1" applyBorder="1" applyAlignment="1">
      <alignment horizontal="center"/>
    </xf>
    <xf numFmtId="0" fontId="9" fillId="0" borderId="0" xfId="36" applyFont="1" applyBorder="1" applyAlignment="1">
      <alignment horizontal="center"/>
    </xf>
    <xf numFmtId="0" fontId="12" fillId="0" borderId="0" xfId="42" applyFont="1" applyBorder="1" applyAlignment="1">
      <alignment horizontal="left"/>
    </xf>
    <xf numFmtId="0" fontId="5" fillId="0" borderId="0" xfId="33" applyFont="1" applyBorder="1" applyAlignment="1">
      <alignment horizontal="left"/>
    </xf>
    <xf numFmtId="0" fontId="5" fillId="0" borderId="0" xfId="39" applyFont="1" applyBorder="1" applyAlignment="1">
      <alignment vertical="center" wrapText="1"/>
    </xf>
    <xf numFmtId="0" fontId="6" fillId="0" borderId="0" xfId="39" applyFont="1" applyBorder="1" applyAlignment="1">
      <alignment horizontal="left" vertical="top"/>
    </xf>
    <xf numFmtId="0" fontId="5" fillId="0" borderId="0" xfId="39" applyFont="1" applyBorder="1" applyAlignment="1">
      <alignment vertical="center"/>
    </xf>
    <xf numFmtId="0" fontId="6" fillId="0" borderId="0" xfId="33" applyFont="1" applyBorder="1" applyAlignment="1">
      <alignment horizontal="left" vertical="top"/>
    </xf>
    <xf numFmtId="0" fontId="5" fillId="0" borderId="0" xfId="33" applyFont="1" applyBorder="1" applyAlignment="1">
      <alignment vertical="center" wrapText="1"/>
    </xf>
    <xf numFmtId="0" fontId="5" fillId="0" borderId="10" xfId="33" applyFont="1" applyBorder="1" applyAlignment="1">
      <alignment vertical="center" wrapText="1"/>
    </xf>
    <xf numFmtId="0" fontId="5" fillId="0" borderId="0" xfId="33" applyFont="1" applyFill="1" applyBorder="1" applyAlignment="1">
      <alignment horizontal="left" vertical="center" wrapText="1"/>
    </xf>
    <xf numFmtId="0" fontId="5" fillId="0" borderId="0" xfId="33" applyFont="1" applyBorder="1" applyAlignment="1">
      <alignment horizontal="justify" vertical="center" wrapText="1"/>
    </xf>
    <xf numFmtId="0" fontId="2" fillId="0" borderId="0" xfId="39" applyFont="1" applyBorder="1" applyAlignment="1">
      <alignment horizontal="left" wrapText="1"/>
    </xf>
    <xf numFmtId="0" fontId="5" fillId="0" borderId="0" xfId="39" applyFont="1" applyBorder="1" applyAlignment="1">
      <alignment horizontal="left"/>
    </xf>
    <xf numFmtId="0" fontId="5" fillId="0" borderId="10" xfId="39" applyFont="1" applyBorder="1" applyAlignment="1">
      <alignment horizontal="left"/>
    </xf>
    <xf numFmtId="177" fontId="30" fillId="8" borderId="13" xfId="0" applyNumberFormat="1" applyFont="1" applyFill="1" applyBorder="1" applyAlignment="1" applyProtection="1">
      <alignment horizontal="right" vertical="center"/>
      <protection hidden="1"/>
    </xf>
    <xf numFmtId="177" fontId="30" fillId="8" borderId="11" xfId="0" applyNumberFormat="1" applyFont="1" applyFill="1" applyBorder="1" applyAlignment="1" applyProtection="1">
      <alignment horizontal="right" vertical="center"/>
      <protection hidden="1"/>
    </xf>
    <xf numFmtId="177" fontId="30" fillId="8" borderId="15" xfId="0" applyNumberFormat="1" applyFont="1" applyFill="1" applyBorder="1" applyAlignment="1" applyProtection="1">
      <alignment horizontal="left" vertical="center"/>
      <protection hidden="1"/>
    </xf>
    <xf numFmtId="177" fontId="30" fillId="8" borderId="12" xfId="0" applyNumberFormat="1" applyFont="1" applyFill="1" applyBorder="1" applyAlignment="1" applyProtection="1">
      <alignment horizontal="left" vertical="center"/>
      <protection hidden="1"/>
    </xf>
    <xf numFmtId="177" fontId="30" fillId="8" borderId="3" xfId="0" applyNumberFormat="1" applyFont="1" applyFill="1" applyBorder="1" applyAlignment="1" applyProtection="1">
      <alignment horizontal="right" vertical="center"/>
      <protection hidden="1"/>
    </xf>
    <xf numFmtId="0" fontId="30" fillId="0" borderId="22" xfId="33" applyFont="1" applyBorder="1" applyAlignment="1" applyProtection="1">
      <alignment horizontal="center" vertical="center"/>
      <protection hidden="1"/>
    </xf>
    <xf numFmtId="0" fontId="30" fillId="0" borderId="3" xfId="33" applyFont="1" applyBorder="1" applyAlignment="1" applyProtection="1">
      <alignment horizontal="center" vertical="center"/>
      <protection hidden="1"/>
    </xf>
    <xf numFmtId="0" fontId="30" fillId="0" borderId="23" xfId="33" applyFont="1" applyBorder="1" applyAlignment="1" applyProtection="1">
      <alignment horizontal="center" vertical="center"/>
      <protection hidden="1"/>
    </xf>
    <xf numFmtId="0" fontId="30" fillId="6" borderId="21" xfId="34" applyFont="1" applyFill="1" applyBorder="1" applyAlignment="1" applyProtection="1">
      <alignment horizontal="center" vertical="center"/>
      <protection locked="0"/>
    </xf>
    <xf numFmtId="0" fontId="30" fillId="6" borderId="26" xfId="34" applyFont="1" applyFill="1" applyBorder="1" applyAlignment="1" applyProtection="1">
      <alignment horizontal="center" vertical="center"/>
      <protection locked="0"/>
    </xf>
    <xf numFmtId="0" fontId="30" fillId="6" borderId="0" xfId="34" applyFont="1" applyFill="1" applyBorder="1" applyAlignment="1" applyProtection="1">
      <alignment horizontal="center" vertical="center"/>
      <protection locked="0"/>
    </xf>
    <xf numFmtId="0" fontId="30" fillId="6" borderId="10" xfId="34" applyFont="1" applyFill="1" applyBorder="1" applyAlignment="1" applyProtection="1">
      <alignment horizontal="center" vertical="center"/>
      <protection locked="0"/>
    </xf>
    <xf numFmtId="0" fontId="30" fillId="0" borderId="13" xfId="33" applyFont="1" applyBorder="1" applyAlignment="1" applyProtection="1">
      <alignment horizontal="left" vertical="center" wrapText="1"/>
      <protection hidden="1"/>
    </xf>
    <xf numFmtId="0" fontId="30" fillId="0" borderId="15" xfId="33" applyFont="1" applyBorder="1" applyAlignment="1" applyProtection="1">
      <alignment horizontal="left" vertical="center" wrapText="1"/>
      <protection hidden="1"/>
    </xf>
    <xf numFmtId="0" fontId="30" fillId="0" borderId="11" xfId="33" applyFont="1" applyBorder="1" applyAlignment="1" applyProtection="1">
      <alignment horizontal="left" vertical="center" wrapText="1"/>
      <protection hidden="1"/>
    </xf>
    <xf numFmtId="0" fontId="30" fillId="0" borderId="12" xfId="33" applyFont="1" applyBorder="1" applyAlignment="1" applyProtection="1">
      <alignment horizontal="left" vertical="center" wrapText="1"/>
      <protection hidden="1"/>
    </xf>
    <xf numFmtId="0" fontId="30" fillId="8" borderId="22" xfId="0" applyFont="1" applyFill="1" applyBorder="1" applyAlignment="1" applyProtection="1">
      <alignment horizontal="center"/>
      <protection hidden="1"/>
    </xf>
    <xf numFmtId="0" fontId="30" fillId="8" borderId="3" xfId="0" applyFont="1" applyFill="1" applyBorder="1" applyAlignment="1" applyProtection="1">
      <alignment horizontal="center"/>
      <protection hidden="1"/>
    </xf>
    <xf numFmtId="177" fontId="30" fillId="8" borderId="3" xfId="0" applyNumberFormat="1" applyFont="1" applyFill="1" applyBorder="1" applyAlignment="1" applyProtection="1">
      <alignment horizontal="center" vertical="center"/>
      <protection hidden="1"/>
    </xf>
    <xf numFmtId="177" fontId="30" fillId="8" borderId="23" xfId="0" applyNumberFormat="1" applyFont="1" applyFill="1" applyBorder="1" applyAlignment="1" applyProtection="1">
      <alignment horizontal="center" vertical="center"/>
      <protection hidden="1"/>
    </xf>
    <xf numFmtId="0" fontId="30" fillId="8" borderId="22" xfId="0" applyFont="1" applyFill="1" applyBorder="1" applyAlignment="1" applyProtection="1">
      <alignment horizontal="center"/>
    </xf>
    <xf numFmtId="0" fontId="30" fillId="8" borderId="23" xfId="0" applyFont="1" applyFill="1" applyBorder="1" applyAlignment="1" applyProtection="1">
      <alignment horizontal="center"/>
    </xf>
    <xf numFmtId="0" fontId="30" fillId="0" borderId="22" xfId="33" applyFont="1" applyBorder="1" applyAlignment="1" applyProtection="1">
      <alignment horizontal="right" vertical="center" wrapText="1"/>
      <protection hidden="1"/>
    </xf>
    <xf numFmtId="0" fontId="30" fillId="0" borderId="3" xfId="33" applyFont="1" applyBorder="1" applyAlignment="1" applyProtection="1">
      <alignment horizontal="right" vertical="center" wrapText="1"/>
      <protection hidden="1"/>
    </xf>
    <xf numFmtId="0" fontId="30" fillId="0" borderId="23" xfId="33" applyFont="1" applyBorder="1" applyAlignment="1" applyProtection="1">
      <alignment horizontal="right" vertical="center" wrapText="1"/>
      <protection hidden="1"/>
    </xf>
    <xf numFmtId="0" fontId="30" fillId="0" borderId="13" xfId="33" applyFont="1" applyBorder="1" applyAlignment="1" applyProtection="1">
      <alignment horizontal="right" vertical="center" wrapText="1"/>
      <protection hidden="1"/>
    </xf>
    <xf numFmtId="0" fontId="30" fillId="0" borderId="14" xfId="33" applyFont="1" applyBorder="1" applyAlignment="1" applyProtection="1">
      <alignment horizontal="right" vertical="center" wrapText="1"/>
      <protection hidden="1"/>
    </xf>
    <xf numFmtId="0" fontId="30" fillId="0" borderId="15" xfId="33" applyFont="1" applyBorder="1" applyAlignment="1" applyProtection="1">
      <alignment horizontal="right" vertical="center" wrapText="1"/>
      <protection hidden="1"/>
    </xf>
    <xf numFmtId="0" fontId="30" fillId="0" borderId="11" xfId="33" applyFont="1" applyBorder="1" applyAlignment="1" applyProtection="1">
      <alignment horizontal="right" vertical="center" wrapText="1"/>
      <protection hidden="1"/>
    </xf>
    <xf numFmtId="0" fontId="30" fillId="0" borderId="8" xfId="33" applyFont="1" applyBorder="1" applyAlignment="1" applyProtection="1">
      <alignment horizontal="right" vertical="center" wrapText="1"/>
      <protection hidden="1"/>
    </xf>
    <xf numFmtId="0" fontId="30" fillId="0" borderId="12" xfId="33" applyFont="1" applyBorder="1" applyAlignment="1" applyProtection="1">
      <alignment horizontal="right" vertical="center" wrapText="1"/>
      <protection hidden="1"/>
    </xf>
    <xf numFmtId="0" fontId="30" fillId="6" borderId="21" xfId="33" applyFont="1" applyFill="1" applyBorder="1" applyAlignment="1" applyProtection="1">
      <alignment horizontal="left" vertical="center" wrapText="1"/>
      <protection locked="0"/>
    </xf>
    <xf numFmtId="0" fontId="30" fillId="6" borderId="0" xfId="33" applyFont="1" applyFill="1" applyBorder="1" applyAlignment="1" applyProtection="1">
      <alignment horizontal="left" vertical="center" wrapText="1"/>
      <protection locked="0"/>
    </xf>
    <xf numFmtId="0" fontId="30" fillId="6" borderId="24" xfId="33" applyFont="1" applyFill="1" applyBorder="1" applyAlignment="1" applyProtection="1">
      <alignment horizontal="left" vertical="center" wrapText="1"/>
      <protection locked="0"/>
    </xf>
    <xf numFmtId="0" fontId="31" fillId="0" borderId="17" xfId="33" applyFont="1" applyBorder="1" applyAlignment="1" applyProtection="1">
      <alignment horizontal="center" vertical="center" wrapText="1"/>
      <protection hidden="1"/>
    </xf>
    <xf numFmtId="0" fontId="31" fillId="0" borderId="21" xfId="33" applyFont="1" applyBorder="1" applyAlignment="1" applyProtection="1">
      <alignment horizontal="center" vertical="center" wrapText="1"/>
      <protection hidden="1"/>
    </xf>
    <xf numFmtId="0" fontId="31" fillId="0" borderId="26" xfId="33" applyFont="1" applyBorder="1" applyAlignment="1" applyProtection="1">
      <alignment horizontal="center" vertical="center" wrapText="1"/>
      <protection hidden="1"/>
    </xf>
    <xf numFmtId="0" fontId="31" fillId="0" borderId="9" xfId="33" applyFont="1" applyBorder="1" applyAlignment="1" applyProtection="1">
      <alignment horizontal="center" vertical="center" wrapText="1"/>
      <protection hidden="1"/>
    </xf>
    <xf numFmtId="0" fontId="31" fillId="0" borderId="0" xfId="33" applyFont="1" applyBorder="1" applyAlignment="1" applyProtection="1">
      <alignment horizontal="center" vertical="center" wrapText="1"/>
      <protection hidden="1"/>
    </xf>
    <xf numFmtId="0" fontId="31" fillId="0" borderId="10" xfId="33" applyFont="1" applyBorder="1" applyAlignment="1" applyProtection="1">
      <alignment horizontal="center" vertical="center" wrapText="1"/>
      <protection hidden="1"/>
    </xf>
    <xf numFmtId="0" fontId="31" fillId="0" borderId="20" xfId="33" applyFont="1" applyBorder="1" applyAlignment="1" applyProtection="1">
      <alignment horizontal="center" vertical="center" wrapText="1"/>
      <protection hidden="1"/>
    </xf>
    <xf numFmtId="0" fontId="31" fillId="0" borderId="24" xfId="33" applyFont="1" applyBorder="1" applyAlignment="1" applyProtection="1">
      <alignment horizontal="center" vertical="center" wrapText="1"/>
      <protection hidden="1"/>
    </xf>
    <xf numFmtId="0" fontId="31" fillId="0" borderId="7" xfId="33" applyFont="1" applyBorder="1" applyAlignment="1" applyProtection="1">
      <alignment horizontal="center" vertical="center" wrapText="1"/>
      <protection hidden="1"/>
    </xf>
    <xf numFmtId="0" fontId="30" fillId="9" borderId="22" xfId="0" applyFont="1" applyFill="1" applyBorder="1" applyAlignment="1" applyProtection="1">
      <alignment horizontal="center"/>
      <protection hidden="1"/>
    </xf>
    <xf numFmtId="0" fontId="30" fillId="9" borderId="3" xfId="0" applyFont="1" applyFill="1" applyBorder="1" applyAlignment="1" applyProtection="1">
      <alignment horizontal="center"/>
      <protection hidden="1"/>
    </xf>
    <xf numFmtId="0" fontId="30" fillId="9" borderId="23" xfId="0" applyFont="1" applyFill="1" applyBorder="1" applyAlignment="1" applyProtection="1">
      <alignment horizontal="center"/>
      <protection hidden="1"/>
    </xf>
    <xf numFmtId="0" fontId="30" fillId="6" borderId="24" xfId="34" applyFont="1" applyFill="1" applyBorder="1" applyAlignment="1" applyProtection="1">
      <alignment horizontal="center" vertical="center"/>
      <protection locked="0"/>
    </xf>
    <xf numFmtId="0" fontId="30" fillId="6" borderId="7" xfId="34" applyFont="1" applyFill="1" applyBorder="1" applyAlignment="1" applyProtection="1">
      <alignment horizontal="center" vertical="center"/>
      <protection locked="0"/>
    </xf>
    <xf numFmtId="0" fontId="30" fillId="9" borderId="22" xfId="0" applyFont="1" applyFill="1" applyBorder="1" applyAlignment="1" applyProtection="1">
      <alignment horizontal="left"/>
      <protection hidden="1"/>
    </xf>
    <xf numFmtId="0" fontId="30" fillId="9" borderId="3" xfId="0" applyFont="1" applyFill="1" applyBorder="1" applyAlignment="1" applyProtection="1">
      <alignment horizontal="left"/>
      <protection hidden="1"/>
    </xf>
    <xf numFmtId="0" fontId="30" fillId="9" borderId="23" xfId="0" applyFont="1" applyFill="1" applyBorder="1" applyAlignment="1" applyProtection="1">
      <alignment horizontal="left"/>
      <protection hidden="1"/>
    </xf>
    <xf numFmtId="0" fontId="30" fillId="0" borderId="21" xfId="34" applyFont="1" applyFill="1" applyBorder="1" applyAlignment="1" applyProtection="1">
      <alignment horizontal="center" vertical="center"/>
      <protection hidden="1"/>
    </xf>
    <xf numFmtId="0" fontId="30" fillId="0" borderId="25" xfId="34" applyFont="1" applyFill="1" applyBorder="1" applyAlignment="1" applyProtection="1">
      <alignment horizontal="center" vertical="center"/>
      <protection hidden="1"/>
    </xf>
    <xf numFmtId="0" fontId="30" fillId="0" borderId="0" xfId="34" applyFont="1" applyFill="1" applyBorder="1" applyAlignment="1" applyProtection="1">
      <alignment horizontal="center" vertical="center"/>
      <protection hidden="1"/>
    </xf>
    <xf numFmtId="0" fontId="30" fillId="0" borderId="1" xfId="34" applyFont="1" applyFill="1" applyBorder="1" applyAlignment="1" applyProtection="1">
      <alignment horizontal="center" vertical="center"/>
      <protection hidden="1"/>
    </xf>
    <xf numFmtId="0" fontId="30" fillId="0" borderId="24" xfId="34" applyFont="1" applyFill="1" applyBorder="1" applyAlignment="1" applyProtection="1">
      <alignment horizontal="center" vertical="center"/>
      <protection hidden="1"/>
    </xf>
    <xf numFmtId="0" fontId="30" fillId="0" borderId="6" xfId="34" applyFont="1" applyFill="1" applyBorder="1" applyAlignment="1" applyProtection="1">
      <alignment horizontal="center" vertical="center"/>
      <protection hidden="1"/>
    </xf>
    <xf numFmtId="0" fontId="30" fillId="0" borderId="27" xfId="0" applyFont="1" applyBorder="1" applyAlignment="1" applyProtection="1">
      <alignment horizontal="left"/>
      <protection hidden="1"/>
    </xf>
    <xf numFmtId="0" fontId="30" fillId="0" borderId="4" xfId="0" applyFont="1" applyBorder="1" applyAlignment="1" applyProtection="1">
      <alignment horizontal="left"/>
      <protection hidden="1"/>
    </xf>
    <xf numFmtId="0" fontId="30" fillId="0" borderId="14" xfId="33" applyFont="1" applyBorder="1" applyAlignment="1" applyProtection="1">
      <alignment horizontal="left" vertical="center" wrapText="1"/>
      <protection hidden="1"/>
    </xf>
    <xf numFmtId="0" fontId="30" fillId="0" borderId="8" xfId="33" applyFont="1" applyBorder="1" applyAlignment="1" applyProtection="1">
      <alignment horizontal="left" vertical="center" wrapText="1"/>
      <protection hidden="1"/>
    </xf>
    <xf numFmtId="0" fontId="30" fillId="0" borderId="22" xfId="33" applyFont="1" applyBorder="1" applyAlignment="1" applyProtection="1">
      <alignment horizontal="left" vertical="center" wrapText="1"/>
      <protection hidden="1"/>
    </xf>
    <xf numFmtId="0" fontId="30" fillId="0" borderId="3" xfId="33" applyFont="1" applyBorder="1" applyAlignment="1" applyProtection="1">
      <alignment horizontal="left" vertical="center" wrapText="1"/>
      <protection hidden="1"/>
    </xf>
    <xf numFmtId="0" fontId="30" fillId="0" borderId="23" xfId="33" applyFont="1" applyBorder="1" applyAlignment="1" applyProtection="1">
      <alignment horizontal="left" vertical="center" wrapText="1"/>
      <protection hidden="1"/>
    </xf>
    <xf numFmtId="0" fontId="30" fillId="0" borderId="22" xfId="33" applyFont="1" applyBorder="1" applyAlignment="1" applyProtection="1">
      <alignment horizontal="center" vertical="center" wrapText="1"/>
      <protection hidden="1"/>
    </xf>
    <xf numFmtId="0" fontId="30" fillId="0" borderId="3" xfId="33" applyFont="1" applyBorder="1" applyAlignment="1" applyProtection="1">
      <alignment horizontal="center" vertical="center" wrapText="1"/>
      <protection hidden="1"/>
    </xf>
    <xf numFmtId="0" fontId="30" fillId="0" borderId="23" xfId="33" applyFont="1" applyBorder="1" applyAlignment="1" applyProtection="1">
      <alignment horizontal="center" vertical="center" wrapText="1"/>
      <protection hidden="1"/>
    </xf>
    <xf numFmtId="0" fontId="9" fillId="9" borderId="22" xfId="33" applyFont="1" applyFill="1" applyBorder="1" applyAlignment="1" applyProtection="1">
      <alignment horizontal="left" vertical="center"/>
      <protection hidden="1"/>
    </xf>
    <xf numFmtId="0" fontId="9" fillId="9" borderId="23" xfId="33" applyFont="1" applyFill="1" applyBorder="1" applyAlignment="1" applyProtection="1">
      <alignment horizontal="left" vertical="center"/>
      <protection hidden="1"/>
    </xf>
  </cellXfs>
  <cellStyles count="53">
    <cellStyle name="args.style" xfId="1"/>
    <cellStyle name="ARIAL" xfId="44"/>
    <cellStyle name="Arial10" xfId="2"/>
    <cellStyle name="Calc Currency (0)" xfId="3"/>
    <cellStyle name="Copied" xfId="4"/>
    <cellStyle name="COST1" xfId="5"/>
    <cellStyle name="Dollars" xfId="6"/>
    <cellStyle name="Dollars(0)" xfId="7"/>
    <cellStyle name="Entered" xfId="8"/>
    <cellStyle name="FORM" xfId="9"/>
    <cellStyle name="Grey" xfId="10"/>
    <cellStyle name="Header1" xfId="11"/>
    <cellStyle name="Header2" xfId="12"/>
    <cellStyle name="header3" xfId="13"/>
    <cellStyle name="Hyperlink" xfId="52" builtinId="8"/>
    <cellStyle name="Hyperlink 2" xfId="45"/>
    <cellStyle name="Hyperlink 2 2" xfId="46"/>
    <cellStyle name="Input [yellow]" xfId="14"/>
    <cellStyle name="Input Cell" xfId="47"/>
    <cellStyle name="Input Cells" xfId="15"/>
    <cellStyle name="Linked Cells" xfId="16"/>
    <cellStyle name="Milliers [0]_!!!GO" xfId="17"/>
    <cellStyle name="Milliers_!!!GO" xfId="18"/>
    <cellStyle name="Monétaire [0]_!!!GO" xfId="19"/>
    <cellStyle name="Monétaire_!!!GO" xfId="20"/>
    <cellStyle name="Normal" xfId="0" builtinId="0"/>
    <cellStyle name="Normal - Style1" xfId="21"/>
    <cellStyle name="Normal 10" xfId="43"/>
    <cellStyle name="Normal 11" xfId="48"/>
    <cellStyle name="Normal 2" xfId="22"/>
    <cellStyle name="Normal 2 2" xfId="33"/>
    <cellStyle name="Normal 3" xfId="38"/>
    <cellStyle name="Normal 4" xfId="39"/>
    <cellStyle name="Normal 4 2" xfId="40"/>
    <cellStyle name="Normal 5" xfId="37"/>
    <cellStyle name="Normal 6" xfId="35"/>
    <cellStyle name="Normal 7" xfId="36"/>
    <cellStyle name="Normal 8" xfId="41"/>
    <cellStyle name="Normal 9" xfId="42"/>
    <cellStyle name="Normal Input" xfId="49"/>
    <cellStyle name="Normal_CALCULATION LOG 2" xfId="34"/>
    <cellStyle name="Normal_SHJ-BMS-EN-VSS-L-2654 2" xfId="32"/>
    <cellStyle name="Œ…‹æØ‚è [0.00]_Region Orders (2)" xfId="23"/>
    <cellStyle name="Œ…‹æØ‚è_Region Orders (2)" xfId="24"/>
    <cellStyle name="per.style" xfId="25"/>
    <cellStyle name="Percent [2]" xfId="26"/>
    <cellStyle name="Percent 2" xfId="50"/>
    <cellStyle name="pricing" xfId="27"/>
    <cellStyle name="PSChar" xfId="28"/>
    <cellStyle name="RevList" xfId="29"/>
    <cellStyle name="STANDARD" xfId="30"/>
    <cellStyle name="Subtotal" xfId="31"/>
    <cellStyle name="Unprotected" xfId="51"/>
  </cellStyles>
  <dxfs count="0"/>
  <tableStyles count="0" defaultTableStyle="TableStyleMedium9" defaultPivotStyle="PivotStyleLight16"/>
  <colors>
    <mruColors>
      <color rgb="FF99FF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333375</xdr:colOff>
      <xdr:row>1</xdr:row>
      <xdr:rowOff>9525</xdr:rowOff>
    </xdr:from>
    <xdr:to>
      <xdr:col>8</xdr:col>
      <xdr:colOff>9780</xdr:colOff>
      <xdr:row>3</xdr:row>
      <xdr:rowOff>9768</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57800" y="209550"/>
          <a:ext cx="1829055" cy="600318"/>
        </a:xfrm>
        <a:prstGeom prst="rect">
          <a:avLst/>
        </a:prstGeom>
      </xdr:spPr>
    </xdr:pic>
    <xdr:clientData/>
  </xdr:twoCellAnchor>
  <xdr:twoCellAnchor editAs="oneCell">
    <xdr:from>
      <xdr:col>6</xdr:col>
      <xdr:colOff>371475</xdr:colOff>
      <xdr:row>30</xdr:row>
      <xdr:rowOff>19050</xdr:rowOff>
    </xdr:from>
    <xdr:to>
      <xdr:col>8</xdr:col>
      <xdr:colOff>47880</xdr:colOff>
      <xdr:row>31</xdr:row>
      <xdr:rowOff>295518</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95900" y="12592050"/>
          <a:ext cx="1829055" cy="6003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47625</xdr:colOff>
      <xdr:row>1</xdr:row>
      <xdr:rowOff>31696</xdr:rowOff>
    </xdr:from>
    <xdr:to>
      <xdr:col>17</xdr:col>
      <xdr:colOff>123825</xdr:colOff>
      <xdr:row>3</xdr:row>
      <xdr:rowOff>152400</xdr:rowOff>
    </xdr:to>
    <xdr:pic>
      <xdr:nvPicPr>
        <xdr:cNvPr id="2" name="Picture 159"/>
        <xdr:cNvPicPr>
          <a:picLocks noChangeAspect="1" noChangeArrowheads="1"/>
        </xdr:cNvPicPr>
      </xdr:nvPicPr>
      <xdr:blipFill>
        <a:blip xmlns:r="http://schemas.openxmlformats.org/officeDocument/2006/relationships" r:embed="rId1" cstate="print"/>
        <a:srcRect/>
        <a:stretch>
          <a:fillRect/>
        </a:stretch>
      </xdr:blipFill>
      <xdr:spPr bwMode="auto">
        <a:xfrm>
          <a:off x="6229350" y="241246"/>
          <a:ext cx="1590675" cy="55885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196531</xdr:colOff>
      <xdr:row>1</xdr:row>
      <xdr:rowOff>137249</xdr:rowOff>
    </xdr:from>
    <xdr:to>
      <xdr:col>14</xdr:col>
      <xdr:colOff>530278</xdr:colOff>
      <xdr:row>23</xdr:row>
      <xdr:rowOff>120650</xdr:rowOff>
    </xdr:to>
    <xdr:grpSp>
      <xdr:nvGrpSpPr>
        <xdr:cNvPr id="3076" name="Group 4"/>
        <xdr:cNvGrpSpPr>
          <a:grpSpLocks noChangeAspect="1"/>
        </xdr:cNvGrpSpPr>
      </xdr:nvGrpSpPr>
      <xdr:grpSpPr bwMode="auto">
        <a:xfrm>
          <a:off x="196531" y="295999"/>
          <a:ext cx="8779247" cy="3475901"/>
          <a:chOff x="60" y="47"/>
          <a:chExt cx="1095" cy="372"/>
        </a:xfrm>
      </xdr:grpSpPr>
      <xdr:sp macro="" textlink="">
        <xdr:nvSpPr>
          <xdr:cNvPr id="3075" name="AutoShape 3"/>
          <xdr:cNvSpPr>
            <a:spLocks noChangeAspect="1" noChangeArrowheads="1" noTextEdit="1"/>
          </xdr:cNvSpPr>
        </xdr:nvSpPr>
        <xdr:spPr bwMode="auto">
          <a:xfrm>
            <a:off x="64" y="51"/>
            <a:ext cx="1091" cy="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5"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 y="47"/>
            <a:ext cx="1092" cy="3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0</xdr:col>
      <xdr:colOff>79375</xdr:colOff>
      <xdr:row>23</xdr:row>
      <xdr:rowOff>95246</xdr:rowOff>
    </xdr:from>
    <xdr:to>
      <xdr:col>14</xdr:col>
      <xdr:colOff>510686</xdr:colOff>
      <xdr:row>88</xdr:row>
      <xdr:rowOff>126999</xdr:rowOff>
    </xdr:to>
    <xdr:pic>
      <xdr:nvPicPr>
        <xdr:cNvPr id="6" name="Picture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75" y="3746496"/>
          <a:ext cx="8876811" cy="103505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ivek\vivek_common\JI-163\ELECTRICAL\1490B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ivek\vivek_common\JI-163\ELECTRICAL\1483B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RNE\ENG\MEC\ENQUIRY\MC22AVFU\DATA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ge 2"/>
      <sheetName val="LV induction motors"/>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ge 2"/>
      <sheetName val="Alternator"/>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 Data"/>
      <sheetName val="Electrical Load List"/>
      <sheetName val="Air Cooler-E"/>
    </sheetNames>
    <sheetDataSet>
      <sheetData sheetId="0"/>
      <sheetData sheetId="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339933"/>
        </a:solidFill>
        <a:ln w="1905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339933"/>
        </a:solidFill>
        <a:ln w="1905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apb017aaashjuae:8004/2009/ControlDocument/PEC-EN-VSR-L-13477"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5"/>
  <sheetViews>
    <sheetView view="pageBreakPreview" topLeftCell="A100" zoomScale="90" zoomScaleNormal="100" zoomScaleSheetLayoutView="90" workbookViewId="0">
      <selection activeCell="F123" sqref="F123"/>
    </sheetView>
  </sheetViews>
  <sheetFormatPr defaultRowHeight="15"/>
  <cols>
    <col min="1" max="1" width="3.7109375" style="10" customWidth="1"/>
    <col min="2" max="2" width="5.7109375" style="10" customWidth="1"/>
    <col min="3" max="3" width="8" style="10" customWidth="1"/>
    <col min="4" max="4" width="15" style="10" customWidth="1"/>
    <col min="5" max="5" width="24.7109375" style="10" customWidth="1"/>
    <col min="6" max="7" width="16.7109375" style="10" customWidth="1"/>
    <col min="8" max="8" width="15.5703125" style="10" customWidth="1"/>
    <col min="9" max="9" width="6.42578125" style="10" customWidth="1"/>
    <col min="10" max="10" width="3.7109375" style="10" customWidth="1"/>
    <col min="11" max="16384" width="9.140625" style="10"/>
  </cols>
  <sheetData>
    <row r="1" spans="2:9" ht="15.75" customHeight="1">
      <c r="B1" s="94" t="s">
        <v>15</v>
      </c>
      <c r="C1" s="95"/>
      <c r="D1" s="96"/>
      <c r="E1" s="97" t="s">
        <v>95</v>
      </c>
      <c r="F1" s="97"/>
      <c r="G1" s="98"/>
      <c r="H1" s="99"/>
      <c r="I1" s="100"/>
    </row>
    <row r="2" spans="2:9" ht="15.75" customHeight="1">
      <c r="B2" s="94" t="s">
        <v>0</v>
      </c>
      <c r="C2" s="95"/>
      <c r="D2" s="96"/>
      <c r="E2" s="97">
        <v>0</v>
      </c>
      <c r="F2" s="97"/>
      <c r="G2" s="101"/>
      <c r="H2" s="102"/>
      <c r="I2" s="103"/>
    </row>
    <row r="3" spans="2:9" ht="31.5" customHeight="1">
      <c r="B3" s="107" t="s">
        <v>2</v>
      </c>
      <c r="C3" s="108"/>
      <c r="D3" s="109"/>
      <c r="E3" s="110" t="s">
        <v>58</v>
      </c>
      <c r="F3" s="109"/>
      <c r="G3" s="101"/>
      <c r="H3" s="102"/>
      <c r="I3" s="103"/>
    </row>
    <row r="4" spans="2:9" ht="15.75" customHeight="1">
      <c r="B4" s="94" t="s">
        <v>16</v>
      </c>
      <c r="C4" s="95"/>
      <c r="D4" s="96"/>
      <c r="E4" s="97" t="s">
        <v>61</v>
      </c>
      <c r="F4" s="97"/>
      <c r="G4" s="104"/>
      <c r="H4" s="105"/>
      <c r="I4" s="106"/>
    </row>
    <row r="5" spans="2:9">
      <c r="B5" s="11"/>
      <c r="C5" s="12"/>
      <c r="D5" s="12"/>
      <c r="E5" s="12"/>
      <c r="F5" s="12"/>
      <c r="G5" s="12"/>
      <c r="H5" s="12"/>
      <c r="I5" s="13"/>
    </row>
    <row r="6" spans="2:9">
      <c r="B6" s="11"/>
      <c r="C6" s="12"/>
      <c r="D6" s="12"/>
      <c r="E6" s="12"/>
      <c r="F6" s="12"/>
      <c r="G6" s="12"/>
      <c r="H6" s="12"/>
      <c r="I6" s="13"/>
    </row>
    <row r="7" spans="2:9" ht="48.75" customHeight="1">
      <c r="B7" s="111"/>
      <c r="C7" s="112"/>
      <c r="D7" s="112"/>
      <c r="E7" s="112"/>
      <c r="F7" s="112"/>
      <c r="G7" s="112"/>
      <c r="H7" s="112"/>
      <c r="I7" s="13"/>
    </row>
    <row r="8" spans="2:9" ht="33.75" customHeight="1">
      <c r="B8" s="113"/>
      <c r="C8" s="114"/>
      <c r="D8" s="114"/>
      <c r="E8" s="114"/>
      <c r="F8" s="114"/>
      <c r="G8" s="114"/>
      <c r="H8" s="114"/>
      <c r="I8" s="13"/>
    </row>
    <row r="9" spans="2:9" ht="55.5" customHeight="1">
      <c r="B9" s="113"/>
      <c r="C9" s="114"/>
      <c r="D9" s="114"/>
      <c r="E9" s="114"/>
      <c r="F9" s="114"/>
      <c r="G9" s="114"/>
      <c r="H9" s="114"/>
      <c r="I9" s="13"/>
    </row>
    <row r="10" spans="2:9" ht="55.5" customHeight="1">
      <c r="B10" s="113" t="s">
        <v>100</v>
      </c>
      <c r="C10" s="114"/>
      <c r="D10" s="114"/>
      <c r="E10" s="114"/>
      <c r="F10" s="114"/>
      <c r="G10" s="114"/>
      <c r="H10" s="114"/>
      <c r="I10" s="13"/>
    </row>
    <row r="11" spans="2:9" ht="55.5" customHeight="1">
      <c r="B11" s="113"/>
      <c r="C11" s="114"/>
      <c r="D11" s="114"/>
      <c r="E11" s="114"/>
      <c r="F11" s="114"/>
      <c r="G11" s="114"/>
      <c r="H11" s="114"/>
      <c r="I11" s="13"/>
    </row>
    <row r="12" spans="2:9" ht="55.5" customHeight="1">
      <c r="B12" s="113"/>
      <c r="C12" s="114"/>
      <c r="D12" s="114"/>
      <c r="E12" s="114"/>
      <c r="F12" s="114"/>
      <c r="G12" s="114"/>
      <c r="H12" s="114"/>
      <c r="I12" s="13"/>
    </row>
    <row r="13" spans="2:9" ht="55.5" customHeight="1">
      <c r="B13" s="113"/>
      <c r="C13" s="114"/>
      <c r="D13" s="114"/>
      <c r="E13" s="114"/>
      <c r="F13" s="114"/>
      <c r="G13" s="114"/>
      <c r="H13" s="114"/>
      <c r="I13" s="13"/>
    </row>
    <row r="14" spans="2:9" ht="29.25" customHeight="1">
      <c r="B14" s="11"/>
      <c r="C14" s="12"/>
      <c r="D14" s="12"/>
      <c r="E14" s="12"/>
      <c r="F14" s="12"/>
      <c r="G14" s="12"/>
      <c r="H14" s="12"/>
      <c r="I14" s="13"/>
    </row>
    <row r="15" spans="2:9" ht="32.25" customHeight="1">
      <c r="B15" s="11"/>
      <c r="C15" s="12"/>
      <c r="D15" s="12"/>
      <c r="E15" s="12"/>
      <c r="F15" s="12"/>
      <c r="G15" s="12"/>
      <c r="H15" s="12"/>
      <c r="I15" s="13"/>
    </row>
    <row r="16" spans="2:9" ht="30.75" customHeight="1">
      <c r="B16" s="11"/>
      <c r="C16" s="12"/>
      <c r="D16" s="12"/>
      <c r="E16" s="12"/>
      <c r="F16" s="12"/>
      <c r="G16" s="12"/>
      <c r="H16" s="12"/>
      <c r="I16" s="13"/>
    </row>
    <row r="17" spans="1:10">
      <c r="B17" s="11"/>
      <c r="C17" s="12"/>
      <c r="D17" s="12"/>
      <c r="E17" s="12"/>
      <c r="F17" s="12"/>
      <c r="G17" s="12"/>
      <c r="H17" s="12"/>
      <c r="I17" s="13"/>
    </row>
    <row r="18" spans="1:10" ht="25.5" customHeight="1">
      <c r="B18" s="11"/>
      <c r="C18" s="115" t="s">
        <v>3</v>
      </c>
      <c r="D18" s="115"/>
      <c r="E18" s="115"/>
      <c r="F18" s="115"/>
      <c r="G18" s="115"/>
      <c r="H18" s="115"/>
      <c r="I18" s="13"/>
    </row>
    <row r="19" spans="1:10" ht="28.5" customHeight="1">
      <c r="B19" s="11"/>
      <c r="C19" s="14"/>
      <c r="D19" s="14"/>
      <c r="E19" s="14"/>
      <c r="F19" s="14"/>
      <c r="G19" s="14"/>
      <c r="H19" s="14"/>
      <c r="I19" s="13"/>
    </row>
    <row r="20" spans="1:10" ht="28.5" customHeight="1">
      <c r="B20" s="11"/>
      <c r="C20" s="15"/>
      <c r="D20" s="15"/>
      <c r="E20" s="16"/>
      <c r="F20" s="16"/>
      <c r="G20" s="16"/>
      <c r="H20" s="16"/>
      <c r="I20" s="13"/>
    </row>
    <row r="21" spans="1:10" ht="28.5" customHeight="1">
      <c r="B21" s="11"/>
      <c r="C21" s="15"/>
      <c r="D21" s="15"/>
      <c r="E21" s="16"/>
      <c r="F21" s="16"/>
      <c r="G21" s="16"/>
      <c r="H21" s="16"/>
      <c r="I21" s="13"/>
    </row>
    <row r="22" spans="1:10" ht="28.5" customHeight="1">
      <c r="B22" s="11"/>
      <c r="C22" s="15"/>
      <c r="D22" s="15"/>
      <c r="E22" s="16"/>
      <c r="F22" s="16"/>
      <c r="G22" s="16"/>
      <c r="H22" s="16"/>
      <c r="I22" s="13"/>
    </row>
    <row r="23" spans="1:10" ht="28.5" customHeight="1">
      <c r="B23" s="11"/>
      <c r="C23" s="15"/>
      <c r="D23" s="15"/>
      <c r="E23" s="16"/>
      <c r="F23" s="16"/>
      <c r="G23" s="16"/>
      <c r="H23" s="16"/>
      <c r="I23" s="13"/>
    </row>
    <row r="24" spans="1:10" ht="45" customHeight="1">
      <c r="B24" s="11"/>
      <c r="C24" s="15"/>
      <c r="D24" s="15"/>
      <c r="E24" s="17"/>
      <c r="F24" s="16"/>
      <c r="G24" s="16"/>
      <c r="H24" s="16"/>
      <c r="I24" s="13"/>
    </row>
    <row r="25" spans="1:10" ht="70.5" customHeight="1">
      <c r="B25" s="11"/>
      <c r="C25" s="9">
        <v>0</v>
      </c>
      <c r="D25" s="63">
        <v>41625</v>
      </c>
      <c r="E25" s="9" t="s">
        <v>60</v>
      </c>
      <c r="F25" s="9" t="s">
        <v>98</v>
      </c>
      <c r="G25" s="9" t="s">
        <v>92</v>
      </c>
      <c r="H25" s="9" t="s">
        <v>93</v>
      </c>
      <c r="I25" s="13"/>
    </row>
    <row r="26" spans="1:10" ht="36" customHeight="1">
      <c r="B26" s="11"/>
      <c r="C26" s="14" t="s">
        <v>4</v>
      </c>
      <c r="D26" s="14" t="s">
        <v>5</v>
      </c>
      <c r="E26" s="14" t="s">
        <v>6</v>
      </c>
      <c r="F26" s="14" t="s">
        <v>62</v>
      </c>
      <c r="G26" s="18" t="s">
        <v>17</v>
      </c>
      <c r="H26" s="18" t="s">
        <v>7</v>
      </c>
      <c r="I26" s="13"/>
    </row>
    <row r="27" spans="1:10" ht="33.75" customHeight="1">
      <c r="B27" s="11"/>
      <c r="C27" s="93" t="s">
        <v>63</v>
      </c>
      <c r="D27" s="93"/>
      <c r="E27" s="93"/>
      <c r="F27" s="93"/>
      <c r="G27" s="93"/>
      <c r="H27" s="93"/>
      <c r="I27" s="13"/>
    </row>
    <row r="28" spans="1:10">
      <c r="B28" s="11"/>
      <c r="C28" s="12"/>
      <c r="D28" s="12"/>
      <c r="E28" s="12"/>
      <c r="F28" s="12"/>
      <c r="G28" s="12"/>
      <c r="H28" s="12"/>
      <c r="I28" s="13"/>
    </row>
    <row r="29" spans="1:10">
      <c r="B29" s="11"/>
      <c r="C29" s="12"/>
      <c r="D29" s="12"/>
      <c r="E29" s="12"/>
      <c r="F29" s="12"/>
      <c r="G29" s="12"/>
      <c r="H29" s="12"/>
      <c r="I29" s="13"/>
    </row>
    <row r="30" spans="1:10">
      <c r="A30" s="12"/>
      <c r="B30" s="19"/>
      <c r="C30" s="20"/>
      <c r="D30" s="20"/>
      <c r="E30" s="20"/>
      <c r="F30" s="20"/>
      <c r="G30" s="20"/>
      <c r="H30" s="20"/>
      <c r="I30" s="21"/>
      <c r="J30" s="12"/>
    </row>
    <row r="31" spans="1:10" ht="25.5" customHeight="1">
      <c r="B31" s="117" t="s">
        <v>15</v>
      </c>
      <c r="C31" s="117"/>
      <c r="D31" s="117"/>
      <c r="E31" s="7" t="s">
        <v>59</v>
      </c>
      <c r="F31" s="7" t="s">
        <v>0</v>
      </c>
      <c r="G31" s="118"/>
      <c r="H31" s="118"/>
      <c r="I31" s="118"/>
    </row>
    <row r="32" spans="1:10" ht="30" customHeight="1">
      <c r="B32" s="117" t="s">
        <v>95</v>
      </c>
      <c r="C32" s="117"/>
      <c r="D32" s="117"/>
      <c r="E32" s="7" t="s">
        <v>100</v>
      </c>
      <c r="F32" s="7">
        <v>0</v>
      </c>
      <c r="G32" s="118"/>
      <c r="H32" s="118"/>
      <c r="I32" s="118"/>
    </row>
    <row r="33" spans="2:9" ht="36.75" customHeight="1">
      <c r="B33" s="22"/>
      <c r="C33" s="23"/>
      <c r="D33" s="23"/>
      <c r="E33" s="23"/>
      <c r="F33" s="23"/>
      <c r="G33" s="12"/>
      <c r="H33" s="12"/>
      <c r="I33" s="13"/>
    </row>
    <row r="34" spans="2:9" ht="54" customHeight="1">
      <c r="B34" s="11"/>
      <c r="C34" s="119" t="s">
        <v>8</v>
      </c>
      <c r="D34" s="119"/>
      <c r="E34" s="119"/>
      <c r="F34" s="119"/>
      <c r="G34" s="119"/>
      <c r="H34" s="8"/>
      <c r="I34" s="24"/>
    </row>
    <row r="35" spans="2:9" ht="28.5" customHeight="1">
      <c r="B35" s="11"/>
      <c r="C35" s="12"/>
      <c r="D35" s="12"/>
      <c r="E35" s="12"/>
      <c r="F35" s="12"/>
      <c r="G35" s="12"/>
      <c r="H35" s="12"/>
      <c r="I35" s="13"/>
    </row>
    <row r="36" spans="2:9" ht="32.25" customHeight="1">
      <c r="B36" s="11"/>
      <c r="C36" s="25">
        <v>1</v>
      </c>
      <c r="D36" s="116" t="s">
        <v>9</v>
      </c>
      <c r="E36" s="116"/>
      <c r="F36" s="116"/>
      <c r="G36" s="116"/>
      <c r="H36" s="26">
        <v>3</v>
      </c>
      <c r="I36" s="13"/>
    </row>
    <row r="37" spans="2:9" ht="30.75" customHeight="1">
      <c r="B37" s="11"/>
      <c r="C37" s="25">
        <v>2</v>
      </c>
      <c r="D37" s="116" t="s">
        <v>10</v>
      </c>
      <c r="E37" s="116"/>
      <c r="F37" s="116"/>
      <c r="G37" s="116"/>
      <c r="H37" s="26">
        <v>3</v>
      </c>
      <c r="I37" s="13"/>
    </row>
    <row r="38" spans="2:9" ht="30.75" customHeight="1">
      <c r="B38" s="11"/>
      <c r="C38" s="91">
        <v>2.1</v>
      </c>
      <c r="D38" s="121" t="s">
        <v>102</v>
      </c>
      <c r="E38" s="121"/>
      <c r="F38" s="121"/>
      <c r="G38" s="121"/>
      <c r="H38" s="92">
        <v>3</v>
      </c>
      <c r="I38" s="13"/>
    </row>
    <row r="39" spans="2:9" ht="30.75" customHeight="1">
      <c r="B39" s="11"/>
      <c r="C39" s="25">
        <v>3</v>
      </c>
      <c r="D39" s="116" t="s">
        <v>11</v>
      </c>
      <c r="E39" s="116"/>
      <c r="F39" s="116"/>
      <c r="G39" s="116"/>
      <c r="H39" s="26">
        <v>3</v>
      </c>
      <c r="I39" s="13"/>
    </row>
    <row r="40" spans="2:9" ht="21" customHeight="1">
      <c r="B40" s="11"/>
      <c r="C40" s="27">
        <v>3.1</v>
      </c>
      <c r="D40" s="120" t="s">
        <v>14</v>
      </c>
      <c r="E40" s="120"/>
      <c r="F40" s="120"/>
      <c r="G40" s="120"/>
      <c r="H40" s="28">
        <v>3</v>
      </c>
      <c r="I40" s="13"/>
    </row>
    <row r="41" spans="2:9" ht="20.25" customHeight="1">
      <c r="B41" s="11"/>
      <c r="C41" s="27">
        <v>3.2</v>
      </c>
      <c r="D41" s="120" t="s">
        <v>12</v>
      </c>
      <c r="E41" s="120"/>
      <c r="F41" s="120"/>
      <c r="G41" s="120"/>
      <c r="H41" s="28">
        <v>3</v>
      </c>
      <c r="I41" s="13"/>
    </row>
    <row r="42" spans="2:9" ht="26.25" customHeight="1">
      <c r="B42" s="11"/>
      <c r="C42" s="25">
        <v>4</v>
      </c>
      <c r="D42" s="116" t="s">
        <v>26</v>
      </c>
      <c r="E42" s="116"/>
      <c r="F42" s="116"/>
      <c r="G42" s="116"/>
      <c r="H42" s="26">
        <v>3</v>
      </c>
      <c r="I42" s="13"/>
    </row>
    <row r="43" spans="2:9" ht="27.75" customHeight="1">
      <c r="B43" s="11"/>
      <c r="C43" s="25">
        <v>5</v>
      </c>
      <c r="D43" s="116" t="s">
        <v>27</v>
      </c>
      <c r="E43" s="116"/>
      <c r="F43" s="116"/>
      <c r="G43" s="116"/>
      <c r="H43" s="26">
        <v>3</v>
      </c>
      <c r="I43" s="13"/>
    </row>
    <row r="44" spans="2:9" ht="27" customHeight="1">
      <c r="B44" s="11"/>
      <c r="C44" s="25">
        <v>6</v>
      </c>
      <c r="D44" s="116" t="s">
        <v>25</v>
      </c>
      <c r="E44" s="116"/>
      <c r="F44" s="116"/>
      <c r="G44" s="116"/>
      <c r="H44" s="26">
        <v>3</v>
      </c>
      <c r="I44" s="13"/>
    </row>
    <row r="45" spans="2:9" ht="28.5" customHeight="1">
      <c r="B45" s="11"/>
      <c r="C45" s="25">
        <v>7</v>
      </c>
      <c r="D45" s="116" t="s">
        <v>28</v>
      </c>
      <c r="E45" s="116"/>
      <c r="F45" s="116"/>
      <c r="G45" s="116"/>
      <c r="H45" s="26">
        <v>3</v>
      </c>
      <c r="I45" s="13"/>
    </row>
    <row r="46" spans="2:9" ht="28.5" customHeight="1">
      <c r="B46" s="11"/>
      <c r="C46" s="25">
        <v>8</v>
      </c>
      <c r="D46" s="90" t="s">
        <v>103</v>
      </c>
      <c r="E46" s="90"/>
      <c r="F46" s="90"/>
      <c r="G46" s="90"/>
      <c r="H46" s="26">
        <v>3</v>
      </c>
      <c r="I46" s="13"/>
    </row>
    <row r="47" spans="2:9" ht="28.5" customHeight="1">
      <c r="B47" s="11"/>
      <c r="C47" s="25">
        <v>9</v>
      </c>
      <c r="D47" s="116" t="s">
        <v>29</v>
      </c>
      <c r="E47" s="116"/>
      <c r="F47" s="116"/>
      <c r="G47" s="116"/>
      <c r="H47" s="26">
        <v>3</v>
      </c>
      <c r="I47" s="13"/>
    </row>
    <row r="48" spans="2:9">
      <c r="B48" s="11"/>
      <c r="C48" s="12"/>
      <c r="D48" s="12"/>
      <c r="E48" s="12"/>
      <c r="F48" s="12"/>
      <c r="G48" s="12"/>
      <c r="H48" s="12"/>
      <c r="I48" s="13"/>
    </row>
    <row r="49" spans="2:9">
      <c r="B49" s="11"/>
      <c r="C49" s="12"/>
      <c r="D49" s="12"/>
      <c r="E49" s="12"/>
      <c r="F49" s="12"/>
      <c r="G49" s="12"/>
      <c r="H49" s="12"/>
      <c r="I49" s="13"/>
    </row>
    <row r="50" spans="2:9">
      <c r="B50" s="11"/>
      <c r="C50" s="12"/>
      <c r="D50" s="12"/>
      <c r="E50" s="12"/>
      <c r="F50" s="12"/>
      <c r="G50" s="12"/>
      <c r="H50" s="12"/>
      <c r="I50" s="13"/>
    </row>
    <row r="51" spans="2:9">
      <c r="B51" s="11"/>
      <c r="C51" s="12"/>
      <c r="D51" s="12"/>
      <c r="E51" s="12"/>
      <c r="F51" s="12"/>
      <c r="G51" s="12"/>
      <c r="H51" s="12"/>
      <c r="I51" s="13"/>
    </row>
    <row r="52" spans="2:9">
      <c r="B52" s="11"/>
      <c r="C52" s="12"/>
      <c r="D52" s="12"/>
      <c r="E52" s="12"/>
      <c r="F52" s="12"/>
      <c r="G52" s="12"/>
      <c r="H52" s="12"/>
      <c r="I52" s="13"/>
    </row>
    <row r="53" spans="2:9">
      <c r="B53" s="11"/>
      <c r="C53" s="12"/>
      <c r="D53" s="12"/>
      <c r="E53" s="12"/>
      <c r="F53" s="12"/>
      <c r="G53" s="12"/>
      <c r="H53" s="12"/>
      <c r="I53" s="13"/>
    </row>
    <row r="54" spans="2:9">
      <c r="B54" s="11"/>
      <c r="C54" s="12"/>
      <c r="D54" s="12"/>
      <c r="E54" s="12"/>
      <c r="F54" s="12"/>
      <c r="G54" s="12"/>
      <c r="H54" s="12"/>
      <c r="I54" s="13"/>
    </row>
    <row r="55" spans="2:9">
      <c r="B55" s="11"/>
      <c r="C55" s="12"/>
      <c r="D55" s="12"/>
      <c r="E55" s="12"/>
      <c r="F55" s="12"/>
      <c r="G55" s="12"/>
      <c r="H55" s="12"/>
      <c r="I55" s="13"/>
    </row>
    <row r="56" spans="2:9">
      <c r="B56" s="11"/>
      <c r="C56" s="12"/>
      <c r="D56" s="12"/>
      <c r="E56" s="12"/>
      <c r="F56" s="12"/>
      <c r="G56" s="12"/>
      <c r="H56" s="12"/>
      <c r="I56" s="13"/>
    </row>
    <row r="57" spans="2:9">
      <c r="B57" s="11"/>
      <c r="C57" s="12"/>
      <c r="D57" s="12"/>
      <c r="E57" s="12"/>
      <c r="F57" s="12"/>
      <c r="G57" s="12"/>
      <c r="H57" s="12"/>
      <c r="I57" s="13"/>
    </row>
    <row r="58" spans="2:9">
      <c r="B58" s="11"/>
      <c r="C58" s="12"/>
      <c r="D58" s="12"/>
      <c r="E58" s="12"/>
      <c r="F58" s="12"/>
      <c r="G58" s="12"/>
      <c r="H58" s="12"/>
      <c r="I58" s="13"/>
    </row>
    <row r="59" spans="2:9" ht="9.75" customHeight="1">
      <c r="B59" s="11"/>
      <c r="C59" s="12"/>
      <c r="D59" s="12"/>
      <c r="E59" s="12"/>
      <c r="F59" s="12"/>
      <c r="G59" s="12"/>
      <c r="H59" s="12"/>
      <c r="I59" s="13"/>
    </row>
    <row r="60" spans="2:9" ht="1.5" customHeight="1">
      <c r="B60" s="11"/>
      <c r="C60" s="12"/>
      <c r="D60" s="12"/>
      <c r="E60" s="12"/>
      <c r="F60" s="12"/>
      <c r="G60" s="12"/>
      <c r="H60" s="12"/>
      <c r="I60" s="13"/>
    </row>
    <row r="61" spans="2:9">
      <c r="B61" s="11"/>
      <c r="C61" s="12"/>
      <c r="D61" s="12"/>
      <c r="E61" s="12"/>
      <c r="F61" s="12"/>
      <c r="G61" s="12"/>
      <c r="H61" s="12"/>
      <c r="I61" s="13"/>
    </row>
    <row r="62" spans="2:9">
      <c r="B62" s="11"/>
      <c r="C62" s="12"/>
      <c r="D62" s="12"/>
      <c r="E62" s="12"/>
      <c r="F62" s="12"/>
      <c r="G62" s="12"/>
      <c r="H62" s="12"/>
      <c r="I62" s="13"/>
    </row>
    <row r="63" spans="2:9">
      <c r="B63" s="11"/>
      <c r="C63" s="12"/>
      <c r="D63" s="12"/>
      <c r="E63" s="12"/>
      <c r="F63" s="12"/>
      <c r="G63" s="12"/>
      <c r="H63" s="12"/>
      <c r="I63" s="13"/>
    </row>
    <row r="64" spans="2:9">
      <c r="B64" s="11"/>
      <c r="C64" s="12"/>
      <c r="D64" s="12"/>
      <c r="E64" s="12"/>
      <c r="F64" s="12"/>
      <c r="G64" s="12"/>
      <c r="H64" s="12"/>
      <c r="I64" s="13"/>
    </row>
    <row r="65" spans="2:9">
      <c r="B65" s="11"/>
      <c r="C65" s="12"/>
      <c r="D65" s="12"/>
      <c r="E65" s="12"/>
      <c r="F65" s="12"/>
      <c r="G65" s="12"/>
      <c r="H65" s="12"/>
      <c r="I65" s="13"/>
    </row>
    <row r="66" spans="2:9">
      <c r="B66" s="11"/>
      <c r="C66" s="12"/>
      <c r="D66" s="12"/>
      <c r="E66" s="12"/>
      <c r="F66" s="12"/>
      <c r="G66" s="12"/>
      <c r="H66" s="12"/>
      <c r="I66" s="13"/>
    </row>
    <row r="67" spans="2:9">
      <c r="B67" s="11"/>
      <c r="C67" s="12"/>
      <c r="D67" s="12"/>
      <c r="E67" s="12"/>
      <c r="F67" s="12"/>
      <c r="G67" s="12"/>
      <c r="H67" s="12"/>
      <c r="I67" s="13"/>
    </row>
    <row r="68" spans="2:9">
      <c r="B68" s="11"/>
      <c r="C68" s="12"/>
      <c r="D68" s="12"/>
      <c r="E68" s="12"/>
      <c r="F68" s="12"/>
      <c r="G68" s="12"/>
      <c r="H68" s="12"/>
      <c r="I68" s="13"/>
    </row>
    <row r="69" spans="2:9" ht="3" customHeight="1">
      <c r="B69" s="11"/>
      <c r="C69" s="12"/>
      <c r="D69" s="12"/>
      <c r="E69" s="12"/>
      <c r="F69" s="12"/>
      <c r="G69" s="12"/>
      <c r="H69" s="12"/>
      <c r="I69" s="13"/>
    </row>
    <row r="70" spans="2:9">
      <c r="B70" s="11"/>
      <c r="C70" s="12"/>
      <c r="D70" s="12"/>
      <c r="E70" s="12"/>
      <c r="F70" s="12"/>
      <c r="G70" s="12"/>
      <c r="H70" s="12"/>
      <c r="I70" s="13"/>
    </row>
    <row r="71" spans="2:9">
      <c r="B71" s="11"/>
      <c r="C71" s="12"/>
      <c r="D71" s="12"/>
      <c r="E71" s="12"/>
      <c r="F71" s="12"/>
      <c r="G71" s="12"/>
      <c r="H71" s="12"/>
      <c r="I71" s="13"/>
    </row>
    <row r="72" spans="2:9">
      <c r="B72" s="11"/>
      <c r="C72" s="12"/>
      <c r="D72" s="12"/>
      <c r="E72" s="12"/>
      <c r="F72" s="12"/>
      <c r="G72" s="12"/>
      <c r="H72" s="12"/>
      <c r="I72" s="13"/>
    </row>
    <row r="73" spans="2:9">
      <c r="B73" s="11"/>
      <c r="C73" s="12"/>
      <c r="D73" s="12"/>
      <c r="E73" s="12"/>
      <c r="F73" s="12"/>
      <c r="G73" s="12"/>
      <c r="H73" s="12"/>
      <c r="I73" s="13"/>
    </row>
    <row r="74" spans="2:9">
      <c r="B74" s="11"/>
      <c r="C74" s="12"/>
      <c r="D74" s="12"/>
      <c r="E74" s="12"/>
      <c r="F74" s="12"/>
      <c r="G74" s="12"/>
      <c r="H74" s="12"/>
      <c r="I74" s="13"/>
    </row>
    <row r="75" spans="2:9">
      <c r="B75" s="11"/>
      <c r="C75" s="12"/>
      <c r="D75" s="12"/>
      <c r="E75" s="12"/>
      <c r="F75" s="12"/>
      <c r="G75" s="12"/>
      <c r="H75" s="12"/>
      <c r="I75" s="13"/>
    </row>
    <row r="76" spans="2:9">
      <c r="B76" s="11"/>
      <c r="C76" s="12"/>
      <c r="D76" s="12"/>
      <c r="E76" s="12"/>
      <c r="F76" s="12"/>
      <c r="G76" s="12"/>
      <c r="H76" s="12"/>
      <c r="I76" s="13"/>
    </row>
    <row r="77" spans="2:9">
      <c r="B77" s="11"/>
      <c r="C77" s="12"/>
      <c r="D77" s="12"/>
      <c r="E77" s="12"/>
      <c r="F77" s="12"/>
      <c r="G77" s="12"/>
      <c r="H77" s="12"/>
      <c r="I77" s="13"/>
    </row>
    <row r="78" spans="2:9">
      <c r="B78" s="11"/>
      <c r="C78" s="12"/>
      <c r="D78" s="12"/>
      <c r="E78" s="12"/>
      <c r="F78" s="12"/>
      <c r="G78" s="12"/>
      <c r="H78" s="12"/>
      <c r="I78" s="13"/>
    </row>
    <row r="79" spans="2:9">
      <c r="B79" s="11"/>
      <c r="C79" s="12"/>
      <c r="D79" s="12"/>
      <c r="E79" s="12"/>
      <c r="F79" s="12"/>
      <c r="G79" s="12"/>
      <c r="H79" s="12"/>
      <c r="I79" s="13"/>
    </row>
    <row r="80" spans="2:9">
      <c r="B80" s="11"/>
      <c r="C80" s="12"/>
      <c r="D80" s="12"/>
      <c r="E80" s="12"/>
      <c r="F80" s="12"/>
      <c r="G80" s="12"/>
      <c r="H80" s="12"/>
      <c r="I80" s="13"/>
    </row>
    <row r="81" spans="2:9">
      <c r="B81" s="11"/>
      <c r="C81" s="12"/>
      <c r="D81" s="12"/>
      <c r="E81" s="12"/>
      <c r="F81" s="12"/>
      <c r="G81" s="12"/>
      <c r="H81" s="12"/>
      <c r="I81" s="13"/>
    </row>
    <row r="82" spans="2:9">
      <c r="B82" s="19"/>
      <c r="C82" s="20"/>
      <c r="D82" s="20"/>
      <c r="E82" s="20"/>
      <c r="F82" s="20"/>
      <c r="G82" s="20"/>
      <c r="H82" s="20"/>
      <c r="I82" s="21"/>
    </row>
    <row r="83" spans="2:9" ht="12" customHeight="1">
      <c r="B83" s="22"/>
      <c r="C83" s="23"/>
      <c r="D83" s="23"/>
      <c r="E83" s="23"/>
      <c r="F83" s="23"/>
      <c r="G83" s="23"/>
      <c r="H83" s="23"/>
      <c r="I83" s="29"/>
    </row>
    <row r="84" spans="2:9" ht="12" customHeight="1">
      <c r="B84" s="11"/>
      <c r="C84" s="12"/>
      <c r="D84" s="12"/>
      <c r="E84" s="12"/>
      <c r="F84" s="12"/>
      <c r="G84" s="12"/>
      <c r="H84" s="12"/>
      <c r="I84" s="13"/>
    </row>
    <row r="85" spans="2:9" ht="16.5">
      <c r="B85" s="11"/>
      <c r="C85" s="123" t="s">
        <v>13</v>
      </c>
      <c r="D85" s="123"/>
      <c r="E85" s="123"/>
      <c r="F85" s="123"/>
      <c r="G85" s="123"/>
      <c r="H85" s="123"/>
      <c r="I85" s="13"/>
    </row>
    <row r="86" spans="2:9" ht="33.75" customHeight="1">
      <c r="B86" s="11"/>
      <c r="C86" s="122" t="s">
        <v>73</v>
      </c>
      <c r="D86" s="122"/>
      <c r="E86" s="122"/>
      <c r="F86" s="122"/>
      <c r="G86" s="122"/>
      <c r="H86" s="122"/>
      <c r="I86" s="13"/>
    </row>
    <row r="87" spans="2:9" ht="9.9499999999999993" customHeight="1">
      <c r="B87" s="11"/>
      <c r="C87" s="30"/>
      <c r="D87" s="30"/>
      <c r="E87" s="30"/>
      <c r="F87" s="30"/>
      <c r="G87" s="30"/>
      <c r="H87" s="30"/>
      <c r="I87" s="13"/>
    </row>
    <row r="88" spans="2:9" ht="16.5">
      <c r="B88" s="11"/>
      <c r="C88" s="123" t="s">
        <v>18</v>
      </c>
      <c r="D88" s="123"/>
      <c r="E88" s="123"/>
      <c r="F88" s="123"/>
      <c r="G88" s="123"/>
      <c r="H88" s="123"/>
      <c r="I88" s="13"/>
    </row>
    <row r="89" spans="2:9" ht="48" customHeight="1">
      <c r="B89" s="11"/>
      <c r="C89" s="122" t="s">
        <v>74</v>
      </c>
      <c r="D89" s="122"/>
      <c r="E89" s="122"/>
      <c r="F89" s="122"/>
      <c r="G89" s="122"/>
      <c r="H89" s="122"/>
      <c r="I89" s="13"/>
    </row>
    <row r="90" spans="2:9" ht="12" customHeight="1">
      <c r="B90" s="11"/>
      <c r="C90" s="89"/>
      <c r="D90" s="89"/>
      <c r="E90" s="89"/>
      <c r="F90" s="89"/>
      <c r="G90" s="89"/>
      <c r="H90" s="89"/>
      <c r="I90" s="13"/>
    </row>
    <row r="91" spans="2:9" ht="19.5" customHeight="1">
      <c r="B91" s="11"/>
      <c r="C91" s="125" t="s">
        <v>104</v>
      </c>
      <c r="D91" s="125"/>
      <c r="E91" s="125"/>
      <c r="F91" s="125"/>
      <c r="G91" s="125"/>
      <c r="H91" s="125"/>
      <c r="I91" s="13"/>
    </row>
    <row r="92" spans="2:9" ht="30.75" customHeight="1">
      <c r="B92" s="11"/>
      <c r="C92" s="122" t="s">
        <v>108</v>
      </c>
      <c r="D92" s="122"/>
      <c r="E92" s="122"/>
      <c r="F92" s="122"/>
      <c r="G92" s="122"/>
      <c r="H92" s="122"/>
      <c r="I92" s="13"/>
    </row>
    <row r="93" spans="2:9" ht="16.5">
      <c r="B93" s="11"/>
      <c r="C93" s="123" t="s">
        <v>64</v>
      </c>
      <c r="D93" s="123"/>
      <c r="E93" s="123"/>
      <c r="F93" s="123"/>
      <c r="G93" s="123"/>
      <c r="H93" s="123"/>
      <c r="I93" s="13"/>
    </row>
    <row r="94" spans="2:9" ht="9.9499999999999993" customHeight="1">
      <c r="B94" s="11"/>
      <c r="C94" s="30"/>
      <c r="D94" s="30"/>
      <c r="E94" s="30"/>
      <c r="F94" s="30"/>
      <c r="G94" s="30"/>
      <c r="H94" s="30"/>
      <c r="I94" s="13"/>
    </row>
    <row r="95" spans="2:9" ht="9.9499999999999993" customHeight="1">
      <c r="B95" s="11"/>
      <c r="C95" s="30"/>
      <c r="D95" s="30"/>
      <c r="E95" s="30"/>
      <c r="F95" s="30"/>
      <c r="G95" s="30"/>
      <c r="H95" s="30"/>
      <c r="I95" s="13"/>
    </row>
    <row r="96" spans="2:9" ht="16.5">
      <c r="B96" s="11"/>
      <c r="C96" s="123" t="s">
        <v>19</v>
      </c>
      <c r="D96" s="123"/>
      <c r="E96" s="123"/>
      <c r="F96" s="123"/>
      <c r="G96" s="123"/>
      <c r="H96" s="123"/>
      <c r="I96" s="13"/>
    </row>
    <row r="97" spans="2:9" ht="16.5">
      <c r="B97" s="11"/>
      <c r="C97" s="124" t="s">
        <v>71</v>
      </c>
      <c r="D97" s="124"/>
      <c r="E97" s="124"/>
      <c r="F97" s="124"/>
      <c r="G97" s="124"/>
      <c r="H97" s="124"/>
      <c r="I97" s="13"/>
    </row>
    <row r="98" spans="2:9" ht="9.9499999999999993" customHeight="1">
      <c r="B98" s="11"/>
      <c r="C98" s="31"/>
      <c r="D98" s="31"/>
      <c r="E98" s="31"/>
      <c r="F98" s="31"/>
      <c r="G98" s="31"/>
      <c r="H98" s="31"/>
      <c r="I98" s="13"/>
    </row>
    <row r="99" spans="2:9" ht="16.5">
      <c r="B99" s="11"/>
      <c r="C99" s="123" t="s">
        <v>20</v>
      </c>
      <c r="D99" s="123"/>
      <c r="E99" s="123"/>
      <c r="F99" s="123"/>
      <c r="G99" s="123"/>
      <c r="H99" s="123"/>
      <c r="I99" s="13"/>
    </row>
    <row r="100" spans="2:9" ht="16.5">
      <c r="B100" s="11"/>
      <c r="C100" s="122" t="s">
        <v>75</v>
      </c>
      <c r="D100" s="122"/>
      <c r="E100" s="122"/>
      <c r="F100" s="122"/>
      <c r="G100" s="122"/>
      <c r="H100" s="122"/>
      <c r="I100" s="13"/>
    </row>
    <row r="101" spans="2:9" ht="9.9499999999999993" customHeight="1">
      <c r="B101" s="11"/>
      <c r="C101" s="32"/>
      <c r="D101" s="32"/>
      <c r="E101" s="32"/>
      <c r="F101" s="32"/>
      <c r="G101" s="32"/>
      <c r="H101" s="32"/>
      <c r="I101" s="13"/>
    </row>
    <row r="102" spans="2:9" ht="16.5">
      <c r="B102" s="11"/>
      <c r="C102" s="123" t="s">
        <v>21</v>
      </c>
      <c r="D102" s="123"/>
      <c r="E102" s="123"/>
      <c r="F102" s="123"/>
      <c r="G102" s="123"/>
      <c r="H102" s="123"/>
      <c r="I102" s="13"/>
    </row>
    <row r="103" spans="2:9" ht="16.5">
      <c r="B103" s="11"/>
      <c r="C103" s="66" t="s">
        <v>97</v>
      </c>
      <c r="D103" s="65"/>
      <c r="E103" s="65" t="s">
        <v>96</v>
      </c>
      <c r="F103" s="65"/>
      <c r="G103" s="65"/>
      <c r="H103" s="65"/>
      <c r="I103" s="13"/>
    </row>
    <row r="104" spans="2:9" ht="9.9499999999999993" customHeight="1">
      <c r="B104" s="11"/>
      <c r="C104" s="33"/>
      <c r="D104" s="30"/>
      <c r="E104" s="30"/>
      <c r="F104" s="30"/>
      <c r="G104" s="30"/>
      <c r="H104" s="30"/>
      <c r="I104" s="13"/>
    </row>
    <row r="105" spans="2:9" ht="16.5">
      <c r="B105" s="11"/>
      <c r="C105" s="123" t="s">
        <v>22</v>
      </c>
      <c r="D105" s="123"/>
      <c r="E105" s="123"/>
      <c r="F105" s="123"/>
      <c r="G105" s="123"/>
      <c r="H105" s="123"/>
      <c r="I105" s="13"/>
    </row>
    <row r="106" spans="2:9" ht="36" customHeight="1">
      <c r="B106" s="11"/>
      <c r="C106" s="122" t="s">
        <v>66</v>
      </c>
      <c r="D106" s="124"/>
      <c r="E106" s="124"/>
      <c r="F106" s="124"/>
      <c r="G106" s="124"/>
      <c r="H106" s="124"/>
      <c r="I106" s="13"/>
    </row>
    <row r="107" spans="2:9" ht="9.9499999999999993" customHeight="1">
      <c r="B107" s="11"/>
      <c r="C107" s="33"/>
      <c r="D107" s="30"/>
      <c r="E107" s="30"/>
      <c r="F107" s="30"/>
      <c r="G107" s="30"/>
      <c r="H107" s="30"/>
      <c r="I107" s="13"/>
    </row>
    <row r="108" spans="2:9" ht="16.5">
      <c r="B108" s="11"/>
      <c r="C108" s="123" t="s">
        <v>24</v>
      </c>
      <c r="D108" s="123"/>
      <c r="E108" s="123"/>
      <c r="F108" s="123"/>
      <c r="G108" s="123"/>
      <c r="H108" s="123"/>
      <c r="I108" s="13"/>
    </row>
    <row r="109" spans="2:9" ht="16.5">
      <c r="B109" s="11"/>
      <c r="C109" s="34">
        <v>6.1</v>
      </c>
      <c r="D109" s="126" t="s">
        <v>76</v>
      </c>
      <c r="E109" s="126"/>
      <c r="F109" s="126"/>
      <c r="G109" s="126"/>
      <c r="H109" s="126"/>
      <c r="I109" s="13"/>
    </row>
    <row r="110" spans="2:9" ht="16.5">
      <c r="B110" s="11"/>
      <c r="C110" s="35">
        <v>6.2</v>
      </c>
      <c r="D110" s="126" t="s">
        <v>51</v>
      </c>
      <c r="E110" s="126"/>
      <c r="F110" s="127"/>
      <c r="G110" s="36"/>
      <c r="H110" s="37"/>
      <c r="I110" s="13"/>
    </row>
    <row r="111" spans="2:9" ht="33" customHeight="1">
      <c r="B111" s="11"/>
      <c r="C111" s="34">
        <v>6.3</v>
      </c>
      <c r="D111" s="126" t="s">
        <v>65</v>
      </c>
      <c r="E111" s="126"/>
      <c r="F111" s="127"/>
      <c r="G111" s="38"/>
      <c r="H111" s="39"/>
      <c r="I111" s="13"/>
    </row>
    <row r="112" spans="2:9" ht="93.75" customHeight="1">
      <c r="B112" s="11"/>
      <c r="C112" s="35">
        <v>6.4</v>
      </c>
      <c r="D112" s="128" t="s">
        <v>72</v>
      </c>
      <c r="E112" s="128"/>
      <c r="F112" s="128"/>
      <c r="G112" s="128"/>
      <c r="H112" s="128"/>
      <c r="I112" s="13"/>
    </row>
    <row r="113" spans="2:9" ht="31.5" customHeight="1">
      <c r="B113" s="11"/>
      <c r="C113" s="34">
        <v>6.5</v>
      </c>
      <c r="D113" s="126" t="s">
        <v>109</v>
      </c>
      <c r="E113" s="126"/>
      <c r="F113" s="126"/>
      <c r="G113" s="126"/>
      <c r="H113" s="126"/>
      <c r="I113" s="13"/>
    </row>
    <row r="114" spans="2:9" ht="31.5" customHeight="1">
      <c r="B114" s="11"/>
      <c r="C114" s="34">
        <v>6.6</v>
      </c>
      <c r="D114" s="129" t="s">
        <v>94</v>
      </c>
      <c r="E114" s="129"/>
      <c r="F114" s="129"/>
      <c r="G114" s="129"/>
      <c r="H114" s="129"/>
      <c r="I114" s="13"/>
    </row>
    <row r="115" spans="2:9" ht="12.75" customHeight="1">
      <c r="B115" s="11"/>
      <c r="C115" s="34"/>
      <c r="D115" s="37"/>
      <c r="E115" s="37"/>
      <c r="F115" s="37"/>
      <c r="G115" s="37"/>
      <c r="H115" s="37"/>
      <c r="I115" s="13"/>
    </row>
    <row r="116" spans="2:9" ht="16.5">
      <c r="B116" s="11"/>
      <c r="C116" s="123" t="s">
        <v>23</v>
      </c>
      <c r="D116" s="123"/>
      <c r="E116" s="123"/>
      <c r="F116" s="123"/>
      <c r="G116" s="123"/>
      <c r="H116" s="123"/>
      <c r="I116" s="13"/>
    </row>
    <row r="117" spans="2:9" ht="36.75" customHeight="1">
      <c r="B117" s="11"/>
      <c r="C117" s="40" t="s">
        <v>50</v>
      </c>
      <c r="D117" s="129" t="s">
        <v>110</v>
      </c>
      <c r="E117" s="129"/>
      <c r="F117" s="129"/>
      <c r="G117" s="129"/>
      <c r="H117" s="129"/>
      <c r="I117" s="13"/>
    </row>
    <row r="118" spans="2:9" ht="9.9499999999999993" customHeight="1">
      <c r="B118" s="11"/>
      <c r="C118" s="33"/>
      <c r="D118" s="30"/>
      <c r="E118" s="30"/>
      <c r="F118" s="128"/>
      <c r="G118" s="128"/>
      <c r="H118" s="30"/>
      <c r="I118" s="13"/>
    </row>
    <row r="119" spans="2:9" ht="17.25" customHeight="1">
      <c r="B119" s="11"/>
      <c r="C119" s="123" t="s">
        <v>105</v>
      </c>
      <c r="D119" s="123"/>
      <c r="E119" s="123"/>
      <c r="F119" s="123"/>
      <c r="G119" s="123"/>
      <c r="H119" s="123"/>
      <c r="I119" s="13"/>
    </row>
    <row r="120" spans="2:9" ht="18" customHeight="1">
      <c r="B120" s="11"/>
      <c r="C120" s="131" t="s">
        <v>106</v>
      </c>
      <c r="D120" s="131"/>
      <c r="E120" s="131"/>
      <c r="F120" s="131"/>
      <c r="G120" s="131"/>
      <c r="H120" s="131"/>
      <c r="I120" s="132"/>
    </row>
    <row r="121" spans="2:9" ht="16.5">
      <c r="B121" s="11"/>
      <c r="C121" s="123" t="s">
        <v>107</v>
      </c>
      <c r="D121" s="123"/>
      <c r="E121" s="123"/>
      <c r="F121" s="123"/>
      <c r="G121" s="123"/>
      <c r="H121" s="123"/>
      <c r="I121" s="13"/>
    </row>
    <row r="122" spans="2:9" ht="16.5">
      <c r="B122" s="11"/>
      <c r="C122" s="31" t="s">
        <v>111</v>
      </c>
      <c r="D122" s="42"/>
      <c r="E122" s="39"/>
      <c r="F122" s="42"/>
      <c r="G122" s="39"/>
      <c r="H122" s="39"/>
      <c r="I122" s="13"/>
    </row>
    <row r="123" spans="2:9" ht="16.5">
      <c r="B123" s="11"/>
      <c r="C123" s="42" t="s">
        <v>112</v>
      </c>
      <c r="D123" s="42"/>
      <c r="E123" s="42"/>
      <c r="F123" s="42"/>
      <c r="G123" s="42"/>
      <c r="H123" s="42"/>
      <c r="I123" s="13"/>
    </row>
    <row r="124" spans="2:9">
      <c r="B124" s="19"/>
      <c r="C124" s="20"/>
      <c r="D124" s="20"/>
      <c r="E124" s="20"/>
      <c r="F124" s="20"/>
      <c r="G124" s="20"/>
      <c r="H124" s="20"/>
      <c r="I124" s="21"/>
    </row>
    <row r="125" spans="2:9" ht="15.75">
      <c r="B125" s="41"/>
      <c r="C125" s="130"/>
      <c r="D125" s="130"/>
      <c r="E125" s="130"/>
      <c r="F125" s="130"/>
      <c r="G125" s="130"/>
      <c r="H125" s="130"/>
      <c r="I125" s="130"/>
    </row>
  </sheetData>
  <mergeCells count="58">
    <mergeCell ref="C125:I125"/>
    <mergeCell ref="D117:H117"/>
    <mergeCell ref="F118:G118"/>
    <mergeCell ref="C121:H121"/>
    <mergeCell ref="C119:H119"/>
    <mergeCell ref="C120:I120"/>
    <mergeCell ref="C116:H116"/>
    <mergeCell ref="C102:H102"/>
    <mergeCell ref="C105:H105"/>
    <mergeCell ref="C106:H106"/>
    <mergeCell ref="C108:H108"/>
    <mergeCell ref="D109:H109"/>
    <mergeCell ref="D110:F110"/>
    <mergeCell ref="D111:F111"/>
    <mergeCell ref="D112:H112"/>
    <mergeCell ref="D113:H113"/>
    <mergeCell ref="D114:H114"/>
    <mergeCell ref="C100:H100"/>
    <mergeCell ref="D45:G45"/>
    <mergeCell ref="D47:G47"/>
    <mergeCell ref="C85:H85"/>
    <mergeCell ref="C86:H86"/>
    <mergeCell ref="C88:H88"/>
    <mergeCell ref="C89:H89"/>
    <mergeCell ref="C93:H93"/>
    <mergeCell ref="C96:H96"/>
    <mergeCell ref="C97:H97"/>
    <mergeCell ref="C99:H99"/>
    <mergeCell ref="C91:H91"/>
    <mergeCell ref="C92:H92"/>
    <mergeCell ref="D44:G44"/>
    <mergeCell ref="B31:D31"/>
    <mergeCell ref="G31:I32"/>
    <mergeCell ref="B32:D32"/>
    <mergeCell ref="C34:G34"/>
    <mergeCell ref="D36:G36"/>
    <mergeCell ref="D37:G37"/>
    <mergeCell ref="D39:G39"/>
    <mergeCell ref="D40:G40"/>
    <mergeCell ref="D41:G41"/>
    <mergeCell ref="D42:G42"/>
    <mergeCell ref="D43:G43"/>
    <mergeCell ref="D38:G38"/>
    <mergeCell ref="C27:H27"/>
    <mergeCell ref="B1:D1"/>
    <mergeCell ref="E1:F1"/>
    <mergeCell ref="G1:I4"/>
    <mergeCell ref="B2:D2"/>
    <mergeCell ref="E2:F2"/>
    <mergeCell ref="B3:D3"/>
    <mergeCell ref="E3:F3"/>
    <mergeCell ref="B4:D4"/>
    <mergeCell ref="E4:F4"/>
    <mergeCell ref="B7:H7"/>
    <mergeCell ref="B8:H9"/>
    <mergeCell ref="B10:H11"/>
    <mergeCell ref="B12:H13"/>
    <mergeCell ref="C18:H18"/>
  </mergeCells>
  <hyperlinks>
    <hyperlink ref="C103" r:id="rId1" display="http://apb017aaashjuae:8004/2009/ControlDocument/PEC-EN-VSR-L-13477"/>
  </hyperlinks>
  <pageMargins left="0.7" right="0.7" top="0.75" bottom="0.75" header="0.3" footer="0.3"/>
  <pageSetup paperSize="9" scale="72" orientation="portrait" r:id="rId2"/>
  <headerFooter>
    <oddFooter>&amp;C&amp;"Trebuchet MS,Regular"&amp;9Page &amp;P of &amp;N</oddFooter>
  </headerFooter>
  <rowBreaks count="2" manualBreakCount="2">
    <brk id="30" max="9" man="1"/>
    <brk id="82" max="9" man="1"/>
  </rowBreaks>
  <ignoredErrors>
    <ignoredError sqref="C117" numberStoredAsText="1"/>
  </ignoredError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5"/>
  <sheetViews>
    <sheetView view="pageBreakPreview" zoomScale="90" zoomScaleNormal="100" zoomScaleSheetLayoutView="90" workbookViewId="0">
      <selection activeCell="B43" sqref="B43:I44"/>
    </sheetView>
  </sheetViews>
  <sheetFormatPr defaultRowHeight="12.75"/>
  <cols>
    <col min="1" max="1" width="9" customWidth="1"/>
    <col min="2" max="2" width="8.7109375" customWidth="1"/>
    <col min="3" max="3" width="11.5703125" customWidth="1"/>
    <col min="4" max="4" width="8.7109375" customWidth="1"/>
    <col min="5" max="5" width="6.28515625" customWidth="1"/>
    <col min="6" max="6" width="9.42578125" customWidth="1"/>
    <col min="7" max="7" width="6.85546875" customWidth="1"/>
    <col min="8" max="8" width="8.7109375" customWidth="1"/>
    <col min="9" max="9" width="10.85546875" customWidth="1"/>
    <col min="10" max="10" width="6.140625" customWidth="1"/>
    <col min="11" max="11" width="7.5703125" customWidth="1"/>
    <col min="12" max="12" width="7.140625" customWidth="1"/>
    <col min="13" max="13" width="2.7109375" customWidth="1"/>
    <col min="14" max="14" width="3.7109375" customWidth="1"/>
    <col min="15" max="15" width="2.7109375" customWidth="1"/>
    <col min="16" max="16" width="1.7109375" customWidth="1"/>
    <col min="17" max="17" width="4.7109375" customWidth="1"/>
    <col min="18" max="18" width="3.7109375" customWidth="1"/>
    <col min="19" max="19" width="2" customWidth="1"/>
  </cols>
  <sheetData>
    <row r="1" spans="1:19" s="3" customFormat="1" ht="16.5" customHeight="1">
      <c r="A1" s="2" t="s">
        <v>30</v>
      </c>
      <c r="B1" s="164" t="s">
        <v>31</v>
      </c>
      <c r="C1" s="164"/>
      <c r="D1" s="167" t="s">
        <v>101</v>
      </c>
      <c r="E1" s="168"/>
      <c r="F1" s="168"/>
      <c r="G1" s="168"/>
      <c r="H1" s="169"/>
      <c r="I1" s="50" t="s">
        <v>32</v>
      </c>
      <c r="J1" s="141">
        <v>0</v>
      </c>
      <c r="K1" s="142"/>
      <c r="L1" s="184"/>
      <c r="M1" s="184"/>
      <c r="N1" s="184"/>
      <c r="O1" s="184"/>
      <c r="P1" s="184"/>
      <c r="Q1" s="184"/>
      <c r="R1" s="184"/>
      <c r="S1" s="185"/>
    </row>
    <row r="2" spans="1:19" s="3" customFormat="1" ht="17.25" customHeight="1">
      <c r="A2" s="4" t="s">
        <v>33</v>
      </c>
      <c r="B2" s="165" t="s">
        <v>34</v>
      </c>
      <c r="C2" s="165"/>
      <c r="D2" s="170"/>
      <c r="E2" s="171"/>
      <c r="F2" s="171"/>
      <c r="G2" s="171"/>
      <c r="H2" s="172"/>
      <c r="I2" s="51" t="s">
        <v>35</v>
      </c>
      <c r="J2" s="143" t="s">
        <v>36</v>
      </c>
      <c r="K2" s="144"/>
      <c r="L2" s="186"/>
      <c r="M2" s="186"/>
      <c r="N2" s="186"/>
      <c r="O2" s="186"/>
      <c r="P2" s="186"/>
      <c r="Q2" s="186"/>
      <c r="R2" s="186"/>
      <c r="S2" s="187"/>
    </row>
    <row r="3" spans="1:19" s="3" customFormat="1" ht="17.25" customHeight="1">
      <c r="A3" s="4" t="s">
        <v>37</v>
      </c>
      <c r="B3" s="165" t="s">
        <v>38</v>
      </c>
      <c r="C3" s="165"/>
      <c r="D3" s="170"/>
      <c r="E3" s="171"/>
      <c r="F3" s="171"/>
      <c r="G3" s="171"/>
      <c r="H3" s="172"/>
      <c r="I3" s="52" t="s">
        <v>39</v>
      </c>
      <c r="J3" s="143" t="s">
        <v>40</v>
      </c>
      <c r="K3" s="144"/>
      <c r="L3" s="186"/>
      <c r="M3" s="186"/>
      <c r="N3" s="186"/>
      <c r="O3" s="186"/>
      <c r="P3" s="186"/>
      <c r="Q3" s="186"/>
      <c r="R3" s="186"/>
      <c r="S3" s="187"/>
    </row>
    <row r="4" spans="1:19" s="3" customFormat="1" ht="37.5" customHeight="1" thickBot="1">
      <c r="A4" s="5" t="s">
        <v>41</v>
      </c>
      <c r="B4" s="166" t="s">
        <v>42</v>
      </c>
      <c r="C4" s="166"/>
      <c r="D4" s="173"/>
      <c r="E4" s="174"/>
      <c r="F4" s="174"/>
      <c r="G4" s="174"/>
      <c r="H4" s="175"/>
      <c r="I4" s="53" t="s">
        <v>43</v>
      </c>
      <c r="J4" s="179" t="s">
        <v>44</v>
      </c>
      <c r="K4" s="180"/>
      <c r="L4" s="188"/>
      <c r="M4" s="188"/>
      <c r="N4" s="188"/>
      <c r="O4" s="188"/>
      <c r="P4" s="188"/>
      <c r="Q4" s="188"/>
      <c r="R4" s="188"/>
      <c r="S4" s="189"/>
    </row>
    <row r="5" spans="1:19" ht="18">
      <c r="A5" s="72"/>
      <c r="B5" s="73"/>
      <c r="C5" s="73"/>
      <c r="D5" s="73"/>
      <c r="E5" s="73"/>
      <c r="F5" s="73"/>
      <c r="G5" s="73"/>
      <c r="H5" s="73"/>
      <c r="I5" s="73"/>
      <c r="J5" s="73"/>
      <c r="K5" s="73"/>
      <c r="L5" s="73"/>
      <c r="M5" s="73"/>
      <c r="N5" s="73"/>
      <c r="O5" s="73"/>
      <c r="P5" s="73"/>
      <c r="Q5" s="73"/>
      <c r="R5" s="73"/>
      <c r="S5" s="74"/>
    </row>
    <row r="6" spans="1:19" ht="20.100000000000001" customHeight="1">
      <c r="A6" s="75"/>
      <c r="B6" s="64" t="s">
        <v>81</v>
      </c>
      <c r="C6" s="54"/>
      <c r="D6" s="76"/>
      <c r="E6" s="76"/>
      <c r="F6" s="76"/>
      <c r="G6" s="76"/>
      <c r="H6" s="76"/>
      <c r="I6" s="76"/>
      <c r="J6" s="76"/>
      <c r="K6" s="76"/>
      <c r="L6" s="76"/>
      <c r="M6" s="76"/>
      <c r="N6" s="76"/>
      <c r="O6" s="76"/>
      <c r="P6" s="76"/>
      <c r="Q6" s="76"/>
      <c r="R6" s="76"/>
      <c r="S6" s="77"/>
    </row>
    <row r="7" spans="1:19" ht="18">
      <c r="A7" s="78"/>
      <c r="B7" s="181" t="s">
        <v>80</v>
      </c>
      <c r="C7" s="182"/>
      <c r="D7" s="183"/>
      <c r="E7" s="76"/>
      <c r="F7" s="76"/>
      <c r="G7" s="76"/>
      <c r="H7" s="76"/>
      <c r="I7" s="76"/>
      <c r="J7" s="76"/>
      <c r="K7" s="76"/>
      <c r="L7" s="76"/>
      <c r="M7" s="76"/>
      <c r="N7" s="76"/>
      <c r="O7" s="76"/>
      <c r="P7" s="76"/>
      <c r="Q7" s="76"/>
      <c r="R7" s="76"/>
      <c r="S7" s="77"/>
    </row>
    <row r="8" spans="1:19" ht="18">
      <c r="A8" s="78"/>
      <c r="B8" s="79"/>
      <c r="C8" s="79"/>
      <c r="D8" s="79"/>
      <c r="E8" s="76"/>
      <c r="F8" s="76"/>
      <c r="G8" s="76"/>
      <c r="H8" s="76"/>
      <c r="I8" s="76"/>
      <c r="J8" s="76"/>
      <c r="K8" s="76"/>
      <c r="L8" s="76"/>
      <c r="M8" s="76"/>
      <c r="N8" s="76"/>
      <c r="O8" s="76"/>
      <c r="P8" s="76"/>
      <c r="Q8" s="76"/>
      <c r="R8" s="76"/>
      <c r="S8" s="77"/>
    </row>
    <row r="9" spans="1:19" ht="20.100000000000001" customHeight="1">
      <c r="A9" s="47"/>
      <c r="B9" s="156" t="s">
        <v>52</v>
      </c>
      <c r="C9" s="156"/>
      <c r="D9" s="156"/>
      <c r="E9" s="156"/>
      <c r="F9" s="156"/>
      <c r="G9" s="157"/>
      <c r="H9" s="44" t="s">
        <v>47</v>
      </c>
      <c r="I9" s="76"/>
      <c r="J9" s="76"/>
      <c r="K9" s="76"/>
      <c r="L9" s="76"/>
      <c r="M9" s="76"/>
      <c r="N9" s="76"/>
      <c r="O9" s="76"/>
      <c r="P9" s="76"/>
      <c r="Q9" s="76"/>
      <c r="R9" s="76"/>
      <c r="S9" s="77"/>
    </row>
    <row r="10" spans="1:19" ht="18">
      <c r="A10" s="78"/>
      <c r="B10" s="76"/>
      <c r="C10" s="76"/>
      <c r="D10" s="76"/>
      <c r="E10" s="76"/>
      <c r="F10" s="76"/>
      <c r="G10" s="76"/>
      <c r="H10" s="76"/>
      <c r="I10" s="76"/>
      <c r="J10" s="76"/>
      <c r="K10" s="76"/>
      <c r="L10" s="76"/>
      <c r="M10" s="76"/>
      <c r="N10" s="76"/>
      <c r="O10" s="76"/>
      <c r="P10" s="76"/>
      <c r="Q10" s="76"/>
      <c r="R10" s="76"/>
      <c r="S10" s="77"/>
    </row>
    <row r="11" spans="1:19" ht="20.100000000000001" customHeight="1">
      <c r="A11" s="47"/>
      <c r="B11" s="156" t="s">
        <v>69</v>
      </c>
      <c r="C11" s="156"/>
      <c r="D11" s="156"/>
      <c r="E11" s="156"/>
      <c r="F11" s="156"/>
      <c r="G11" s="157"/>
      <c r="H11" s="45">
        <v>0.214</v>
      </c>
      <c r="I11" s="76"/>
      <c r="J11" s="76"/>
      <c r="K11" s="76"/>
      <c r="L11" s="76"/>
      <c r="M11" s="76"/>
      <c r="N11" s="76"/>
      <c r="O11" s="76"/>
      <c r="P11" s="76"/>
      <c r="Q11" s="76"/>
      <c r="R11" s="76"/>
      <c r="S11" s="77"/>
    </row>
    <row r="12" spans="1:19" ht="18" customHeight="1">
      <c r="A12" s="78"/>
      <c r="B12" s="76"/>
      <c r="C12" s="76"/>
      <c r="D12" s="76"/>
      <c r="E12" s="76"/>
      <c r="F12" s="76"/>
      <c r="G12" s="76"/>
      <c r="H12" s="76"/>
      <c r="I12" s="76"/>
      <c r="J12" s="76"/>
      <c r="K12" s="76"/>
      <c r="L12" s="76"/>
      <c r="M12" s="76"/>
      <c r="N12" s="76"/>
      <c r="O12" s="76"/>
      <c r="P12" s="76"/>
      <c r="Q12" s="76"/>
      <c r="R12" s="76"/>
      <c r="S12" s="77"/>
    </row>
    <row r="13" spans="1:19" ht="39.950000000000003" customHeight="1">
      <c r="A13" s="47"/>
      <c r="B13" s="156" t="s">
        <v>77</v>
      </c>
      <c r="C13" s="156"/>
      <c r="D13" s="156"/>
      <c r="E13" s="156"/>
      <c r="F13" s="156"/>
      <c r="G13" s="157"/>
      <c r="H13" s="6">
        <v>1.2</v>
      </c>
      <c r="I13" s="76"/>
      <c r="J13" s="76"/>
      <c r="K13" s="76"/>
      <c r="L13" s="76"/>
      <c r="M13" s="76"/>
      <c r="N13" s="76"/>
      <c r="O13" s="76"/>
      <c r="P13" s="76"/>
      <c r="Q13" s="76"/>
      <c r="R13" s="76"/>
      <c r="S13" s="77"/>
    </row>
    <row r="14" spans="1:19" ht="18">
      <c r="A14" s="78"/>
      <c r="B14" s="76"/>
      <c r="C14" s="76"/>
      <c r="D14" s="76"/>
      <c r="E14" s="76"/>
      <c r="F14" s="76"/>
      <c r="G14" s="76"/>
      <c r="H14" s="76"/>
      <c r="I14" s="76"/>
      <c r="J14" s="76"/>
      <c r="K14" s="76"/>
      <c r="L14" s="76"/>
      <c r="M14" s="76"/>
      <c r="N14" s="76"/>
      <c r="O14" s="76"/>
      <c r="P14" s="76"/>
      <c r="Q14" s="76"/>
      <c r="R14" s="76"/>
      <c r="S14" s="77"/>
    </row>
    <row r="15" spans="1:19" ht="57" customHeight="1">
      <c r="A15" s="47"/>
      <c r="B15" s="197" t="s">
        <v>99</v>
      </c>
      <c r="C15" s="198"/>
      <c r="D15" s="199"/>
      <c r="E15" s="198" t="s">
        <v>82</v>
      </c>
      <c r="F15" s="198"/>
      <c r="G15" s="199"/>
      <c r="H15" s="58">
        <f>2/3*H11*H13</f>
        <v>0.17119999999999999</v>
      </c>
      <c r="I15" s="76"/>
      <c r="J15" s="76"/>
      <c r="K15" s="76"/>
      <c r="L15" s="76"/>
      <c r="M15" s="76"/>
      <c r="N15" s="76"/>
      <c r="O15" s="76"/>
      <c r="P15" s="76"/>
      <c r="Q15" s="76"/>
      <c r="R15" s="76"/>
      <c r="S15" s="77"/>
    </row>
    <row r="16" spans="1:19" ht="18">
      <c r="A16" s="78"/>
      <c r="B16" s="76"/>
      <c r="C16" s="76"/>
      <c r="D16" s="76"/>
      <c r="E16" s="76"/>
      <c r="F16" s="76"/>
      <c r="G16" s="76"/>
      <c r="H16" s="76"/>
      <c r="I16" s="76"/>
      <c r="J16" s="76"/>
      <c r="K16" s="76"/>
      <c r="L16" s="76"/>
      <c r="M16" s="76"/>
      <c r="N16" s="76"/>
      <c r="O16" s="76"/>
      <c r="P16" s="76"/>
      <c r="Q16" s="76"/>
      <c r="R16" s="76"/>
      <c r="S16" s="77"/>
    </row>
    <row r="17" spans="1:19" ht="18">
      <c r="A17" s="78"/>
      <c r="B17" s="176" t="s">
        <v>83</v>
      </c>
      <c r="C17" s="177"/>
      <c r="D17" s="178"/>
      <c r="E17" s="76"/>
      <c r="F17" s="76"/>
      <c r="G17" s="76"/>
      <c r="H17" s="76"/>
      <c r="I17" s="76"/>
      <c r="J17" s="76"/>
      <c r="K17" s="76"/>
      <c r="L17" s="76"/>
      <c r="M17" s="76"/>
      <c r="N17" s="76"/>
      <c r="O17" s="76"/>
      <c r="P17" s="76"/>
      <c r="Q17" s="76"/>
      <c r="R17" s="76"/>
      <c r="S17" s="77"/>
    </row>
    <row r="18" spans="1:19" ht="18">
      <c r="A18" s="78"/>
      <c r="B18" s="80"/>
      <c r="C18" s="80"/>
      <c r="D18" s="80"/>
      <c r="E18" s="76"/>
      <c r="F18" s="76"/>
      <c r="G18" s="76"/>
      <c r="H18" s="76"/>
      <c r="I18" s="76"/>
      <c r="J18" s="76"/>
      <c r="K18" s="76"/>
      <c r="L18" s="76"/>
      <c r="M18" s="76"/>
      <c r="N18" s="76"/>
      <c r="O18" s="76"/>
      <c r="P18" s="76"/>
      <c r="Q18" s="76"/>
      <c r="R18" s="76"/>
      <c r="S18" s="77"/>
    </row>
    <row r="19" spans="1:19" ht="39.950000000000003" customHeight="1">
      <c r="A19" s="47"/>
      <c r="B19" s="156" t="s">
        <v>78</v>
      </c>
      <c r="C19" s="156"/>
      <c r="D19" s="156"/>
      <c r="E19" s="156"/>
      <c r="F19" s="156"/>
      <c r="G19" s="157"/>
      <c r="H19" s="6">
        <v>2.5</v>
      </c>
      <c r="I19" s="76"/>
      <c r="J19" s="76"/>
      <c r="K19" s="76"/>
      <c r="L19" s="76"/>
      <c r="M19" s="76"/>
      <c r="N19" s="76"/>
      <c r="O19" s="76"/>
      <c r="P19" s="76"/>
      <c r="Q19" s="76"/>
      <c r="R19" s="76"/>
      <c r="S19" s="77"/>
    </row>
    <row r="20" spans="1:19" ht="18">
      <c r="A20" s="78"/>
      <c r="B20" s="76"/>
      <c r="C20" s="76"/>
      <c r="D20" s="76"/>
      <c r="E20" s="76"/>
      <c r="F20" s="76"/>
      <c r="G20" s="76"/>
      <c r="H20" s="76"/>
      <c r="I20" s="76"/>
      <c r="J20" s="76"/>
      <c r="K20" s="76"/>
      <c r="L20" s="76"/>
      <c r="M20" s="76"/>
      <c r="N20" s="76"/>
      <c r="O20" s="76"/>
      <c r="P20" s="76"/>
      <c r="Q20" s="76"/>
      <c r="R20" s="76"/>
      <c r="S20" s="77"/>
    </row>
    <row r="21" spans="1:19" ht="39.950000000000003" customHeight="1">
      <c r="A21" s="47"/>
      <c r="B21" s="156" t="s">
        <v>79</v>
      </c>
      <c r="C21" s="156"/>
      <c r="D21" s="156"/>
      <c r="E21" s="156"/>
      <c r="F21" s="156"/>
      <c r="G21" s="157"/>
      <c r="H21" s="6">
        <v>12</v>
      </c>
      <c r="I21" s="76"/>
      <c r="J21" s="76"/>
      <c r="K21" s="76"/>
      <c r="L21" s="76"/>
      <c r="M21" s="76"/>
      <c r="N21" s="76"/>
      <c r="O21" s="76"/>
      <c r="P21" s="76"/>
      <c r="Q21" s="76"/>
      <c r="R21" s="76"/>
      <c r="S21" s="77"/>
    </row>
    <row r="22" spans="1:19" ht="18">
      <c r="A22" s="78"/>
      <c r="B22" s="76"/>
      <c r="C22" s="76"/>
      <c r="D22" s="76"/>
      <c r="E22" s="76"/>
      <c r="F22" s="76"/>
      <c r="G22" s="76"/>
      <c r="H22" s="76"/>
      <c r="I22" s="76"/>
      <c r="J22" s="76"/>
      <c r="K22" s="76"/>
      <c r="L22" s="76"/>
      <c r="M22" s="76"/>
      <c r="N22" s="76"/>
      <c r="O22" s="76"/>
      <c r="P22" s="76"/>
      <c r="Q22" s="76"/>
      <c r="R22" s="76"/>
      <c r="S22" s="77"/>
    </row>
    <row r="23" spans="1:19" ht="18">
      <c r="A23" s="78"/>
      <c r="B23" s="155" t="s">
        <v>68</v>
      </c>
      <c r="C23" s="156"/>
      <c r="D23" s="156"/>
      <c r="E23" s="156"/>
      <c r="F23" s="156"/>
      <c r="G23" s="157"/>
      <c r="H23" s="43">
        <v>1.25</v>
      </c>
      <c r="I23" s="76"/>
      <c r="J23" s="76"/>
      <c r="K23" s="76"/>
      <c r="L23" s="76"/>
      <c r="M23" s="76"/>
      <c r="N23" s="76"/>
      <c r="O23" s="76"/>
      <c r="P23" s="76"/>
      <c r="Q23" s="76"/>
      <c r="R23" s="76"/>
      <c r="S23" s="77"/>
    </row>
    <row r="24" spans="1:19" ht="18">
      <c r="A24" s="78"/>
      <c r="B24" s="68"/>
      <c r="C24" s="68"/>
      <c r="D24" s="68"/>
      <c r="E24" s="68"/>
      <c r="F24" s="68"/>
      <c r="G24" s="69"/>
      <c r="H24" s="81"/>
      <c r="I24" s="76"/>
      <c r="J24" s="76"/>
      <c r="K24" s="76"/>
      <c r="L24" s="76"/>
      <c r="M24" s="76"/>
      <c r="N24" s="76"/>
      <c r="O24" s="76"/>
      <c r="P24" s="76"/>
      <c r="Q24" s="76"/>
      <c r="R24" s="76"/>
      <c r="S24" s="77"/>
    </row>
    <row r="25" spans="1:19" ht="18">
      <c r="A25" s="78"/>
      <c r="B25" s="155" t="s">
        <v>67</v>
      </c>
      <c r="C25" s="156"/>
      <c r="D25" s="156"/>
      <c r="E25" s="156"/>
      <c r="F25" s="156"/>
      <c r="G25" s="157"/>
      <c r="H25" s="6">
        <v>1</v>
      </c>
      <c r="I25" s="76"/>
      <c r="J25" s="76"/>
      <c r="K25" s="76"/>
      <c r="L25" s="76"/>
      <c r="M25" s="76"/>
      <c r="N25" s="76"/>
      <c r="O25" s="76"/>
      <c r="P25" s="76"/>
      <c r="Q25" s="76"/>
      <c r="R25" s="76"/>
      <c r="S25" s="77"/>
    </row>
    <row r="26" spans="1:19" ht="18">
      <c r="A26" s="78"/>
      <c r="B26" s="70"/>
      <c r="C26" s="70"/>
      <c r="D26" s="55"/>
      <c r="E26" s="55"/>
      <c r="F26" s="55"/>
      <c r="G26" s="55"/>
      <c r="H26" s="82"/>
      <c r="I26" s="76"/>
      <c r="J26" s="76"/>
      <c r="K26" s="76"/>
      <c r="L26" s="76"/>
      <c r="M26" s="76"/>
      <c r="N26" s="76"/>
      <c r="O26" s="76"/>
      <c r="P26" s="76"/>
      <c r="Q26" s="76"/>
      <c r="R26" s="76"/>
      <c r="S26" s="77"/>
    </row>
    <row r="27" spans="1:19" ht="18">
      <c r="A27" s="78"/>
      <c r="B27" s="197" t="str">
        <f>IF(H25=0.5,"To consider the effect of plant piping passing through various elevation z/h is considered as 0.5 ","")</f>
        <v/>
      </c>
      <c r="C27" s="198"/>
      <c r="D27" s="198"/>
      <c r="E27" s="198"/>
      <c r="F27" s="198"/>
      <c r="G27" s="198"/>
      <c r="H27" s="198"/>
      <c r="I27" s="198"/>
      <c r="J27" s="198"/>
      <c r="K27" s="198"/>
      <c r="L27" s="198"/>
      <c r="M27" s="198"/>
      <c r="N27" s="198"/>
      <c r="O27" s="198"/>
      <c r="P27" s="198"/>
      <c r="Q27" s="198"/>
      <c r="R27" s="199"/>
      <c r="S27" s="77"/>
    </row>
    <row r="28" spans="1:19" ht="18">
      <c r="A28" s="78"/>
      <c r="B28" s="71"/>
      <c r="C28" s="71"/>
      <c r="D28" s="55"/>
      <c r="E28" s="55"/>
      <c r="F28" s="55"/>
      <c r="G28" s="55"/>
      <c r="H28" s="82"/>
      <c r="I28" s="76"/>
      <c r="J28" s="76"/>
      <c r="K28" s="76"/>
      <c r="L28" s="76"/>
      <c r="M28" s="76"/>
      <c r="N28" s="76"/>
      <c r="O28" s="76"/>
      <c r="P28" s="76"/>
      <c r="Q28" s="76"/>
      <c r="R28" s="76"/>
      <c r="S28" s="77"/>
    </row>
    <row r="29" spans="1:19" ht="18">
      <c r="A29" s="78"/>
      <c r="B29" s="200" t="s">
        <v>45</v>
      </c>
      <c r="C29" s="201"/>
      <c r="D29" s="76"/>
      <c r="E29" s="76"/>
      <c r="F29" s="76"/>
      <c r="G29" s="76"/>
      <c r="H29" s="76"/>
      <c r="I29" s="76"/>
      <c r="J29" s="76"/>
      <c r="K29" s="76"/>
      <c r="L29" s="76"/>
      <c r="M29" s="76"/>
      <c r="N29" s="76"/>
      <c r="O29" s="76"/>
      <c r="P29" s="76"/>
      <c r="Q29" s="76"/>
      <c r="R29" s="76"/>
      <c r="S29" s="77"/>
    </row>
    <row r="30" spans="1:19" ht="18">
      <c r="A30" s="78"/>
      <c r="B30" s="76"/>
      <c r="C30" s="76"/>
      <c r="D30" s="76"/>
      <c r="E30" s="76"/>
      <c r="F30" s="76"/>
      <c r="G30" s="76"/>
      <c r="H30" s="76"/>
      <c r="I30" s="76"/>
      <c r="J30" s="76"/>
      <c r="K30" s="76"/>
      <c r="L30" s="76"/>
      <c r="M30" s="76"/>
      <c r="N30" s="76"/>
      <c r="O30" s="76"/>
      <c r="P30" s="76"/>
      <c r="Q30" s="76"/>
      <c r="R30" s="76"/>
      <c r="S30" s="77"/>
    </row>
    <row r="31" spans="1:19" ht="39.950000000000003" customHeight="1">
      <c r="A31" s="47"/>
      <c r="B31" s="194" t="s">
        <v>89</v>
      </c>
      <c r="C31" s="195"/>
      <c r="D31" s="195"/>
      <c r="E31" s="196"/>
      <c r="F31" s="138" t="s">
        <v>55</v>
      </c>
      <c r="G31" s="139"/>
      <c r="H31" s="139"/>
      <c r="I31" s="139"/>
      <c r="J31" s="139"/>
      <c r="K31" s="140"/>
      <c r="L31" s="62">
        <f>(0.4*H19*H15*H23*(1+(2*H25)))/H21</f>
        <v>5.3499999999999999E-2</v>
      </c>
      <c r="M31" s="59" t="s">
        <v>56</v>
      </c>
      <c r="N31" s="60" t="s">
        <v>70</v>
      </c>
      <c r="O31" s="61" t="s">
        <v>48</v>
      </c>
      <c r="P31" s="137">
        <f>L31</f>
        <v>5.3499999999999999E-2</v>
      </c>
      <c r="Q31" s="137"/>
      <c r="R31" s="56" t="s">
        <v>49</v>
      </c>
      <c r="S31" s="77"/>
    </row>
    <row r="32" spans="1:19" ht="18">
      <c r="A32" s="78"/>
      <c r="B32" s="76"/>
      <c r="C32" s="76"/>
      <c r="D32" s="76"/>
      <c r="E32" s="76"/>
      <c r="F32" s="76"/>
      <c r="G32" s="76"/>
      <c r="H32" s="76"/>
      <c r="I32" s="76"/>
      <c r="J32" s="76"/>
      <c r="K32" s="76"/>
      <c r="L32" s="76"/>
      <c r="M32" s="76"/>
      <c r="N32" s="76"/>
      <c r="O32" s="76"/>
      <c r="P32" s="76"/>
      <c r="Q32" s="76"/>
      <c r="R32" s="76"/>
      <c r="S32" s="77"/>
    </row>
    <row r="33" spans="1:19" ht="18">
      <c r="A33" s="78"/>
      <c r="B33" s="76"/>
      <c r="C33" s="76"/>
      <c r="D33" s="76"/>
      <c r="E33" s="76"/>
      <c r="F33" s="76"/>
      <c r="G33" s="76"/>
      <c r="H33" s="76"/>
      <c r="I33" s="76"/>
      <c r="J33" s="76"/>
      <c r="K33" s="76"/>
      <c r="L33" s="76"/>
      <c r="M33" s="76"/>
      <c r="N33" s="76"/>
      <c r="O33" s="76"/>
      <c r="P33" s="76"/>
      <c r="Q33" s="76"/>
      <c r="R33" s="76"/>
      <c r="S33" s="77"/>
    </row>
    <row r="34" spans="1:19" ht="20.100000000000001" customHeight="1">
      <c r="A34" s="49"/>
      <c r="B34" s="145" t="s">
        <v>90</v>
      </c>
      <c r="C34" s="192"/>
      <c r="D34" s="192"/>
      <c r="E34" s="192"/>
      <c r="F34" s="192"/>
      <c r="G34" s="192"/>
      <c r="H34" s="192"/>
      <c r="I34" s="192"/>
      <c r="J34" s="192"/>
      <c r="K34" s="192"/>
      <c r="L34" s="192"/>
      <c r="M34" s="192"/>
      <c r="N34" s="192"/>
      <c r="O34" s="192"/>
      <c r="P34" s="146"/>
      <c r="Q34" s="145" t="s">
        <v>88</v>
      </c>
      <c r="R34" s="146"/>
      <c r="S34" s="48"/>
    </row>
    <row r="35" spans="1:19" ht="20.100000000000001" customHeight="1">
      <c r="A35" s="46"/>
      <c r="B35" s="147"/>
      <c r="C35" s="193"/>
      <c r="D35" s="193"/>
      <c r="E35" s="193"/>
      <c r="F35" s="193"/>
      <c r="G35" s="193"/>
      <c r="H35" s="193"/>
      <c r="I35" s="193"/>
      <c r="J35" s="193"/>
      <c r="K35" s="193"/>
      <c r="L35" s="193"/>
      <c r="M35" s="193"/>
      <c r="N35" s="193"/>
      <c r="O35" s="193"/>
      <c r="P35" s="148"/>
      <c r="Q35" s="147"/>
      <c r="R35" s="148"/>
      <c r="S35" s="48"/>
    </row>
    <row r="36" spans="1:19" ht="20.25">
      <c r="A36" s="78"/>
      <c r="B36" s="190" t="s">
        <v>85</v>
      </c>
      <c r="C36" s="190"/>
      <c r="D36" s="190"/>
      <c r="E36" s="190"/>
      <c r="F36" s="190" t="s">
        <v>84</v>
      </c>
      <c r="G36" s="190"/>
      <c r="H36" s="190"/>
      <c r="I36" s="67">
        <f>1.6*H15*H23</f>
        <v>0.34239999999999998</v>
      </c>
      <c r="J36" s="83" t="s">
        <v>56</v>
      </c>
      <c r="K36" s="56" t="s">
        <v>70</v>
      </c>
      <c r="L36" s="57" t="s">
        <v>48</v>
      </c>
      <c r="M36" s="149">
        <f>I36</f>
        <v>0.34239999999999998</v>
      </c>
      <c r="N36" s="150"/>
      <c r="O36" s="151" t="s">
        <v>49</v>
      </c>
      <c r="P36" s="152"/>
      <c r="Q36" s="153" t="str">
        <f>IF(M36&gt;=P31,"Y","No")</f>
        <v>Y</v>
      </c>
      <c r="R36" s="154"/>
      <c r="S36" s="77"/>
    </row>
    <row r="37" spans="1:19" ht="20.25">
      <c r="A37" s="78"/>
      <c r="B37" s="191" t="s">
        <v>86</v>
      </c>
      <c r="C37" s="191"/>
      <c r="D37" s="191"/>
      <c r="E37" s="191"/>
      <c r="F37" s="191" t="s">
        <v>87</v>
      </c>
      <c r="G37" s="191"/>
      <c r="H37" s="191"/>
      <c r="I37" s="67">
        <f>0.3*H15*H23</f>
        <v>6.4199999999999993E-2</v>
      </c>
      <c r="J37" s="83" t="s">
        <v>56</v>
      </c>
      <c r="K37" s="56" t="s">
        <v>70</v>
      </c>
      <c r="L37" s="57" t="s">
        <v>48</v>
      </c>
      <c r="M37" s="149">
        <f>I37</f>
        <v>6.4199999999999993E-2</v>
      </c>
      <c r="N37" s="150"/>
      <c r="O37" s="151" t="s">
        <v>49</v>
      </c>
      <c r="P37" s="152"/>
      <c r="Q37" s="153" t="str">
        <f>IF(P31&gt;=M37,"Y","No")</f>
        <v>No</v>
      </c>
      <c r="R37" s="154"/>
      <c r="S37" s="77"/>
    </row>
    <row r="38" spans="1:19" ht="18">
      <c r="A38" s="78"/>
      <c r="B38" s="76"/>
      <c r="C38" s="76"/>
      <c r="D38" s="76"/>
      <c r="E38" s="76"/>
      <c r="F38" s="76"/>
      <c r="G38" s="76"/>
      <c r="H38" s="84"/>
      <c r="I38" s="84"/>
      <c r="J38" s="76"/>
      <c r="K38" s="76"/>
      <c r="L38" s="84"/>
      <c r="M38" s="76"/>
      <c r="N38" s="76"/>
      <c r="O38" s="76"/>
      <c r="P38" s="76"/>
      <c r="Q38" s="76"/>
      <c r="R38" s="76"/>
      <c r="S38" s="77"/>
    </row>
    <row r="39" spans="1:19" ht="18">
      <c r="A39" s="78"/>
      <c r="B39" s="76"/>
      <c r="C39" s="76"/>
      <c r="D39" s="76"/>
      <c r="E39" s="76"/>
      <c r="F39" s="76"/>
      <c r="G39" s="76"/>
      <c r="H39" s="76"/>
      <c r="I39" s="76"/>
      <c r="J39" s="76"/>
      <c r="K39" s="76"/>
      <c r="L39" s="76"/>
      <c r="M39" s="76"/>
      <c r="N39" s="76"/>
      <c r="O39" s="76"/>
      <c r="P39" s="76"/>
      <c r="Q39" s="76"/>
      <c r="R39" s="76"/>
      <c r="S39" s="77"/>
    </row>
    <row r="40" spans="1:19" ht="18">
      <c r="A40" s="78"/>
      <c r="B40" s="76"/>
      <c r="C40" s="76"/>
      <c r="D40" s="85"/>
      <c r="E40" s="85"/>
      <c r="F40" s="85"/>
      <c r="G40" s="85"/>
      <c r="H40" s="85"/>
      <c r="I40" s="76"/>
      <c r="J40" s="76"/>
      <c r="K40" s="76"/>
      <c r="L40" s="76"/>
      <c r="M40" s="76"/>
      <c r="N40" s="76"/>
      <c r="O40" s="76"/>
      <c r="P40" s="76"/>
      <c r="Q40" s="76"/>
      <c r="R40" s="76"/>
      <c r="S40" s="77"/>
    </row>
    <row r="41" spans="1:19" ht="20.100000000000001" customHeight="1">
      <c r="A41" s="78"/>
      <c r="B41" s="76"/>
      <c r="C41" s="76"/>
      <c r="D41" s="155" t="str">
        <f>IF(P31&lt;M37,"Since, Fp &lt; Fpmin, Hence Fp = Fpmin = ",IF(P31&gt;M36,"Since, Fp &gt; Fpmax, Hence Fp = Fpmax = ","Since, Fpmin &lt; Fp &lt; Fpmax, Hence Fp = "))</f>
        <v xml:space="preserve">Since, Fp &lt; Fpmin, Hence Fp = Fpmin = </v>
      </c>
      <c r="E41" s="156"/>
      <c r="F41" s="156"/>
      <c r="G41" s="156"/>
      <c r="H41" s="156"/>
      <c r="I41" s="157"/>
      <c r="J41" s="62">
        <f>IF(P31&lt;M37,M37,IF(P31&gt;M36,M36,P31))</f>
        <v>6.4199999999999993E-2</v>
      </c>
      <c r="K41" s="56" t="s">
        <v>49</v>
      </c>
      <c r="L41" s="76"/>
      <c r="M41" s="84"/>
      <c r="N41" s="76"/>
      <c r="O41" s="76"/>
      <c r="P41" s="76"/>
      <c r="Q41" s="76"/>
      <c r="R41" s="76"/>
      <c r="S41" s="77"/>
    </row>
    <row r="42" spans="1:19" ht="18">
      <c r="A42" s="78"/>
      <c r="B42" s="76"/>
      <c r="C42" s="76"/>
      <c r="D42" s="76"/>
      <c r="E42" s="76"/>
      <c r="F42" s="76"/>
      <c r="G42" s="76"/>
      <c r="H42" s="76"/>
      <c r="I42" s="76"/>
      <c r="J42" s="76"/>
      <c r="K42" s="76"/>
      <c r="L42" s="76"/>
      <c r="M42" s="76"/>
      <c r="N42" s="76"/>
      <c r="O42" s="76"/>
      <c r="P42" s="76"/>
      <c r="Q42" s="76"/>
      <c r="R42" s="76"/>
      <c r="S42" s="77"/>
    </row>
    <row r="43" spans="1:19" ht="20.100000000000001" customHeight="1">
      <c r="A43" s="78"/>
      <c r="B43" s="158" t="s">
        <v>57</v>
      </c>
      <c r="C43" s="159"/>
      <c r="D43" s="159"/>
      <c r="E43" s="159"/>
      <c r="F43" s="159"/>
      <c r="G43" s="159"/>
      <c r="H43" s="159"/>
      <c r="I43" s="160"/>
      <c r="J43" s="133">
        <f>J41</f>
        <v>6.4199999999999993E-2</v>
      </c>
      <c r="K43" s="135"/>
      <c r="L43" s="85"/>
      <c r="M43" s="76"/>
      <c r="N43" s="76"/>
      <c r="O43" s="76"/>
      <c r="P43" s="76"/>
      <c r="Q43" s="76"/>
      <c r="R43" s="76"/>
      <c r="S43" s="77"/>
    </row>
    <row r="44" spans="1:19" ht="20.100000000000001" customHeight="1">
      <c r="A44" s="78"/>
      <c r="B44" s="161"/>
      <c r="C44" s="162"/>
      <c r="D44" s="162"/>
      <c r="E44" s="162"/>
      <c r="F44" s="162"/>
      <c r="G44" s="162"/>
      <c r="H44" s="162"/>
      <c r="I44" s="163"/>
      <c r="J44" s="134"/>
      <c r="K44" s="136"/>
      <c r="L44" s="85"/>
      <c r="M44" s="76"/>
      <c r="N44" s="76"/>
      <c r="O44" s="76"/>
      <c r="P44" s="76"/>
      <c r="Q44" s="76"/>
      <c r="R44" s="76"/>
      <c r="S44" s="77"/>
    </row>
    <row r="45" spans="1:19" ht="18.75" thickBot="1">
      <c r="A45" s="86"/>
      <c r="B45" s="87"/>
      <c r="C45" s="87"/>
      <c r="D45" s="87"/>
      <c r="E45" s="87"/>
      <c r="F45" s="87"/>
      <c r="G45" s="87"/>
      <c r="H45" s="87"/>
      <c r="I45" s="87"/>
      <c r="J45" s="87"/>
      <c r="K45" s="87"/>
      <c r="L45" s="87"/>
      <c r="M45" s="87"/>
      <c r="N45" s="87"/>
      <c r="O45" s="87"/>
      <c r="P45" s="87"/>
      <c r="Q45" s="87"/>
      <c r="R45" s="87"/>
      <c r="S45" s="88"/>
    </row>
    <row r="54" spans="3:3" hidden="1"/>
    <row r="55" spans="3:3" hidden="1"/>
    <row r="56" spans="3:3" hidden="1"/>
    <row r="57" spans="3:3" hidden="1">
      <c r="C57" s="1" t="s">
        <v>1</v>
      </c>
    </row>
    <row r="58" spans="3:3" hidden="1">
      <c r="C58" s="1" t="s">
        <v>46</v>
      </c>
    </row>
    <row r="59" spans="3:3" hidden="1">
      <c r="C59" s="1" t="s">
        <v>47</v>
      </c>
    </row>
    <row r="60" spans="3:3" hidden="1">
      <c r="C60" s="1" t="s">
        <v>53</v>
      </c>
    </row>
    <row r="61" spans="3:3" hidden="1">
      <c r="C61" s="1" t="s">
        <v>54</v>
      </c>
    </row>
    <row r="62" spans="3:3" hidden="1">
      <c r="C62" s="1" t="s">
        <v>91</v>
      </c>
    </row>
    <row r="63" spans="3:3" hidden="1"/>
    <row r="64" spans="3:3" hidden="1"/>
    <row r="65" hidden="1"/>
  </sheetData>
  <sheetProtection password="E250" sheet="1" objects="1" scenarios="1"/>
  <mergeCells count="42">
    <mergeCell ref="L1:S4"/>
    <mergeCell ref="B36:E36"/>
    <mergeCell ref="F36:H36"/>
    <mergeCell ref="B37:E37"/>
    <mergeCell ref="F37:H37"/>
    <mergeCell ref="B34:P35"/>
    <mergeCell ref="B31:E31"/>
    <mergeCell ref="B13:G13"/>
    <mergeCell ref="B19:G19"/>
    <mergeCell ref="B21:G21"/>
    <mergeCell ref="B15:D15"/>
    <mergeCell ref="E15:G15"/>
    <mergeCell ref="B23:G23"/>
    <mergeCell ref="B29:C29"/>
    <mergeCell ref="B25:G25"/>
    <mergeCell ref="B27:R27"/>
    <mergeCell ref="B17:D17"/>
    <mergeCell ref="J4:K4"/>
    <mergeCell ref="B9:G9"/>
    <mergeCell ref="B11:G11"/>
    <mergeCell ref="B7:D7"/>
    <mergeCell ref="B1:C1"/>
    <mergeCell ref="B2:C2"/>
    <mergeCell ref="B3:C3"/>
    <mergeCell ref="B4:C4"/>
    <mergeCell ref="D1:H4"/>
    <mergeCell ref="J43:J44"/>
    <mergeCell ref="K43:K44"/>
    <mergeCell ref="P31:Q31"/>
    <mergeCell ref="F31:K31"/>
    <mergeCell ref="J1:K1"/>
    <mergeCell ref="J2:K2"/>
    <mergeCell ref="J3:K3"/>
    <mergeCell ref="Q34:R35"/>
    <mergeCell ref="M36:N36"/>
    <mergeCell ref="O36:P36"/>
    <mergeCell ref="M37:N37"/>
    <mergeCell ref="O37:P37"/>
    <mergeCell ref="Q36:R36"/>
    <mergeCell ref="Q37:R37"/>
    <mergeCell ref="D41:I41"/>
    <mergeCell ref="B43:I44"/>
  </mergeCells>
  <dataValidations xWindow="436" yWindow="596" count="9">
    <dataValidation allowBlank="1" showInputMessage="1" showErrorMessage="1" prompt="&quot;Ip&quot;_x000a_From Civil &amp; Structural Design Basis._x000a_IF not consider 1.5." sqref="H23"/>
    <dataValidation allowBlank="1" showInputMessage="1" showErrorMessage="1" prompt="&quot;Fa&quot;_x000a_As per ASCE-10_x000a_Table 11.4-1" sqref="H13"/>
    <dataValidation allowBlank="1" showInputMessage="1" showErrorMessage="1" prompt="&quot;ap&quot;_x000a_&quot;2.5&quot; is set as Default value, for Piping in accordance with ASME B31, including in-line components with joints made by welding or brazing. Shall not be changed unless stipulated by specific project requirements." sqref="H19"/>
    <dataValidation allowBlank="1" showInputMessage="1" showErrorMessage="1" prompt="&quot;Rp&quot;_x000a_&quot;12&quot; is set as Default value, for Piping in accordance with ASME B31, including in-line components with joints made by welding or brazing. Shall not be changed unless stipulated by specific project requirements._x000a__x000a_&quot;4.5&quot; for GRE &amp; FRP piping system." sqref="H21"/>
    <dataValidation allowBlank="1" showInputMessage="1" showErrorMessage="1" prompt="&quot;z/h&quot;_x000a_Value of (z/h) need not exceed 1.0_x000a__x000a_0.5 to be considered for piping system spread from ground level to top of structure to take effect of multi supports." sqref="H25"/>
    <dataValidation allowBlank="1" showInputMessage="1" showErrorMessage="1" prompt="&quot;Ss&quot;_x000a_From Civil &amp; Structural Design Basis Document of the Project." sqref="H11"/>
    <dataValidation type="list" allowBlank="1" showInputMessage="1" showErrorMessage="1" prompt="Site Class From Civil &amp; Structural Design Basis Document of the Project." sqref="H9">
      <formula1>$C$57:$C$62</formula1>
    </dataValidation>
    <dataValidation allowBlank="1" showErrorMessage="1" prompt="&quot;Ip&quot;_x000a_From Civil &amp; Structural Design Basis._x000a_IF not consider 1.0 OR 1.5" sqref="H24"/>
    <dataValidation allowBlank="1" showErrorMessage="1" prompt="&quot;z/h&quot;_x000a_Value of (z/h) need not exceed 1.0" sqref="H28 H26"/>
  </dataValidations>
  <pageMargins left="0.7" right="0.7" top="0.75" bottom="0.75" header="0.3" footer="0.3"/>
  <pageSetup paperSize="9" scale="73" orientation="portrait" r:id="rId1"/>
  <headerFooter>
    <oddFooter>&amp;CPage &amp;P of &amp;N&amp;RAPPENDIX 1: PEC-EN-VSS-13473</oddFooter>
  </headerFooter>
  <ignoredErrors>
    <ignoredError sqref="P31 D41"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view="pageBreakPreview" topLeftCell="A35" zoomScale="60" zoomScaleNormal="100" workbookViewId="0">
      <selection activeCell="G127" sqref="G127"/>
    </sheetView>
  </sheetViews>
  <sheetFormatPr defaultRowHeight="12.75"/>
  <cols>
    <col min="16" max="16" width="3.140625" customWidth="1"/>
    <col min="17" max="17" width="4.85546875" customWidth="1"/>
  </cols>
  <sheetData/>
  <sheetProtection password="E250" sheet="1" objects="1" scenarios="1"/>
  <pageMargins left="0.7" right="0.7" top="0.75" bottom="0.75" header="0.3" footer="0.3"/>
  <pageSetup paperSize="9" scale="65" orientation="portrait" r:id="rId1"/>
  <headerFooter>
    <oddFooter>&amp;CPage &amp;P of &amp;N&amp;RAPPENDIX 2: PEC-EN-VSS-13473</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1.0 Content</vt:lpstr>
      <vt:lpstr>2.0 Calculation Sheet </vt:lpstr>
      <vt:lpstr>3.0 ASCE-10 Tables</vt:lpstr>
      <vt:lpstr>'1.0 Content'!Print_Area</vt:lpstr>
      <vt:lpstr>'2.0 Calculation Sheet '!Print_Area</vt:lpstr>
      <vt:lpstr>'1.0 Content'!Print_Titles</vt:lpstr>
    </vt:vector>
  </TitlesOfParts>
  <Company>PEC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PEC</dc:creator>
  <cp:lastModifiedBy>M.P, Kumaresan</cp:lastModifiedBy>
  <cp:lastPrinted>2013-11-25T07:57:29Z</cp:lastPrinted>
  <dcterms:created xsi:type="dcterms:W3CDTF">2009-01-12T11:04:33Z</dcterms:created>
  <dcterms:modified xsi:type="dcterms:W3CDTF">2014-01-14T08:00:11Z</dcterms:modified>
</cp:coreProperties>
</file>