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workbookProtection workbookPassword="8C51" lockStructure="1"/>
  <bookViews>
    <workbookView xWindow="96" yWindow="12" windowWidth="22848" windowHeight="10944" activeTab="1"/>
  </bookViews>
  <sheets>
    <sheet name="Notes" sheetId="3" r:id="rId1"/>
    <sheet name="Calculation" sheetId="4" r:id="rId2"/>
    <sheet name="Case 1" sheetId="6" r:id="rId3"/>
    <sheet name="Case 2" sheetId="7" r:id="rId4"/>
    <sheet name="Case 3" sheetId="8" r:id="rId5"/>
    <sheet name="Case 4" sheetId="9" r:id="rId6"/>
    <sheet name="Case 5" sheetId="10" r:id="rId7"/>
    <sheet name="Case 6" sheetId="11" r:id="rId8"/>
    <sheet name="Case 7" sheetId="12" r:id="rId9"/>
    <sheet name="Case 8" sheetId="13" r:id="rId10"/>
    <sheet name="Case 9" sheetId="14" r:id="rId11"/>
    <sheet name="Pipe Schedules" sheetId="5" state="hidden" r:id="rId12"/>
  </sheets>
  <definedNames>
    <definedName name="_xlnm.Print_Area" localSheetId="1">Calculation!$A$1:$AV$71</definedName>
  </definedNames>
  <calcPr calcId="144525"/>
</workbook>
</file>

<file path=xl/calcChain.xml><?xml version="1.0" encoding="utf-8"?>
<calcChain xmlns="http://schemas.openxmlformats.org/spreadsheetml/2006/main">
  <c r="CZ44" i="4" l="1"/>
  <c r="CW44" i="4"/>
  <c r="CT44" i="4"/>
  <c r="CQ44" i="4"/>
  <c r="CN44" i="4"/>
  <c r="CK44" i="4"/>
  <c r="CH44" i="4"/>
  <c r="CE44" i="4"/>
  <c r="CB44" i="4"/>
  <c r="CQ52" i="4" l="1"/>
  <c r="CQ53" i="4"/>
  <c r="CK52" i="4"/>
  <c r="CK53" i="4"/>
  <c r="CN52" i="4"/>
  <c r="CN53" i="4"/>
  <c r="AQ54" i="4"/>
  <c r="AQ58" i="4"/>
  <c r="AQ63" i="4"/>
  <c r="L4" i="6"/>
  <c r="L4" i="7"/>
  <c r="L4" i="8"/>
  <c r="L4" i="9"/>
  <c r="L4" i="10"/>
  <c r="L4" i="11"/>
  <c r="L4" i="12"/>
  <c r="L4" i="13"/>
  <c r="L4" i="14"/>
  <c r="E4" i="12"/>
  <c r="D4" i="12"/>
  <c r="C4" i="12"/>
  <c r="E4" i="13"/>
  <c r="D4" i="13"/>
  <c r="C4" i="13"/>
  <c r="E4" i="14"/>
  <c r="D4" i="14"/>
  <c r="C4" i="14"/>
  <c r="E4" i="9"/>
  <c r="C4" i="7"/>
  <c r="D4" i="6"/>
  <c r="D4" i="7"/>
  <c r="C4" i="9"/>
  <c r="E4" i="11"/>
  <c r="E4" i="8"/>
  <c r="E4" i="10"/>
  <c r="D4" i="9"/>
  <c r="E4" i="6"/>
  <c r="D4" i="11"/>
  <c r="C4" i="6"/>
  <c r="C4" i="10"/>
  <c r="E4" i="7"/>
  <c r="C4" i="11"/>
  <c r="C4" i="8"/>
  <c r="AK4" i="4" l="1"/>
  <c r="Y4" i="4"/>
  <c r="I4" i="4"/>
  <c r="AE2" i="4"/>
  <c r="Y2" i="4"/>
  <c r="S2" i="4"/>
  <c r="I2" i="4"/>
  <c r="AE4" i="4"/>
  <c r="BO46" i="4"/>
  <c r="CB7" i="4"/>
  <c r="B55" i="14"/>
  <c r="B54" i="14"/>
  <c r="B53" i="14"/>
  <c r="B52" i="14"/>
  <c r="B51" i="14"/>
  <c r="B50" i="14"/>
  <c r="B49" i="14"/>
  <c r="B48" i="14"/>
  <c r="B47" i="14"/>
  <c r="B46" i="14"/>
  <c r="B45" i="14"/>
  <c r="B44" i="14"/>
  <c r="B43" i="14"/>
  <c r="B42" i="14"/>
  <c r="B41" i="14"/>
  <c r="B40" i="14"/>
  <c r="B39" i="14"/>
  <c r="B38" i="14"/>
  <c r="B37" i="14"/>
  <c r="B36" i="14"/>
  <c r="B35" i="14"/>
  <c r="B34" i="14"/>
  <c r="B33" i="14"/>
  <c r="B32" i="14"/>
  <c r="B31" i="14"/>
  <c r="B30" i="14"/>
  <c r="B29" i="14"/>
  <c r="B28" i="14"/>
  <c r="B27" i="14"/>
  <c r="B26" i="14"/>
  <c r="B25" i="14"/>
  <c r="B24" i="14"/>
  <c r="B23" i="14"/>
  <c r="B22" i="14"/>
  <c r="B21" i="14"/>
  <c r="B20" i="14"/>
  <c r="B19" i="14"/>
  <c r="B18" i="14"/>
  <c r="B17" i="14"/>
  <c r="B16" i="14"/>
  <c r="B15" i="14"/>
  <c r="B14" i="14"/>
  <c r="B13" i="14"/>
  <c r="B12" i="14"/>
  <c r="B11" i="14"/>
  <c r="B10" i="14"/>
  <c r="B9" i="14"/>
  <c r="B8" i="14"/>
  <c r="B7" i="14"/>
  <c r="B6" i="14"/>
  <c r="M4" i="14"/>
  <c r="B55" i="13"/>
  <c r="B54" i="13"/>
  <c r="B53" i="13"/>
  <c r="B52" i="13"/>
  <c r="B51" i="13"/>
  <c r="B50" i="13"/>
  <c r="B49" i="13"/>
  <c r="B48" i="13"/>
  <c r="B47" i="13"/>
  <c r="B46" i="13"/>
  <c r="B45" i="13"/>
  <c r="B44" i="13"/>
  <c r="B43" i="13"/>
  <c r="B42" i="13"/>
  <c r="B41" i="13"/>
  <c r="B40" i="13"/>
  <c r="B39" i="13"/>
  <c r="B38" i="13"/>
  <c r="B37" i="13"/>
  <c r="B36" i="13"/>
  <c r="B35" i="13"/>
  <c r="B34" i="13"/>
  <c r="B33" i="13"/>
  <c r="B32" i="13"/>
  <c r="B31" i="13"/>
  <c r="B30" i="13"/>
  <c r="B29" i="13"/>
  <c r="B28" i="13"/>
  <c r="B27" i="13"/>
  <c r="B26" i="13"/>
  <c r="B25" i="13"/>
  <c r="B24" i="13"/>
  <c r="B23" i="13"/>
  <c r="B22" i="13"/>
  <c r="B21" i="13"/>
  <c r="B20" i="13"/>
  <c r="B19" i="13"/>
  <c r="B18" i="13"/>
  <c r="B17" i="13"/>
  <c r="B16" i="13"/>
  <c r="B15" i="13"/>
  <c r="B14" i="13"/>
  <c r="B13" i="13"/>
  <c r="B12" i="13"/>
  <c r="B11" i="13"/>
  <c r="B10" i="13"/>
  <c r="B9" i="13"/>
  <c r="B8" i="13"/>
  <c r="B7" i="13"/>
  <c r="B6" i="13"/>
  <c r="M4" i="13"/>
  <c r="B55" i="12"/>
  <c r="B54" i="12"/>
  <c r="B53" i="12"/>
  <c r="B52" i="12"/>
  <c r="B51" i="12"/>
  <c r="B50" i="12"/>
  <c r="B49" i="12"/>
  <c r="B48" i="12"/>
  <c r="B47" i="12"/>
  <c r="B46" i="12"/>
  <c r="B45" i="12"/>
  <c r="B44" i="12"/>
  <c r="B43" i="12"/>
  <c r="B42" i="12"/>
  <c r="B41" i="12"/>
  <c r="B40" i="12"/>
  <c r="B39" i="12"/>
  <c r="B38" i="12"/>
  <c r="B37" i="12"/>
  <c r="B36" i="12"/>
  <c r="B35" i="12"/>
  <c r="B34" i="12"/>
  <c r="B33" i="12"/>
  <c r="B32" i="12"/>
  <c r="B31" i="12"/>
  <c r="B30" i="12"/>
  <c r="B29" i="12"/>
  <c r="B28" i="12"/>
  <c r="B27" i="12"/>
  <c r="B26" i="12"/>
  <c r="B25" i="12"/>
  <c r="B24" i="12"/>
  <c r="B23" i="12"/>
  <c r="B22" i="12"/>
  <c r="B21" i="12"/>
  <c r="B20" i="12"/>
  <c r="B19" i="12"/>
  <c r="B18" i="12"/>
  <c r="B17" i="12"/>
  <c r="B16" i="12"/>
  <c r="B15" i="12"/>
  <c r="B14" i="12"/>
  <c r="B13" i="12"/>
  <c r="B12" i="12"/>
  <c r="B11" i="12"/>
  <c r="B10" i="12"/>
  <c r="B9" i="12"/>
  <c r="B8" i="12"/>
  <c r="B7" i="12"/>
  <c r="B6" i="12"/>
  <c r="M4" i="12"/>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B6" i="11"/>
  <c r="M4" i="11"/>
  <c r="B55" i="10"/>
  <c r="B54" i="10"/>
  <c r="B53" i="10"/>
  <c r="B52" i="10"/>
  <c r="B51" i="10"/>
  <c r="B50" i="10"/>
  <c r="B49" i="10"/>
  <c r="B48" i="10"/>
  <c r="B47" i="10"/>
  <c r="B46" i="10"/>
  <c r="B45" i="10"/>
  <c r="B44" i="10"/>
  <c r="B43" i="10"/>
  <c r="B42" i="10"/>
  <c r="B41" i="10"/>
  <c r="B40" i="10"/>
  <c r="B39" i="10"/>
  <c r="B38" i="10"/>
  <c r="B37" i="10"/>
  <c r="B36" i="10"/>
  <c r="B35" i="10"/>
  <c r="B34" i="10"/>
  <c r="B33" i="10"/>
  <c r="B32" i="10"/>
  <c r="B31" i="10"/>
  <c r="B30" i="10"/>
  <c r="B29" i="10"/>
  <c r="B28" i="10"/>
  <c r="B27" i="10"/>
  <c r="B26" i="10"/>
  <c r="B25" i="10"/>
  <c r="B24" i="10"/>
  <c r="B23" i="10"/>
  <c r="B22" i="10"/>
  <c r="B21" i="10"/>
  <c r="B20" i="10"/>
  <c r="B19" i="10"/>
  <c r="B18" i="10"/>
  <c r="B17" i="10"/>
  <c r="B16" i="10"/>
  <c r="B15" i="10"/>
  <c r="B14" i="10"/>
  <c r="B13" i="10"/>
  <c r="B12" i="10"/>
  <c r="B11" i="10"/>
  <c r="B10" i="10"/>
  <c r="B9" i="10"/>
  <c r="B8" i="10"/>
  <c r="B7" i="10"/>
  <c r="B6" i="10"/>
  <c r="M4" i="10"/>
  <c r="B55" i="9"/>
  <c r="B54" i="9"/>
  <c r="B53" i="9"/>
  <c r="B52" i="9"/>
  <c r="B51" i="9"/>
  <c r="B50" i="9"/>
  <c r="B49" i="9"/>
  <c r="B48" i="9"/>
  <c r="B47" i="9"/>
  <c r="B46" i="9"/>
  <c r="B45" i="9"/>
  <c r="B44" i="9"/>
  <c r="B43" i="9"/>
  <c r="B42" i="9"/>
  <c r="B41" i="9"/>
  <c r="B40" i="9"/>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11" i="9"/>
  <c r="B10" i="9"/>
  <c r="B9" i="9"/>
  <c r="B8" i="9"/>
  <c r="B7" i="9"/>
  <c r="B6" i="9"/>
  <c r="M4" i="9"/>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M4" i="8"/>
  <c r="H54" i="14"/>
  <c r="F52" i="14"/>
  <c r="G47" i="14"/>
  <c r="L45" i="14"/>
  <c r="F44" i="14"/>
  <c r="F42" i="14"/>
  <c r="L40" i="14"/>
  <c r="E39" i="14"/>
  <c r="E37" i="14"/>
  <c r="K35" i="14"/>
  <c r="D34" i="14"/>
  <c r="C29" i="14"/>
  <c r="I25" i="14"/>
  <c r="H20" i="14"/>
  <c r="G17" i="14"/>
  <c r="G15" i="14"/>
  <c r="L13" i="14"/>
  <c r="F12" i="14"/>
  <c r="F10" i="14"/>
  <c r="L8" i="14"/>
  <c r="E7" i="14"/>
  <c r="H49" i="14"/>
  <c r="F47" i="14"/>
  <c r="K45" i="14"/>
  <c r="E42" i="14"/>
  <c r="K40" i="14"/>
  <c r="D37" i="14"/>
  <c r="J35" i="14"/>
  <c r="H25" i="14"/>
  <c r="G20" i="14"/>
  <c r="L18" i="14"/>
  <c r="F15" i="14"/>
  <c r="K13" i="14"/>
  <c r="E10" i="14"/>
  <c r="K8" i="14"/>
  <c r="L53" i="14"/>
  <c r="J51" i="14"/>
  <c r="G49" i="14"/>
  <c r="E47" i="14"/>
  <c r="E45" i="14"/>
  <c r="K43" i="14"/>
  <c r="D42" i="14"/>
  <c r="J40" i="14"/>
  <c r="J38" i="14"/>
  <c r="C37" i="14"/>
  <c r="I35" i="14"/>
  <c r="I33" i="14"/>
  <c r="H28" i="14"/>
  <c r="G25" i="14"/>
  <c r="G23" i="14"/>
  <c r="L21" i="14"/>
  <c r="F20" i="14"/>
  <c r="F18" i="14"/>
  <c r="L16" i="14"/>
  <c r="E15" i="14"/>
  <c r="E13" i="14"/>
  <c r="K11" i="14"/>
  <c r="D10" i="14"/>
  <c r="J8" i="14"/>
  <c r="J6" i="14"/>
  <c r="K53" i="14"/>
  <c r="I51" i="14"/>
  <c r="D45" i="14"/>
  <c r="J43" i="14"/>
  <c r="D40" i="14"/>
  <c r="I38" i="14"/>
  <c r="C35" i="14"/>
  <c r="H33" i="14"/>
  <c r="G28" i="14"/>
  <c r="L26" i="14"/>
  <c r="F23" i="14"/>
  <c r="K21" i="14"/>
  <c r="E18" i="14"/>
  <c r="K16" i="14"/>
  <c r="D13" i="14"/>
  <c r="J11" i="14"/>
  <c r="D8" i="14"/>
  <c r="I6" i="14"/>
  <c r="C24" i="14"/>
  <c r="J30" i="14"/>
  <c r="H22" i="14"/>
  <c r="I27" i="14"/>
  <c r="I54" i="14"/>
  <c r="J32" i="14"/>
  <c r="G49" i="13"/>
  <c r="J24" i="13"/>
  <c r="J11" i="13"/>
  <c r="H6" i="13"/>
  <c r="G44" i="13"/>
  <c r="I22" i="13"/>
  <c r="D14" i="13"/>
  <c r="L8" i="13"/>
  <c r="E42" i="13"/>
  <c r="K27" i="13"/>
  <c r="I17" i="13"/>
  <c r="E10" i="13"/>
  <c r="I46" i="13"/>
  <c r="E34" i="13"/>
  <c r="K32" i="13"/>
  <c r="D24" i="13"/>
  <c r="D6" i="13"/>
  <c r="I6" i="13"/>
  <c r="L53" i="13"/>
  <c r="L37" i="13"/>
  <c r="F34" i="13"/>
  <c r="E31" i="13"/>
  <c r="D26" i="13"/>
  <c r="C21" i="13"/>
  <c r="H14" i="13"/>
  <c r="K53" i="13"/>
  <c r="D42" i="13"/>
  <c r="D29" i="13"/>
  <c r="H17" i="13"/>
  <c r="D10" i="13"/>
  <c r="H54" i="13"/>
  <c r="F52" i="13"/>
  <c r="F47" i="13"/>
  <c r="D45" i="13"/>
  <c r="H36" i="13"/>
  <c r="G33" i="13"/>
  <c r="G31" i="13"/>
  <c r="L29" i="13"/>
  <c r="F28" i="13"/>
  <c r="F26" i="13"/>
  <c r="L24" i="13"/>
  <c r="E23" i="13"/>
  <c r="E21" i="13"/>
  <c r="K19" i="13"/>
  <c r="D18" i="13"/>
  <c r="J14" i="13"/>
  <c r="E13" i="13"/>
  <c r="H10" i="13"/>
  <c r="G9" i="13"/>
  <c r="J6" i="13"/>
  <c r="H49" i="13"/>
  <c r="E47" i="13"/>
  <c r="C45" i="13"/>
  <c r="L42" i="13"/>
  <c r="G36" i="13"/>
  <c r="L34" i="13"/>
  <c r="F31" i="13"/>
  <c r="K29" i="13"/>
  <c r="E26" i="13"/>
  <c r="K24" i="13"/>
  <c r="D21" i="13"/>
  <c r="J19" i="13"/>
  <c r="I14" i="13"/>
  <c r="D13" i="13"/>
  <c r="K11" i="13"/>
  <c r="F10" i="13"/>
  <c r="C9" i="13"/>
  <c r="J51" i="13"/>
  <c r="F36" i="13"/>
  <c r="L32" i="13"/>
  <c r="E29" i="13"/>
  <c r="J22" i="13"/>
  <c r="I19" i="13"/>
  <c r="C13" i="13"/>
  <c r="I7" i="13"/>
  <c r="I51" i="13"/>
  <c r="K37" i="13"/>
  <c r="J27" i="13"/>
  <c r="C19" i="13"/>
  <c r="I11" i="13"/>
  <c r="G7" i="13"/>
  <c r="C8" i="13"/>
  <c r="H38" i="13"/>
  <c r="C16" i="13"/>
  <c r="E50" i="13"/>
  <c r="K40" i="13"/>
  <c r="F55" i="12"/>
  <c r="I33" i="12"/>
  <c r="L34" i="12"/>
  <c r="D21" i="12"/>
  <c r="D16" i="12"/>
  <c r="H54" i="12"/>
  <c r="F52" i="12"/>
  <c r="F47" i="12"/>
  <c r="D45" i="12"/>
  <c r="D37" i="12"/>
  <c r="D32" i="12"/>
  <c r="I30" i="12"/>
  <c r="H25" i="12"/>
  <c r="G20" i="12"/>
  <c r="L18" i="12"/>
  <c r="F15" i="12"/>
  <c r="K13" i="12"/>
  <c r="E10" i="12"/>
  <c r="H49" i="12"/>
  <c r="E47" i="12"/>
  <c r="C45" i="12"/>
  <c r="L42" i="12"/>
  <c r="C37" i="12"/>
  <c r="I35" i="12"/>
  <c r="C32" i="12"/>
  <c r="H30" i="12"/>
  <c r="H28" i="12"/>
  <c r="G25" i="12"/>
  <c r="G23" i="12"/>
  <c r="L21" i="12"/>
  <c r="F20" i="12"/>
  <c r="F18" i="12"/>
  <c r="L16" i="12"/>
  <c r="E15" i="12"/>
  <c r="E13" i="12"/>
  <c r="K11" i="12"/>
  <c r="D10" i="12"/>
  <c r="D53" i="12"/>
  <c r="F44" i="12"/>
  <c r="G36" i="12"/>
  <c r="K29" i="12"/>
  <c r="K24" i="12"/>
  <c r="I14" i="12"/>
  <c r="H9" i="12"/>
  <c r="K53" i="12"/>
  <c r="I46" i="12"/>
  <c r="G44" i="12"/>
  <c r="D42" i="12"/>
  <c r="H36" i="12"/>
  <c r="G33" i="12"/>
  <c r="G31" i="12"/>
  <c r="L29" i="12"/>
  <c r="F28" i="12"/>
  <c r="F26" i="12"/>
  <c r="L24" i="12"/>
  <c r="E23" i="12"/>
  <c r="E21" i="12"/>
  <c r="K19" i="12"/>
  <c r="D18" i="12"/>
  <c r="J16" i="12"/>
  <c r="J14" i="12"/>
  <c r="C13" i="12"/>
  <c r="I11" i="12"/>
  <c r="I9" i="12"/>
  <c r="K48" i="12"/>
  <c r="H46" i="12"/>
  <c r="F31" i="12"/>
  <c r="E26" i="12"/>
  <c r="J19" i="12"/>
  <c r="C11" i="12"/>
  <c r="J38" i="12"/>
  <c r="J6" i="12"/>
  <c r="E50" i="12"/>
  <c r="I51" i="12"/>
  <c r="J35" i="12"/>
  <c r="C27" i="12"/>
  <c r="K40" i="12"/>
  <c r="K8" i="12"/>
  <c r="CB45" i="4"/>
  <c r="D4" i="8"/>
  <c r="CE45" i="4"/>
  <c r="CK45" i="4"/>
  <c r="CT45" i="4"/>
  <c r="CZ45" i="4"/>
  <c r="D4" i="10"/>
  <c r="CW45" i="4"/>
  <c r="CQ45" i="4"/>
  <c r="AQ45" i="4" l="1"/>
  <c r="AN45" i="4"/>
  <c r="AK45" i="4"/>
  <c r="AH45" i="4"/>
  <c r="AB45" i="4"/>
  <c r="V45" i="4"/>
  <c r="AQ4" i="4"/>
  <c r="B55" i="7"/>
  <c r="B54" i="7"/>
  <c r="B53" i="7"/>
  <c r="B52" i="7"/>
  <c r="B51" i="7"/>
  <c r="B50" i="7"/>
  <c r="B49" i="7"/>
  <c r="B48" i="7"/>
  <c r="B47" i="7"/>
  <c r="B46" i="7"/>
  <c r="B45" i="7"/>
  <c r="B44" i="7"/>
  <c r="B43" i="7"/>
  <c r="B42" i="7"/>
  <c r="B41" i="7"/>
  <c r="B40" i="7"/>
  <c r="B39" i="7"/>
  <c r="B38" i="7"/>
  <c r="B37" i="7"/>
  <c r="B36" i="7"/>
  <c r="B35" i="7"/>
  <c r="B34" i="7"/>
  <c r="B33" i="7"/>
  <c r="B32" i="7"/>
  <c r="B31" i="7"/>
  <c r="B30" i="7"/>
  <c r="B29" i="7"/>
  <c r="B28" i="7"/>
  <c r="B27" i="7"/>
  <c r="B26" i="7"/>
  <c r="B25" i="7"/>
  <c r="B24" i="7"/>
  <c r="B23" i="7"/>
  <c r="B22" i="7"/>
  <c r="B21" i="7"/>
  <c r="B20" i="7"/>
  <c r="B19" i="7"/>
  <c r="B18" i="7"/>
  <c r="B17" i="7"/>
  <c r="B16" i="7"/>
  <c r="B15" i="7"/>
  <c r="B14" i="7"/>
  <c r="B13" i="7"/>
  <c r="B12" i="7"/>
  <c r="B11" i="7"/>
  <c r="B10" i="7"/>
  <c r="B9" i="7"/>
  <c r="B8" i="7"/>
  <c r="B7" i="7"/>
  <c r="B6" i="7"/>
  <c r="M4" i="7"/>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2" i="6"/>
  <c r="B11" i="6"/>
  <c r="B10" i="6"/>
  <c r="B9" i="6"/>
  <c r="B8" i="6"/>
  <c r="B7" i="6"/>
  <c r="BO60" i="4"/>
  <c r="BO59" i="4"/>
  <c r="BO58" i="4"/>
  <c r="BO57" i="4"/>
  <c r="BO56" i="4"/>
  <c r="BO55" i="4"/>
  <c r="BO54" i="4"/>
  <c r="BO53" i="4"/>
  <c r="BO52" i="4"/>
  <c r="BO51" i="4"/>
  <c r="BO50" i="4"/>
  <c r="BO49" i="4"/>
  <c r="BO48" i="4"/>
  <c r="BO47" i="4"/>
  <c r="BO45" i="4"/>
  <c r="BO44" i="4"/>
  <c r="BO43" i="4"/>
  <c r="BO42" i="4"/>
  <c r="BO41" i="4"/>
  <c r="BO40" i="4"/>
  <c r="BO39" i="4"/>
  <c r="BO38" i="4"/>
  <c r="BO37" i="4"/>
  <c r="BO36" i="4"/>
  <c r="BO35" i="4"/>
  <c r="BO34" i="4"/>
  <c r="BO33" i="4"/>
  <c r="BO32" i="4"/>
  <c r="BO31" i="4"/>
  <c r="BO30" i="4"/>
  <c r="BO29" i="4"/>
  <c r="BO12" i="4"/>
  <c r="BO13" i="4"/>
  <c r="BO14" i="4"/>
  <c r="BO15" i="4"/>
  <c r="BO16" i="4"/>
  <c r="BO17" i="4"/>
  <c r="BO18" i="4"/>
  <c r="BO19" i="4"/>
  <c r="BO20" i="4"/>
  <c r="BO21" i="4"/>
  <c r="BO22" i="4"/>
  <c r="BO23" i="4"/>
  <c r="BO24" i="4"/>
  <c r="BO25" i="4"/>
  <c r="BO26" i="4"/>
  <c r="BO27" i="4"/>
  <c r="BO28" i="4"/>
  <c r="BO11" i="4"/>
  <c r="B6" i="6"/>
  <c r="M4" i="6"/>
  <c r="H30" i="14"/>
  <c r="H17" i="14"/>
  <c r="K37" i="14"/>
  <c r="G54" i="14"/>
  <c r="L47" i="14"/>
  <c r="F41" i="14"/>
  <c r="K34" i="14"/>
  <c r="E28" i="14"/>
  <c r="G22" i="14"/>
  <c r="L15" i="14"/>
  <c r="F9" i="14"/>
  <c r="K46" i="14"/>
  <c r="F21" i="14"/>
  <c r="K6" i="14"/>
  <c r="J50" i="14"/>
  <c r="D44" i="14"/>
  <c r="I37" i="14"/>
  <c r="C31" i="14"/>
  <c r="H24" i="14"/>
  <c r="J18" i="14"/>
  <c r="D12" i="14"/>
  <c r="C54" i="14"/>
  <c r="G34" i="14"/>
  <c r="L48" i="14"/>
  <c r="L49" i="14"/>
  <c r="F43" i="14"/>
  <c r="K36" i="14"/>
  <c r="E30" i="14"/>
  <c r="G24" i="14"/>
  <c r="L17" i="14"/>
  <c r="F11" i="14"/>
  <c r="G50" i="14"/>
  <c r="E32" i="14"/>
  <c r="E16" i="14"/>
  <c r="D54" i="14"/>
  <c r="I47" i="14"/>
  <c r="C41" i="14"/>
  <c r="H34" i="14"/>
  <c r="J28" i="14"/>
  <c r="D22" i="14"/>
  <c r="I15" i="14"/>
  <c r="C9" i="14"/>
  <c r="L35" i="14"/>
  <c r="F50" i="14"/>
  <c r="I19" i="14"/>
  <c r="L32" i="14"/>
  <c r="C48" i="14"/>
  <c r="K24" i="14"/>
  <c r="I46" i="14"/>
  <c r="I11" i="14"/>
  <c r="L24" i="14"/>
  <c r="C40" i="14"/>
  <c r="J27" i="14"/>
  <c r="G6" i="14"/>
  <c r="I53" i="14"/>
  <c r="D28" i="14"/>
  <c r="G42" i="14"/>
  <c r="G40" i="14"/>
  <c r="E14" i="14"/>
  <c r="K51" i="14"/>
  <c r="I31" i="14"/>
  <c r="D6" i="14"/>
  <c r="D26" i="14"/>
  <c r="L34" i="14"/>
  <c r="J46" i="14"/>
  <c r="D29" i="14"/>
  <c r="H43" i="14"/>
  <c r="C18" i="14"/>
  <c r="I12" i="14"/>
  <c r="E33" i="14"/>
  <c r="K7" i="14"/>
  <c r="C52" i="14"/>
  <c r="D33" i="14"/>
  <c r="H13" i="14"/>
  <c r="I49" i="14"/>
  <c r="G37" i="14"/>
  <c r="E11" i="14"/>
  <c r="K27" i="14"/>
  <c r="H6" i="14"/>
  <c r="L10" i="14"/>
  <c r="K42" i="14"/>
  <c r="F17" i="14"/>
  <c r="G10" i="14"/>
  <c r="H32" i="14"/>
  <c r="C7" i="14"/>
  <c r="K44" i="14"/>
  <c r="L25" i="14"/>
  <c r="K12" i="14"/>
  <c r="I55" i="14"/>
  <c r="D30" i="14"/>
  <c r="H10" i="14"/>
  <c r="E29" i="14"/>
  <c r="H41" i="14"/>
  <c r="D53" i="14"/>
  <c r="G12" i="14"/>
  <c r="H35" i="14"/>
  <c r="C10" i="14"/>
  <c r="G51" i="14"/>
  <c r="E25" i="14"/>
  <c r="F6" i="14"/>
  <c r="C51" i="14"/>
  <c r="J31" i="14"/>
  <c r="H55" i="14"/>
  <c r="F48" i="14"/>
  <c r="L22" i="14"/>
  <c r="H52" i="14"/>
  <c r="D21" i="14"/>
  <c r="E23" i="14"/>
  <c r="C32" i="14"/>
  <c r="C19" i="14"/>
  <c r="F39" i="14"/>
  <c r="J53" i="14"/>
  <c r="D47" i="14"/>
  <c r="I40" i="14"/>
  <c r="C34" i="14"/>
  <c r="H27" i="14"/>
  <c r="J21" i="14"/>
  <c r="D15" i="14"/>
  <c r="I8" i="14"/>
  <c r="F45" i="14"/>
  <c r="D19" i="14"/>
  <c r="K55" i="14"/>
  <c r="E49" i="14"/>
  <c r="G43" i="14"/>
  <c r="L36" i="14"/>
  <c r="F30" i="14"/>
  <c r="K23" i="14"/>
  <c r="E17" i="14"/>
  <c r="G11" i="14"/>
  <c r="D51" i="14"/>
  <c r="I20" i="14"/>
  <c r="J55" i="14"/>
  <c r="D49" i="14"/>
  <c r="I42" i="14"/>
  <c r="C36" i="14"/>
  <c r="H29" i="14"/>
  <c r="J23" i="14"/>
  <c r="D17" i="14"/>
  <c r="I10" i="14"/>
  <c r="E48" i="14"/>
  <c r="C30" i="14"/>
  <c r="F13" i="14"/>
  <c r="G53" i="14"/>
  <c r="L46" i="14"/>
  <c r="F40" i="14"/>
  <c r="K33" i="14"/>
  <c r="E27" i="14"/>
  <c r="G21" i="14"/>
  <c r="L14" i="14"/>
  <c r="F8" i="14"/>
  <c r="J33" i="14"/>
  <c r="D48" i="14"/>
  <c r="C21" i="14"/>
  <c r="F34" i="14"/>
  <c r="E50" i="14"/>
  <c r="E26" i="14"/>
  <c r="J48" i="14"/>
  <c r="C13" i="14"/>
  <c r="F26" i="14"/>
  <c r="I41" i="14"/>
  <c r="D50" i="14"/>
  <c r="H40" i="14"/>
  <c r="H8" i="14"/>
  <c r="E46" i="14"/>
  <c r="K20" i="14"/>
  <c r="H23" i="14"/>
  <c r="D38" i="14"/>
  <c r="J12" i="14"/>
  <c r="G39" i="14"/>
  <c r="D18" i="14"/>
  <c r="G52" i="14"/>
  <c r="J37" i="14"/>
  <c r="H11" i="14"/>
  <c r="L52" i="14"/>
  <c r="G27" i="14"/>
  <c r="E40" i="14"/>
  <c r="J39" i="14"/>
  <c r="J7" i="14"/>
  <c r="K49" i="14"/>
  <c r="F24" i="14"/>
  <c r="J9" i="14"/>
  <c r="D16" i="14"/>
  <c r="K19" i="14"/>
  <c r="L55" i="14"/>
  <c r="L23" i="14"/>
  <c r="E24" i="14"/>
  <c r="C39" i="14"/>
  <c r="I13" i="14"/>
  <c r="F51" i="14"/>
  <c r="F19" i="14"/>
  <c r="L19" i="14"/>
  <c r="J36" i="14"/>
  <c r="L51" i="14"/>
  <c r="H44" i="14"/>
  <c r="E21" i="14"/>
  <c r="E34" i="14"/>
  <c r="D23" i="14"/>
  <c r="K22" i="14"/>
  <c r="F38" i="14"/>
  <c r="L12" i="14"/>
  <c r="I50" i="14"/>
  <c r="D25" i="14"/>
  <c r="D35" i="14"/>
  <c r="K41" i="14"/>
  <c r="F16" i="14"/>
  <c r="I17" i="14"/>
  <c r="C43" i="14"/>
  <c r="F55" i="14"/>
  <c r="C27" i="14"/>
  <c r="I22" i="14"/>
  <c r="L42" i="14"/>
  <c r="E52" i="14"/>
  <c r="G46" i="14"/>
  <c r="L39" i="14"/>
  <c r="F33" i="14"/>
  <c r="K26" i="14"/>
  <c r="E20" i="14"/>
  <c r="G14" i="14"/>
  <c r="L7" i="14"/>
  <c r="D43" i="14"/>
  <c r="J17" i="14"/>
  <c r="C55" i="14"/>
  <c r="H48" i="14"/>
  <c r="J42" i="14"/>
  <c r="D36" i="14"/>
  <c r="I29" i="14"/>
  <c r="C23" i="14"/>
  <c r="H16" i="14"/>
  <c r="J10" i="14"/>
  <c r="H47" i="14"/>
  <c r="K14" i="14"/>
  <c r="E54" i="14"/>
  <c r="G48" i="14"/>
  <c r="L41" i="14"/>
  <c r="F35" i="14"/>
  <c r="K28" i="14"/>
  <c r="E22" i="14"/>
  <c r="G16" i="14"/>
  <c r="L9" i="14"/>
  <c r="C46" i="14"/>
  <c r="I28" i="14"/>
  <c r="D11" i="14"/>
  <c r="J52" i="14"/>
  <c r="D46" i="14"/>
  <c r="I39" i="14"/>
  <c r="C33" i="14"/>
  <c r="H26" i="14"/>
  <c r="J20" i="14"/>
  <c r="D14" i="14"/>
  <c r="I7" i="14"/>
  <c r="K30" i="14"/>
  <c r="G7" i="14"/>
  <c r="J22" i="14"/>
  <c r="F36" i="14"/>
  <c r="H9" i="14"/>
  <c r="K29" i="14"/>
  <c r="L50" i="14"/>
  <c r="J14" i="14"/>
  <c r="F28" i="14"/>
  <c r="I43" i="14"/>
  <c r="D32" i="14"/>
  <c r="E44" i="14"/>
  <c r="G38" i="14"/>
  <c r="L31" i="14"/>
  <c r="F25" i="14"/>
  <c r="K18" i="14"/>
  <c r="E12" i="14"/>
  <c r="C14" i="14"/>
  <c r="J34" i="14"/>
  <c r="C15" i="14"/>
  <c r="K52" i="14"/>
  <c r="F27" i="14"/>
  <c r="J41" i="14"/>
  <c r="J44" i="14"/>
  <c r="H18" i="14"/>
  <c r="H12" i="14"/>
  <c r="E55" i="14"/>
  <c r="C50" i="14"/>
  <c r="I24" i="14"/>
  <c r="J25" i="14"/>
  <c r="K39" i="14"/>
  <c r="F14" i="14"/>
  <c r="H45" i="14"/>
  <c r="C20" i="14"/>
  <c r="C22" i="14"/>
  <c r="L30" i="14"/>
  <c r="K54" i="14"/>
  <c r="G41" i="14"/>
  <c r="G33" i="14"/>
  <c r="F49" i="14"/>
  <c r="E36" i="14"/>
  <c r="K10" i="14"/>
  <c r="D52" i="14"/>
  <c r="D20" i="14"/>
  <c r="J54" i="14"/>
  <c r="G32" i="14"/>
  <c r="F37" i="14"/>
  <c r="H42" i="14"/>
  <c r="C17" i="14"/>
  <c r="C16" i="14"/>
  <c r="C8" i="14"/>
  <c r="I48" i="14"/>
  <c r="J29" i="14"/>
  <c r="J49" i="14"/>
  <c r="L44" i="14"/>
  <c r="G19" i="14"/>
  <c r="C44" i="14"/>
  <c r="I18" i="14"/>
  <c r="L54" i="14"/>
  <c r="G29" i="14"/>
  <c r="K38" i="14"/>
  <c r="H46" i="14"/>
  <c r="H38" i="14"/>
  <c r="I30" i="14"/>
  <c r="D24" i="14"/>
  <c r="G44" i="14"/>
  <c r="H51" i="14"/>
  <c r="J45" i="14"/>
  <c r="D39" i="14"/>
  <c r="I32" i="14"/>
  <c r="C26" i="14"/>
  <c r="H19" i="14"/>
  <c r="J13" i="14"/>
  <c r="D7" i="14"/>
  <c r="H31" i="14"/>
  <c r="H15" i="14"/>
  <c r="F54" i="14"/>
  <c r="K47" i="14"/>
  <c r="E41" i="14"/>
  <c r="G35" i="14"/>
  <c r="L28" i="14"/>
  <c r="F22" i="14"/>
  <c r="K15" i="14"/>
  <c r="E9" i="14"/>
  <c r="I44" i="14"/>
  <c r="L11" i="14"/>
  <c r="H53" i="14"/>
  <c r="J47" i="14"/>
  <c r="D41" i="14"/>
  <c r="I34" i="14"/>
  <c r="C28" i="14"/>
  <c r="H21" i="14"/>
  <c r="J15" i="14"/>
  <c r="D9" i="14"/>
  <c r="L43" i="14"/>
  <c r="G26" i="14"/>
  <c r="E53" i="14"/>
  <c r="E51" i="14"/>
  <c r="G45" i="14"/>
  <c r="L38" i="14"/>
  <c r="F32" i="14"/>
  <c r="K25" i="14"/>
  <c r="E19" i="14"/>
  <c r="G13" i="14"/>
  <c r="L6" i="14"/>
  <c r="F29" i="14"/>
  <c r="G9" i="14"/>
  <c r="J24" i="14"/>
  <c r="L37" i="14"/>
  <c r="C11" i="14"/>
  <c r="F31" i="14"/>
  <c r="C53" i="14"/>
  <c r="J16" i="14"/>
  <c r="L29" i="14"/>
  <c r="C45" i="14"/>
  <c r="K50" i="14"/>
  <c r="L27" i="14"/>
  <c r="C47" i="14"/>
  <c r="I21" i="14"/>
  <c r="E8" i="14"/>
  <c r="L33" i="14"/>
  <c r="G8" i="14"/>
  <c r="H50" i="14"/>
  <c r="C25" i="14"/>
  <c r="D27" i="14"/>
  <c r="I14" i="14"/>
  <c r="G31" i="14"/>
  <c r="F7" i="14"/>
  <c r="D31" i="14"/>
  <c r="F53" i="14"/>
  <c r="F46" i="14"/>
  <c r="L20" i="14"/>
  <c r="C6" i="14"/>
  <c r="I26" i="14"/>
  <c r="H39" i="14"/>
  <c r="E43" i="14"/>
  <c r="K17" i="14"/>
  <c r="H14" i="14"/>
  <c r="G36" i="14"/>
  <c r="K48" i="14"/>
  <c r="K32" i="14"/>
  <c r="G30" i="14"/>
  <c r="I52" i="14"/>
  <c r="I45" i="14"/>
  <c r="J26" i="14"/>
  <c r="C38" i="14"/>
  <c r="E38" i="14"/>
  <c r="E6" i="14"/>
  <c r="C49" i="14"/>
  <c r="I23" i="14"/>
  <c r="G55" i="14"/>
  <c r="J19" i="14"/>
  <c r="H36" i="14"/>
  <c r="D55" i="14"/>
  <c r="C42" i="14"/>
  <c r="I16" i="14"/>
  <c r="H7" i="14"/>
  <c r="K31" i="14"/>
  <c r="I36" i="14"/>
  <c r="H37" i="14"/>
  <c r="C12" i="14"/>
  <c r="G18" i="14"/>
  <c r="E35" i="14"/>
  <c r="K9" i="14"/>
  <c r="E31" i="14"/>
  <c r="I9" i="14"/>
  <c r="C40" i="13"/>
  <c r="F12" i="13"/>
  <c r="H33" i="13"/>
  <c r="F8" i="13"/>
  <c r="L21" i="13"/>
  <c r="C37" i="13"/>
  <c r="J53" i="13"/>
  <c r="D47" i="13"/>
  <c r="I40" i="13"/>
  <c r="C34" i="13"/>
  <c r="H27" i="13"/>
  <c r="J21" i="13"/>
  <c r="D15" i="13"/>
  <c r="I8" i="13"/>
  <c r="F48" i="13"/>
  <c r="J20" i="13"/>
  <c r="I53" i="13"/>
  <c r="C47" i="13"/>
  <c r="H40" i="13"/>
  <c r="J34" i="13"/>
  <c r="D28" i="13"/>
  <c r="I21" i="13"/>
  <c r="C15" i="13"/>
  <c r="H8" i="13"/>
  <c r="I47" i="13"/>
  <c r="D38" i="13"/>
  <c r="I15" i="13"/>
  <c r="L49" i="13"/>
  <c r="F43" i="13"/>
  <c r="K36" i="13"/>
  <c r="E30" i="13"/>
  <c r="G24" i="13"/>
  <c r="L17" i="13"/>
  <c r="F11" i="13"/>
  <c r="K41" i="13"/>
  <c r="E27" i="13"/>
  <c r="F53" i="13"/>
  <c r="K46" i="13"/>
  <c r="E40" i="13"/>
  <c r="G34" i="13"/>
  <c r="L27" i="13"/>
  <c r="F21" i="13"/>
  <c r="K14" i="13"/>
  <c r="E8" i="13"/>
  <c r="K51" i="13"/>
  <c r="E45" i="13"/>
  <c r="G39" i="13"/>
  <c r="F15" i="13"/>
  <c r="D37" i="13"/>
  <c r="K8" i="13"/>
  <c r="I25" i="13"/>
  <c r="F39" i="13"/>
  <c r="D50" i="13"/>
  <c r="K42" i="13"/>
  <c r="F17" i="13"/>
  <c r="K55" i="13"/>
  <c r="F30" i="13"/>
  <c r="J52" i="13"/>
  <c r="H45" i="13"/>
  <c r="C20" i="13"/>
  <c r="F32" i="13"/>
  <c r="D43" i="13"/>
  <c r="J17" i="13"/>
  <c r="I41" i="13"/>
  <c r="C53" i="13"/>
  <c r="L26" i="13"/>
  <c r="D55" i="13"/>
  <c r="J29" i="13"/>
  <c r="E51" i="13"/>
  <c r="J42" i="13"/>
  <c r="C23" i="13"/>
  <c r="F40" i="13"/>
  <c r="E38" i="13"/>
  <c r="K12" i="13"/>
  <c r="D16" i="13"/>
  <c r="G13" i="13"/>
  <c r="C35" i="13"/>
  <c r="I9" i="13"/>
  <c r="G23" i="13"/>
  <c r="G41" i="13"/>
  <c r="E52" i="13"/>
  <c r="G46" i="13"/>
  <c r="L39" i="13"/>
  <c r="F33" i="13"/>
  <c r="K26" i="13"/>
  <c r="E20" i="13"/>
  <c r="G14" i="13"/>
  <c r="L7" i="13"/>
  <c r="L46" i="13"/>
  <c r="H18" i="13"/>
  <c r="L52" i="13"/>
  <c r="F46" i="13"/>
  <c r="K39" i="13"/>
  <c r="E33" i="13"/>
  <c r="G27" i="13"/>
  <c r="L20" i="13"/>
  <c r="F14" i="13"/>
  <c r="K7" i="13"/>
  <c r="D46" i="13"/>
  <c r="J36" i="13"/>
  <c r="J55" i="13"/>
  <c r="D49" i="13"/>
  <c r="I42" i="13"/>
  <c r="C36" i="13"/>
  <c r="H29" i="13"/>
  <c r="J23" i="13"/>
  <c r="D17" i="13"/>
  <c r="I10" i="13"/>
  <c r="L38" i="13"/>
  <c r="K25" i="13"/>
  <c r="I52" i="13"/>
  <c r="C46" i="13"/>
  <c r="H39" i="13"/>
  <c r="J33" i="13"/>
  <c r="D27" i="13"/>
  <c r="I20" i="13"/>
  <c r="C14" i="13"/>
  <c r="H7" i="13"/>
  <c r="C51" i="13"/>
  <c r="H44" i="13"/>
  <c r="J38" i="13"/>
  <c r="L18" i="13"/>
  <c r="E39" i="13"/>
  <c r="E11" i="13"/>
  <c r="I27" i="13"/>
  <c r="F44" i="13"/>
  <c r="D8" i="13"/>
  <c r="E36" i="13"/>
  <c r="K10" i="13"/>
  <c r="G43" i="13"/>
  <c r="E17" i="13"/>
  <c r="C52" i="13"/>
  <c r="I26" i="13"/>
  <c r="H55" i="13"/>
  <c r="C30" i="13"/>
  <c r="J54" i="13"/>
  <c r="I30" i="13"/>
  <c r="F55" i="13"/>
  <c r="H9" i="13"/>
  <c r="C42" i="13"/>
  <c r="I16" i="13"/>
  <c r="C55" i="13"/>
  <c r="I29" i="13"/>
  <c r="J10" i="13"/>
  <c r="F51" i="13"/>
  <c r="L25" i="13"/>
  <c r="L30" i="13"/>
  <c r="J40" i="13"/>
  <c r="K16" i="13"/>
  <c r="I38" i="13"/>
  <c r="G12" i="13"/>
  <c r="G25" i="13"/>
  <c r="J43" i="13"/>
  <c r="H51" i="13"/>
  <c r="J45" i="13"/>
  <c r="D39" i="13"/>
  <c r="I32" i="13"/>
  <c r="C26" i="13"/>
  <c r="H19" i="13"/>
  <c r="J13" i="13"/>
  <c r="D7" i="13"/>
  <c r="G45" i="13"/>
  <c r="K17" i="13"/>
  <c r="D52" i="13"/>
  <c r="I45" i="13"/>
  <c r="C39" i="13"/>
  <c r="H32" i="13"/>
  <c r="J26" i="13"/>
  <c r="D20" i="13"/>
  <c r="I13" i="13"/>
  <c r="C7" i="13"/>
  <c r="J44" i="13"/>
  <c r="H34" i="13"/>
  <c r="E54" i="13"/>
  <c r="G48" i="13"/>
  <c r="L41" i="13"/>
  <c r="F35" i="13"/>
  <c r="K28" i="13"/>
  <c r="E22" i="13"/>
  <c r="G16" i="13"/>
  <c r="L9" i="13"/>
  <c r="G37" i="13"/>
  <c r="F24" i="13"/>
  <c r="L51" i="13"/>
  <c r="F45" i="13"/>
  <c r="K38" i="13"/>
  <c r="E32" i="13"/>
  <c r="G26" i="13"/>
  <c r="L19" i="13"/>
  <c r="F13" i="13"/>
  <c r="K6" i="13"/>
  <c r="F50" i="13"/>
  <c r="K43" i="13"/>
  <c r="E7" i="13"/>
  <c r="G20" i="13"/>
  <c r="H41" i="13"/>
  <c r="J12" i="13"/>
  <c r="C29" i="13"/>
  <c r="H46" i="13"/>
  <c r="F23" i="13"/>
  <c r="G30" i="13"/>
  <c r="C25" i="13"/>
  <c r="L36" i="13"/>
  <c r="G11" i="13"/>
  <c r="D30" i="13"/>
  <c r="D33" i="13"/>
  <c r="J7" i="13"/>
  <c r="I36" i="13"/>
  <c r="D11" i="13"/>
  <c r="C11" i="13"/>
  <c r="D34" i="13"/>
  <c r="G52" i="13"/>
  <c r="I48" i="13"/>
  <c r="D23" i="13"/>
  <c r="I23" i="13"/>
  <c r="D36" i="13"/>
  <c r="H50" i="13"/>
  <c r="K44" i="13"/>
  <c r="F19" i="13"/>
  <c r="J16" i="13"/>
  <c r="E18" i="13"/>
  <c r="I43" i="13"/>
  <c r="K13" i="13"/>
  <c r="H28" i="13"/>
  <c r="L45" i="13"/>
  <c r="K50" i="13"/>
  <c r="E44" i="13"/>
  <c r="G38" i="13"/>
  <c r="L31" i="13"/>
  <c r="F25" i="13"/>
  <c r="K18" i="13"/>
  <c r="E12" i="13"/>
  <c r="G6" i="13"/>
  <c r="G29" i="13"/>
  <c r="F16" i="13"/>
  <c r="G51" i="13"/>
  <c r="L44" i="13"/>
  <c r="F38" i="13"/>
  <c r="K31" i="13"/>
  <c r="E25" i="13"/>
  <c r="G19" i="13"/>
  <c r="L12" i="13"/>
  <c r="F6" i="13"/>
  <c r="E43" i="13"/>
  <c r="C33" i="13"/>
  <c r="H53" i="13"/>
  <c r="J47" i="13"/>
  <c r="D41" i="13"/>
  <c r="I34" i="13"/>
  <c r="C28" i="13"/>
  <c r="H21" i="13"/>
  <c r="J15" i="13"/>
  <c r="D9" i="13"/>
  <c r="E35" i="13"/>
  <c r="L22" i="13"/>
  <c r="D51" i="13"/>
  <c r="I44" i="13"/>
  <c r="C38" i="13"/>
  <c r="H31" i="13"/>
  <c r="J25" i="13"/>
  <c r="D19" i="13"/>
  <c r="I12" i="13"/>
  <c r="C6" i="13"/>
  <c r="I49" i="13"/>
  <c r="C43" i="13"/>
  <c r="J8" i="13"/>
  <c r="H25" i="13"/>
  <c r="J48" i="13"/>
  <c r="G15" i="13"/>
  <c r="J30" i="13"/>
  <c r="K48" i="13"/>
  <c r="L6" i="13"/>
  <c r="K21" i="13"/>
  <c r="K45" i="13"/>
  <c r="E15" i="13"/>
  <c r="H30" i="13"/>
  <c r="C48" i="13"/>
  <c r="C50" i="13"/>
  <c r="H43" i="13"/>
  <c r="J37" i="13"/>
  <c r="D31" i="13"/>
  <c r="I24" i="13"/>
  <c r="C18" i="13"/>
  <c r="H11" i="13"/>
  <c r="D54" i="13"/>
  <c r="H26" i="13"/>
  <c r="L14" i="13"/>
  <c r="J50" i="13"/>
  <c r="D44" i="13"/>
  <c r="I37" i="13"/>
  <c r="C31" i="13"/>
  <c r="H24" i="13"/>
  <c r="J18" i="13"/>
  <c r="D12" i="13"/>
  <c r="L54" i="13"/>
  <c r="H42" i="13"/>
  <c r="I31" i="13"/>
  <c r="K52" i="13"/>
  <c r="E46" i="13"/>
  <c r="G40" i="13"/>
  <c r="L33" i="13"/>
  <c r="F27" i="13"/>
  <c r="K20" i="13"/>
  <c r="E14" i="13"/>
  <c r="G8" i="13"/>
  <c r="K33" i="13"/>
  <c r="G21" i="13"/>
  <c r="G50" i="13"/>
  <c r="L43" i="13"/>
  <c r="F37" i="13"/>
  <c r="K30" i="13"/>
  <c r="E24" i="13"/>
  <c r="G18" i="13"/>
  <c r="L11" i="13"/>
  <c r="G55" i="13"/>
  <c r="L48" i="13"/>
  <c r="F42" i="13"/>
  <c r="K9" i="13"/>
  <c r="C27" i="13"/>
  <c r="L50" i="13"/>
  <c r="G17" i="13"/>
  <c r="J32" i="13"/>
  <c r="D53" i="13"/>
  <c r="L16" i="13"/>
  <c r="C32" i="13"/>
  <c r="L55" i="13"/>
  <c r="F49" i="13"/>
  <c r="L23" i="13"/>
  <c r="G53" i="13"/>
  <c r="E49" i="13"/>
  <c r="K23" i="13"/>
  <c r="C41" i="13"/>
  <c r="J39" i="13"/>
  <c r="H13" i="13"/>
  <c r="J49" i="13"/>
  <c r="H23" i="13"/>
  <c r="D48" i="13"/>
  <c r="H20" i="13"/>
  <c r="F18" i="13"/>
  <c r="I33" i="13"/>
  <c r="H35" i="13"/>
  <c r="C10" i="13"/>
  <c r="H48" i="13"/>
  <c r="H16" i="13"/>
  <c r="E19" i="13"/>
  <c r="G32" i="13"/>
  <c r="L10" i="13"/>
  <c r="K34" i="13"/>
  <c r="K47" i="13"/>
  <c r="I39" i="13"/>
  <c r="C12" i="13"/>
  <c r="G42" i="13"/>
  <c r="E16" i="13"/>
  <c r="L40" i="13"/>
  <c r="H22" i="13"/>
  <c r="K15" i="13"/>
  <c r="D25" i="13"/>
  <c r="E48" i="13"/>
  <c r="I18" i="13"/>
  <c r="C22" i="13"/>
  <c r="G28" i="13"/>
  <c r="E28" i="13"/>
  <c r="E41" i="13"/>
  <c r="C17" i="13"/>
  <c r="E6" i="13"/>
  <c r="J41" i="13"/>
  <c r="H15" i="13"/>
  <c r="D40" i="13"/>
  <c r="C24" i="13"/>
  <c r="J31" i="13"/>
  <c r="E9" i="13"/>
  <c r="K22" i="13"/>
  <c r="C49" i="13"/>
  <c r="J46" i="13"/>
  <c r="I54" i="13"/>
  <c r="G22" i="13"/>
  <c r="G35" i="13"/>
  <c r="I50" i="13"/>
  <c r="I55" i="13"/>
  <c r="L35" i="13"/>
  <c r="G10" i="13"/>
  <c r="H12" i="13"/>
  <c r="K35" i="13"/>
  <c r="G54" i="13"/>
  <c r="L47" i="13"/>
  <c r="E55" i="13"/>
  <c r="F54" i="13"/>
  <c r="H47" i="13"/>
  <c r="F20" i="13"/>
  <c r="L15" i="13"/>
  <c r="L28" i="13"/>
  <c r="C44" i="13"/>
  <c r="J28" i="13"/>
  <c r="D35" i="13"/>
  <c r="J9" i="13"/>
  <c r="L13" i="13"/>
  <c r="E37" i="13"/>
  <c r="I35" i="13"/>
  <c r="F9" i="13"/>
  <c r="F22" i="13"/>
  <c r="H37" i="13"/>
  <c r="K54" i="13"/>
  <c r="F29" i="13"/>
  <c r="E53" i="13"/>
  <c r="D32" i="13"/>
  <c r="K49" i="13"/>
  <c r="C54" i="13"/>
  <c r="I28" i="13"/>
  <c r="H52" i="13"/>
  <c r="J35" i="13"/>
  <c r="D22" i="13"/>
  <c r="G47" i="13"/>
  <c r="F41" i="13"/>
  <c r="F7" i="13"/>
  <c r="C8" i="12"/>
  <c r="E18" i="12"/>
  <c r="D40" i="12"/>
  <c r="L8" i="12"/>
  <c r="C24" i="12"/>
  <c r="E37" i="12"/>
  <c r="L10" i="12"/>
  <c r="K32" i="12"/>
  <c r="L55" i="12"/>
  <c r="F49" i="12"/>
  <c r="K42" i="12"/>
  <c r="E36" i="12"/>
  <c r="G30" i="12"/>
  <c r="L23" i="12"/>
  <c r="F17" i="12"/>
  <c r="K10" i="12"/>
  <c r="I52" i="12"/>
  <c r="J25" i="12"/>
  <c r="D11" i="12"/>
  <c r="L52" i="12"/>
  <c r="F46" i="12"/>
  <c r="K39" i="12"/>
  <c r="E33" i="12"/>
  <c r="G27" i="12"/>
  <c r="L20" i="12"/>
  <c r="F14" i="12"/>
  <c r="K7" i="12"/>
  <c r="H39" i="12"/>
  <c r="C14" i="12"/>
  <c r="H53" i="12"/>
  <c r="J47" i="12"/>
  <c r="D41" i="12"/>
  <c r="I34" i="12"/>
  <c r="C28" i="12"/>
  <c r="H21" i="12"/>
  <c r="J15" i="12"/>
  <c r="D9" i="12"/>
  <c r="D43" i="12"/>
  <c r="H23" i="12"/>
  <c r="C43" i="12"/>
  <c r="H50" i="12"/>
  <c r="J44" i="12"/>
  <c r="D38" i="12"/>
  <c r="I31" i="12"/>
  <c r="C25" i="12"/>
  <c r="H18" i="12"/>
  <c r="J12" i="12"/>
  <c r="D6" i="12"/>
  <c r="H15" i="12"/>
  <c r="F50" i="12"/>
  <c r="H14" i="12"/>
  <c r="K27" i="12"/>
  <c r="H41" i="12"/>
  <c r="G28" i="12"/>
  <c r="J30" i="12"/>
  <c r="G41" i="12"/>
  <c r="L39" i="12"/>
  <c r="E20" i="12"/>
  <c r="I44" i="12"/>
  <c r="E49" i="12"/>
  <c r="F30" i="12"/>
  <c r="G11" i="12"/>
  <c r="K51" i="12"/>
  <c r="H37" i="12"/>
  <c r="I18" i="12"/>
  <c r="J33" i="12"/>
  <c r="I47" i="12"/>
  <c r="D22" i="12"/>
  <c r="D35" i="12"/>
  <c r="C21" i="12"/>
  <c r="K16" i="12"/>
  <c r="K35" i="12"/>
  <c r="H38" i="12"/>
  <c r="K21" i="12"/>
  <c r="E42" i="12"/>
  <c r="F10" i="12"/>
  <c r="I25" i="12"/>
  <c r="E39" i="12"/>
  <c r="G12" i="12"/>
  <c r="E34" i="12"/>
  <c r="D55" i="12"/>
  <c r="I48" i="12"/>
  <c r="C42" i="12"/>
  <c r="H35" i="12"/>
  <c r="J29" i="12"/>
  <c r="D23" i="12"/>
  <c r="I16" i="12"/>
  <c r="C10" i="12"/>
  <c r="D51" i="12"/>
  <c r="K22" i="12"/>
  <c r="G47" i="12"/>
  <c r="D52" i="12"/>
  <c r="I45" i="12"/>
  <c r="C39" i="12"/>
  <c r="H32" i="12"/>
  <c r="J26" i="12"/>
  <c r="D20" i="12"/>
  <c r="I13" i="12"/>
  <c r="C7" i="12"/>
  <c r="C38" i="12"/>
  <c r="J9" i="12"/>
  <c r="K52" i="12"/>
  <c r="E46" i="12"/>
  <c r="G40" i="12"/>
  <c r="L33" i="12"/>
  <c r="F27" i="12"/>
  <c r="K20" i="12"/>
  <c r="E14" i="12"/>
  <c r="G8" i="12"/>
  <c r="E40" i="12"/>
  <c r="F21" i="12"/>
  <c r="L40" i="12"/>
  <c r="K49" i="12"/>
  <c r="E43" i="12"/>
  <c r="G37" i="12"/>
  <c r="L30" i="12"/>
  <c r="F24" i="12"/>
  <c r="K17" i="12"/>
  <c r="E11" i="12"/>
  <c r="H55" i="12"/>
  <c r="F13" i="12"/>
  <c r="I49" i="12"/>
  <c r="C16" i="12"/>
  <c r="E29" i="12"/>
  <c r="J48" i="12"/>
  <c r="L53" i="12"/>
  <c r="D50" i="12"/>
  <c r="E52" i="12"/>
  <c r="F33" i="12"/>
  <c r="G14" i="12"/>
  <c r="J17" i="12"/>
  <c r="G43" i="12"/>
  <c r="K23" i="12"/>
  <c r="G50" i="12"/>
  <c r="C44" i="12"/>
  <c r="D25" i="12"/>
  <c r="K54" i="12"/>
  <c r="D54" i="12"/>
  <c r="H34" i="12"/>
  <c r="I15" i="12"/>
  <c r="E8" i="12"/>
  <c r="F34" i="12"/>
  <c r="I38" i="12"/>
  <c r="F7" i="12"/>
  <c r="C40" i="12"/>
  <c r="F23" i="12"/>
  <c r="G49" i="12"/>
  <c r="F12" i="12"/>
  <c r="I27" i="12"/>
  <c r="I43" i="12"/>
  <c r="H17" i="12"/>
  <c r="K37" i="12"/>
  <c r="G54" i="12"/>
  <c r="L47" i="12"/>
  <c r="F41" i="12"/>
  <c r="K34" i="12"/>
  <c r="E28" i="12"/>
  <c r="G22" i="12"/>
  <c r="L15" i="12"/>
  <c r="F9" i="12"/>
  <c r="E48" i="12"/>
  <c r="C22" i="12"/>
  <c r="K43" i="12"/>
  <c r="G51" i="12"/>
  <c r="L44" i="12"/>
  <c r="F38" i="12"/>
  <c r="K31" i="12"/>
  <c r="E25" i="12"/>
  <c r="G19" i="12"/>
  <c r="L12" i="12"/>
  <c r="F6" i="12"/>
  <c r="I36" i="12"/>
  <c r="H7" i="12"/>
  <c r="C52" i="12"/>
  <c r="H45" i="12"/>
  <c r="J39" i="12"/>
  <c r="D33" i="12"/>
  <c r="I26" i="12"/>
  <c r="C20" i="12"/>
  <c r="H13" i="12"/>
  <c r="J7" i="12"/>
  <c r="F37" i="12"/>
  <c r="D19" i="12"/>
  <c r="I55" i="12"/>
  <c r="C49" i="12"/>
  <c r="H42" i="12"/>
  <c r="J36" i="12"/>
  <c r="D30" i="12"/>
  <c r="I23" i="12"/>
  <c r="C17" i="12"/>
  <c r="H10" i="12"/>
  <c r="L51" i="12"/>
  <c r="L11" i="12"/>
  <c r="J46" i="12"/>
  <c r="I17" i="12"/>
  <c r="E31" i="12"/>
  <c r="L50" i="12"/>
  <c r="I6" i="12"/>
  <c r="L26" i="12"/>
  <c r="J51" i="12"/>
  <c r="L13" i="12"/>
  <c r="C29" i="12"/>
  <c r="K45" i="12"/>
  <c r="C19" i="12"/>
  <c r="F39" i="12"/>
  <c r="J53" i="12"/>
  <c r="D47" i="12"/>
  <c r="I40" i="12"/>
  <c r="C34" i="12"/>
  <c r="H27" i="12"/>
  <c r="J21" i="12"/>
  <c r="D15" i="12"/>
  <c r="I8" i="12"/>
  <c r="C46" i="12"/>
  <c r="L19" i="12"/>
  <c r="I41" i="12"/>
  <c r="J50" i="12"/>
  <c r="D44" i="12"/>
  <c r="I37" i="12"/>
  <c r="C31" i="12"/>
  <c r="H24" i="12"/>
  <c r="J18" i="12"/>
  <c r="D12" i="12"/>
  <c r="C54" i="12"/>
  <c r="G34" i="12"/>
  <c r="J54" i="12"/>
  <c r="F51" i="12"/>
  <c r="K44" i="12"/>
  <c r="E38" i="12"/>
  <c r="G32" i="12"/>
  <c r="L25" i="12"/>
  <c r="F19" i="12"/>
  <c r="K12" i="12"/>
  <c r="E6" i="12"/>
  <c r="L35" i="12"/>
  <c r="C6" i="12"/>
  <c r="L54" i="12"/>
  <c r="F48" i="12"/>
  <c r="K41" i="12"/>
  <c r="E35" i="12"/>
  <c r="G29" i="12"/>
  <c r="L22" i="12"/>
  <c r="F16" i="12"/>
  <c r="K9" i="12"/>
  <c r="K38" i="12"/>
  <c r="G10" i="12"/>
  <c r="H44" i="12"/>
  <c r="I19" i="12"/>
  <c r="L32" i="12"/>
  <c r="C53" i="12"/>
  <c r="D8" i="12"/>
  <c r="G15" i="12"/>
  <c r="I22" i="12"/>
  <c r="G46" i="12"/>
  <c r="K26" i="12"/>
  <c r="L7" i="12"/>
  <c r="K55" i="12"/>
  <c r="L36" i="12"/>
  <c r="E17" i="12"/>
  <c r="E32" i="12"/>
  <c r="I50" i="12"/>
  <c r="J31" i="12"/>
  <c r="C12" i="12"/>
  <c r="G55" i="12"/>
  <c r="C41" i="12"/>
  <c r="J28" i="12"/>
  <c r="C9" i="12"/>
  <c r="F42" i="12"/>
  <c r="E55" i="12"/>
  <c r="E7" i="12"/>
  <c r="H22" i="12"/>
  <c r="J11" i="12"/>
  <c r="H33" i="12"/>
  <c r="J8" i="12"/>
  <c r="G17" i="12"/>
  <c r="J32" i="12"/>
  <c r="G52" i="12"/>
  <c r="D24" i="12"/>
  <c r="J43" i="12"/>
  <c r="H51" i="12"/>
  <c r="J45" i="12"/>
  <c r="D39" i="12"/>
  <c r="I32" i="12"/>
  <c r="C26" i="12"/>
  <c r="H19" i="12"/>
  <c r="J13" i="12"/>
  <c r="D7" i="12"/>
  <c r="G42" i="12"/>
  <c r="E16" i="12"/>
  <c r="C55" i="12"/>
  <c r="H48" i="12"/>
  <c r="J42" i="12"/>
  <c r="D36" i="12"/>
  <c r="I29" i="12"/>
  <c r="C23" i="12"/>
  <c r="H16" i="12"/>
  <c r="J10" i="12"/>
  <c r="K46" i="12"/>
  <c r="C30" i="12"/>
  <c r="L48" i="12"/>
  <c r="L49" i="12"/>
  <c r="F43" i="12"/>
  <c r="K36" i="12"/>
  <c r="E30" i="12"/>
  <c r="G24" i="12"/>
  <c r="L17" i="12"/>
  <c r="F11" i="12"/>
  <c r="J49" i="12"/>
  <c r="K30" i="12"/>
  <c r="C51" i="12"/>
  <c r="G53" i="12"/>
  <c r="L46" i="12"/>
  <c r="F40" i="12"/>
  <c r="K33" i="12"/>
  <c r="E27" i="12"/>
  <c r="G21" i="12"/>
  <c r="L14" i="12"/>
  <c r="F8" i="12"/>
  <c r="E24" i="12"/>
  <c r="K6" i="12"/>
  <c r="G7" i="12"/>
  <c r="J22" i="12"/>
  <c r="F36" i="12"/>
  <c r="D13" i="12"/>
  <c r="C35" i="12"/>
  <c r="J40" i="12"/>
  <c r="H20" i="12"/>
  <c r="D34" i="12"/>
  <c r="I54" i="12"/>
  <c r="J27" i="12"/>
  <c r="L45" i="12"/>
  <c r="K50" i="12"/>
  <c r="E44" i="12"/>
  <c r="G38" i="12"/>
  <c r="L31" i="12"/>
  <c r="F25" i="12"/>
  <c r="K18" i="12"/>
  <c r="E12" i="12"/>
  <c r="G6" i="12"/>
  <c r="H31" i="12"/>
  <c r="K14" i="12"/>
  <c r="F54" i="12"/>
  <c r="K47" i="12"/>
  <c r="E41" i="12"/>
  <c r="G35" i="12"/>
  <c r="L28" i="12"/>
  <c r="F22" i="12"/>
  <c r="K15" i="12"/>
  <c r="E9" i="12"/>
  <c r="L43" i="12"/>
  <c r="I28" i="12"/>
  <c r="J55" i="12"/>
  <c r="D49" i="12"/>
  <c r="I42" i="12"/>
  <c r="C36" i="12"/>
  <c r="H29" i="12"/>
  <c r="J23" i="12"/>
  <c r="D17" i="12"/>
  <c r="I10" i="12"/>
  <c r="H47" i="12"/>
  <c r="F29" i="12"/>
  <c r="D48" i="12"/>
  <c r="J52" i="12"/>
  <c r="D46" i="12"/>
  <c r="I39" i="12"/>
  <c r="C33" i="12"/>
  <c r="H26" i="12"/>
  <c r="J20" i="12"/>
  <c r="D14" i="12"/>
  <c r="I7" i="12"/>
  <c r="I20" i="12"/>
  <c r="E53" i="12"/>
  <c r="G9" i="12"/>
  <c r="J24" i="12"/>
  <c r="L37" i="12"/>
  <c r="H6" i="12"/>
  <c r="C48" i="12"/>
  <c r="F53" i="12"/>
  <c r="I21" i="12"/>
  <c r="F35" i="12"/>
  <c r="E51" i="12"/>
  <c r="G18" i="12"/>
  <c r="C47" i="12"/>
  <c r="D28" i="12"/>
  <c r="C50" i="12"/>
  <c r="L27" i="12"/>
  <c r="C15" i="12"/>
  <c r="K28" i="12"/>
  <c r="G45" i="12"/>
  <c r="H52" i="12"/>
  <c r="D31" i="12"/>
  <c r="G39" i="12"/>
  <c r="H11" i="12"/>
  <c r="H43" i="12"/>
  <c r="I12" i="12"/>
  <c r="H8" i="12"/>
  <c r="E22" i="12"/>
  <c r="L38" i="12"/>
  <c r="H12" i="12"/>
  <c r="J37" i="12"/>
  <c r="I53" i="12"/>
  <c r="J41" i="12"/>
  <c r="G16" i="12"/>
  <c r="F32" i="12"/>
  <c r="D26" i="12"/>
  <c r="D27" i="12"/>
  <c r="L9" i="12"/>
  <c r="K25" i="12"/>
  <c r="D29" i="12"/>
  <c r="E45" i="12"/>
  <c r="L6" i="12"/>
  <c r="I24" i="12"/>
  <c r="H40" i="12"/>
  <c r="E54" i="12"/>
  <c r="F45" i="12"/>
  <c r="E19" i="12"/>
  <c r="C18" i="12"/>
  <c r="J34" i="12"/>
  <c r="G48" i="12"/>
  <c r="G26" i="12"/>
  <c r="G13" i="12"/>
  <c r="L41" i="12"/>
  <c r="CN45" i="4"/>
  <c r="CH45" i="4"/>
  <c r="AE45" i="4" l="1"/>
  <c r="Y45" i="4"/>
  <c r="P27" i="4"/>
  <c r="CW57" i="4" l="1"/>
  <c r="CW51" i="4"/>
  <c r="CW50" i="4"/>
  <c r="AN63" i="4"/>
  <c r="AK63" i="4"/>
  <c r="AH63" i="4"/>
  <c r="AE63" i="4"/>
  <c r="AB63" i="4"/>
  <c r="Y63" i="4"/>
  <c r="V63" i="4"/>
  <c r="AN58" i="4"/>
  <c r="AK58" i="4"/>
  <c r="AH58" i="4"/>
  <c r="AE58" i="4"/>
  <c r="AB58" i="4"/>
  <c r="Y58" i="4"/>
  <c r="V58" i="4"/>
  <c r="AN54" i="4"/>
  <c r="AK54" i="4"/>
  <c r="AH54" i="4"/>
  <c r="AE54" i="4"/>
  <c r="AB54" i="4"/>
  <c r="Y54" i="4"/>
  <c r="V54" i="4"/>
  <c r="S63" i="4"/>
  <c r="S58" i="4"/>
  <c r="S54" i="4"/>
  <c r="P21" i="4"/>
  <c r="P18" i="4"/>
  <c r="P19" i="4" s="1"/>
  <c r="P12" i="4"/>
  <c r="P9" i="4"/>
  <c r="P36" i="4"/>
  <c r="F29" i="10"/>
  <c r="E51" i="8"/>
  <c r="J46" i="8"/>
  <c r="F42" i="11"/>
  <c r="F13" i="9"/>
  <c r="H50" i="8"/>
  <c r="K18" i="9"/>
  <c r="C52" i="10"/>
  <c r="K54" i="9"/>
  <c r="H41" i="9"/>
  <c r="C19" i="10"/>
  <c r="L22" i="8"/>
  <c r="K19" i="9"/>
  <c r="C11" i="8"/>
  <c r="C37" i="10"/>
  <c r="G54" i="10"/>
  <c r="E8" i="11"/>
  <c r="L32" i="8"/>
  <c r="I20" i="9"/>
  <c r="F11" i="8"/>
  <c r="E8" i="8"/>
  <c r="G13" i="8"/>
  <c r="L8" i="10"/>
  <c r="J40" i="8"/>
  <c r="L27" i="9"/>
  <c r="D46" i="10"/>
  <c r="E40" i="10"/>
  <c r="E34" i="10"/>
  <c r="K31" i="9"/>
  <c r="I36" i="10"/>
  <c r="C31" i="9"/>
  <c r="I52" i="11"/>
  <c r="J6" i="9"/>
  <c r="H34" i="11"/>
  <c r="H15" i="10"/>
  <c r="K11" i="11"/>
  <c r="E20" i="9"/>
  <c r="J48" i="10"/>
  <c r="D40" i="9"/>
  <c r="G13" i="11"/>
  <c r="I44" i="10"/>
  <c r="H43" i="10"/>
  <c r="C24" i="8"/>
  <c r="F26" i="10"/>
  <c r="L13" i="7"/>
  <c r="I14" i="9"/>
  <c r="I33" i="11"/>
  <c r="C13" i="10"/>
  <c r="E32" i="8"/>
  <c r="G39" i="9"/>
  <c r="G28" i="11"/>
  <c r="I20" i="10"/>
  <c r="I38" i="10"/>
  <c r="E24" i="10"/>
  <c r="CW48" i="4"/>
  <c r="G52" i="8"/>
  <c r="G26" i="10"/>
  <c r="I36" i="11"/>
  <c r="H28" i="11"/>
  <c r="D38" i="11"/>
  <c r="D54" i="10"/>
  <c r="C54" i="11"/>
  <c r="C40" i="9"/>
  <c r="I39" i="8"/>
  <c r="G13" i="10"/>
  <c r="H12" i="11"/>
  <c r="C13" i="11"/>
  <c r="K13" i="9"/>
  <c r="J7" i="8"/>
  <c r="F21" i="11"/>
  <c r="J37" i="10"/>
  <c r="L16" i="8"/>
  <c r="G18" i="10"/>
  <c r="J39" i="11"/>
  <c r="D27" i="8"/>
  <c r="C16" i="10"/>
  <c r="K14" i="8"/>
  <c r="H49" i="9"/>
  <c r="J48" i="8"/>
  <c r="D29" i="11"/>
  <c r="G31" i="11"/>
  <c r="E39" i="7"/>
  <c r="G23" i="11"/>
  <c r="I21" i="9"/>
  <c r="L15" i="11"/>
  <c r="J52" i="10"/>
  <c r="L21" i="10"/>
  <c r="I24" i="8"/>
  <c r="E14" i="9"/>
  <c r="I15" i="10"/>
  <c r="D39" i="8"/>
  <c r="C22" i="9"/>
  <c r="H14" i="11"/>
  <c r="I50" i="9"/>
  <c r="G17" i="7"/>
  <c r="I11" i="9"/>
  <c r="L34" i="11"/>
  <c r="F32" i="10"/>
  <c r="J23" i="11"/>
  <c r="F15" i="11"/>
  <c r="E49" i="8"/>
  <c r="J49" i="9"/>
  <c r="H48" i="11"/>
  <c r="C15" i="8"/>
  <c r="H41" i="11"/>
  <c r="G51" i="8"/>
  <c r="D40" i="10"/>
  <c r="F52" i="11"/>
  <c r="J35" i="8"/>
  <c r="I19" i="7"/>
  <c r="I25" i="9"/>
  <c r="K41" i="10"/>
  <c r="L28" i="8"/>
  <c r="D11" i="10"/>
  <c r="F49" i="9"/>
  <c r="J11" i="8"/>
  <c r="K35" i="10"/>
  <c r="I49" i="8"/>
  <c r="C21" i="10"/>
  <c r="J54" i="8"/>
  <c r="H17" i="11"/>
  <c r="G18" i="11"/>
  <c r="G24" i="10"/>
  <c r="I18" i="8"/>
  <c r="H8" i="8"/>
  <c r="E9" i="10"/>
  <c r="L19" i="9"/>
  <c r="L28" i="11"/>
  <c r="E15" i="9"/>
  <c r="K8" i="11"/>
  <c r="E42" i="11"/>
  <c r="I34" i="9"/>
  <c r="H25" i="11"/>
  <c r="G6" i="9"/>
  <c r="L50" i="10"/>
  <c r="E10" i="8"/>
  <c r="G19" i="9"/>
  <c r="H55" i="11"/>
  <c r="E53" i="10"/>
  <c r="K38" i="11"/>
  <c r="H17" i="9"/>
  <c r="H6" i="9"/>
  <c r="C41" i="9"/>
  <c r="I24" i="11"/>
  <c r="G22" i="10"/>
  <c r="K48" i="8"/>
  <c r="I41" i="9"/>
  <c r="E43" i="11"/>
  <c r="G29" i="9"/>
  <c r="G8" i="10"/>
  <c r="H15" i="9"/>
  <c r="F37" i="11"/>
  <c r="I12" i="9"/>
  <c r="J31" i="9"/>
  <c r="E34" i="7"/>
  <c r="F49" i="10"/>
  <c r="F13" i="10"/>
  <c r="L24" i="11"/>
  <c r="D31" i="8"/>
  <c r="K54" i="8"/>
  <c r="J22" i="10"/>
  <c r="J28" i="10"/>
  <c r="L35" i="8"/>
  <c r="K27" i="11"/>
  <c r="D26" i="10"/>
  <c r="D44" i="9"/>
  <c r="F26" i="8"/>
  <c r="E7" i="9"/>
  <c r="C15" i="10"/>
  <c r="I41" i="8"/>
  <c r="L50" i="8"/>
  <c r="C27" i="8"/>
  <c r="D41" i="10"/>
  <c r="G28" i="10"/>
  <c r="F9" i="8"/>
  <c r="F15" i="9"/>
  <c r="J37" i="9"/>
  <c r="I17" i="9"/>
  <c r="K7" i="9"/>
  <c r="K42" i="9"/>
  <c r="G8" i="11"/>
  <c r="L34" i="9"/>
  <c r="F34" i="11"/>
  <c r="F36" i="9"/>
  <c r="I49" i="11"/>
  <c r="C50" i="11"/>
  <c r="H6" i="10"/>
  <c r="C55" i="8"/>
  <c r="L29" i="10"/>
  <c r="F22" i="8"/>
  <c r="D38" i="8"/>
  <c r="F44" i="7"/>
  <c r="J51" i="8"/>
  <c r="F14" i="11"/>
  <c r="E39" i="9"/>
  <c r="L42" i="7"/>
  <c r="K50" i="8"/>
  <c r="I25" i="10"/>
  <c r="E15" i="8"/>
  <c r="K43" i="11"/>
  <c r="L26" i="8"/>
  <c r="C32" i="10"/>
  <c r="D32" i="8"/>
  <c r="J53" i="11"/>
  <c r="D43" i="9"/>
  <c r="C52" i="8"/>
  <c r="F42" i="7"/>
  <c r="J13" i="8"/>
  <c r="D51" i="10"/>
  <c r="G20" i="11"/>
  <c r="J21" i="8"/>
  <c r="L51" i="11"/>
  <c r="D55" i="11"/>
  <c r="L13" i="9"/>
  <c r="J8" i="8"/>
  <c r="F43" i="11"/>
  <c r="G54" i="11"/>
  <c r="E54" i="8"/>
  <c r="H33" i="9"/>
  <c r="K51" i="10"/>
  <c r="J20" i="10"/>
  <c r="F47" i="7"/>
  <c r="E25" i="8"/>
  <c r="H13" i="8"/>
  <c r="I9" i="8"/>
  <c r="I53" i="8"/>
  <c r="K50" i="10"/>
  <c r="F36" i="7"/>
  <c r="D48" i="10"/>
  <c r="C27" i="11"/>
  <c r="D48" i="8"/>
  <c r="L19" i="10"/>
  <c r="L47" i="9"/>
  <c r="D14" i="10"/>
  <c r="E53" i="9"/>
  <c r="E32" i="9"/>
  <c r="H26" i="9"/>
  <c r="J55" i="11"/>
  <c r="F10" i="10"/>
  <c r="D45" i="8"/>
  <c r="F54" i="11"/>
  <c r="K16" i="10"/>
  <c r="E30" i="10"/>
  <c r="L45" i="10"/>
  <c r="G39" i="8"/>
  <c r="E49" i="11"/>
  <c r="L16" i="9"/>
  <c r="H22" i="8"/>
  <c r="L15" i="8"/>
  <c r="D26" i="11"/>
  <c r="C51" i="10"/>
  <c r="D33" i="10"/>
  <c r="H27" i="10"/>
  <c r="C45" i="10"/>
  <c r="E9" i="11"/>
  <c r="E47" i="9"/>
  <c r="C50" i="10"/>
  <c r="E43" i="10"/>
  <c r="E23" i="9"/>
  <c r="K49" i="10"/>
  <c r="G14" i="8"/>
  <c r="H9" i="10"/>
  <c r="G26" i="9"/>
  <c r="E46" i="11"/>
  <c r="E44" i="8"/>
  <c r="C47" i="11"/>
  <c r="J26" i="11"/>
  <c r="E36" i="9"/>
  <c r="E31" i="11"/>
  <c r="L47" i="10"/>
  <c r="J14" i="9"/>
  <c r="K7" i="8"/>
  <c r="K10" i="11"/>
  <c r="D20" i="10"/>
  <c r="F49" i="8"/>
  <c r="D50" i="9"/>
  <c r="I51" i="10"/>
  <c r="H43" i="9"/>
  <c r="I9" i="10"/>
  <c r="D38" i="10"/>
  <c r="K38" i="9"/>
  <c r="E22" i="9"/>
  <c r="C10" i="10"/>
  <c r="E24" i="9"/>
  <c r="I52" i="8"/>
  <c r="J38" i="11"/>
  <c r="L41" i="9"/>
  <c r="K12" i="8"/>
  <c r="G53" i="11"/>
  <c r="G17" i="10"/>
  <c r="J6" i="7"/>
  <c r="L20" i="9"/>
  <c r="H37" i="9"/>
  <c r="D26" i="9"/>
  <c r="J53" i="8"/>
  <c r="I54" i="10"/>
  <c r="H36" i="8"/>
  <c r="I52" i="10"/>
  <c r="D34" i="9"/>
  <c r="H47" i="9"/>
  <c r="L53" i="9"/>
  <c r="C11" i="10"/>
  <c r="D6" i="11"/>
  <c r="G20" i="7"/>
  <c r="G11" i="10"/>
  <c r="L18" i="9"/>
  <c r="H37" i="8"/>
  <c r="E15" i="10"/>
  <c r="J37" i="11"/>
  <c r="L40" i="9"/>
  <c r="H54" i="10"/>
  <c r="K15" i="9"/>
  <c r="E10" i="9"/>
  <c r="L23" i="11"/>
  <c r="J43" i="11"/>
  <c r="K15" i="8"/>
  <c r="F31" i="8"/>
  <c r="L50" i="9"/>
  <c r="C16" i="11"/>
  <c r="K42" i="11"/>
  <c r="C27" i="10"/>
  <c r="E13" i="9"/>
  <c r="J27" i="8"/>
  <c r="E11" i="9"/>
  <c r="C26" i="10"/>
  <c r="E33" i="11"/>
  <c r="C26" i="9"/>
  <c r="F28" i="10"/>
  <c r="G55" i="11"/>
  <c r="E18" i="9"/>
  <c r="J11" i="10"/>
  <c r="L29" i="8"/>
  <c r="F11" i="11"/>
  <c r="I52" i="9"/>
  <c r="C25" i="10"/>
  <c r="I41" i="11"/>
  <c r="C30" i="10"/>
  <c r="F43" i="10"/>
  <c r="D47" i="8"/>
  <c r="K33" i="9"/>
  <c r="D55" i="9"/>
  <c r="I24" i="9"/>
  <c r="L20" i="11"/>
  <c r="E53" i="8"/>
  <c r="J16" i="9"/>
  <c r="F9" i="11"/>
  <c r="D10" i="9"/>
  <c r="C40" i="11"/>
  <c r="I40" i="9"/>
  <c r="I45" i="11"/>
  <c r="F6" i="10"/>
  <c r="I40" i="11"/>
  <c r="H7" i="10"/>
  <c r="E35" i="11"/>
  <c r="E29" i="10"/>
  <c r="J23" i="8"/>
  <c r="D19" i="8"/>
  <c r="I37" i="8"/>
  <c r="F43" i="9"/>
  <c r="J44" i="9"/>
  <c r="I29" i="9"/>
  <c r="D17" i="11"/>
  <c r="I9" i="9"/>
  <c r="I29" i="10"/>
  <c r="K27" i="9"/>
  <c r="H32" i="9"/>
  <c r="E44" i="9"/>
  <c r="F21" i="10"/>
  <c r="J14" i="11"/>
  <c r="C27" i="9"/>
  <c r="C48" i="7"/>
  <c r="G27" i="8"/>
  <c r="I7" i="9"/>
  <c r="C46" i="9"/>
  <c r="H28" i="10"/>
  <c r="K31" i="10"/>
  <c r="K34" i="8"/>
  <c r="J32" i="10"/>
  <c r="E48" i="9"/>
  <c r="I31" i="11"/>
  <c r="D55" i="8"/>
  <c r="E42" i="8"/>
  <c r="D39" i="10"/>
  <c r="C24" i="11"/>
  <c r="I25" i="8"/>
  <c r="D17" i="9"/>
  <c r="E23" i="10"/>
  <c r="D18" i="11"/>
  <c r="C21" i="9"/>
  <c r="K12" i="10"/>
  <c r="F42" i="10"/>
  <c r="K40" i="9"/>
  <c r="J38" i="10"/>
  <c r="G16" i="9"/>
  <c r="D20" i="9"/>
  <c r="K41" i="9"/>
  <c r="C17" i="11"/>
  <c r="D43" i="11"/>
  <c r="L29" i="11"/>
  <c r="C12" i="11"/>
  <c r="I19" i="9"/>
  <c r="C34" i="10"/>
  <c r="I8" i="11"/>
  <c r="L39" i="9"/>
  <c r="H50" i="10"/>
  <c r="H55" i="9"/>
  <c r="L17" i="9"/>
  <c r="E52" i="9"/>
  <c r="I7" i="11"/>
  <c r="C17" i="9"/>
  <c r="K54" i="11"/>
  <c r="I7" i="10"/>
  <c r="F50" i="10"/>
  <c r="F38" i="11"/>
  <c r="L14" i="8"/>
  <c r="G7" i="9"/>
  <c r="K24" i="10"/>
  <c r="F20" i="11"/>
  <c r="I50" i="11"/>
  <c r="D17" i="8"/>
  <c r="G40" i="8"/>
  <c r="K8" i="9"/>
  <c r="H26" i="8"/>
  <c r="H18" i="9"/>
  <c r="G42" i="8"/>
  <c r="I54" i="9"/>
  <c r="D26" i="8"/>
  <c r="E35" i="8"/>
  <c r="G22" i="9"/>
  <c r="J18" i="11"/>
  <c r="J26" i="10"/>
  <c r="I30" i="11"/>
  <c r="J12" i="8"/>
  <c r="E39" i="8"/>
  <c r="L12" i="11"/>
  <c r="C13" i="9"/>
  <c r="E53" i="11"/>
  <c r="G40" i="11"/>
  <c r="G44" i="10"/>
  <c r="J46" i="11"/>
  <c r="G37" i="9"/>
  <c r="F28" i="11"/>
  <c r="E43" i="8"/>
  <c r="H23" i="9"/>
  <c r="J39" i="9"/>
  <c r="G16" i="10"/>
  <c r="J6" i="11"/>
  <c r="H17" i="8"/>
  <c r="K53" i="10"/>
  <c r="H42" i="11"/>
  <c r="I32" i="9"/>
  <c r="F36" i="8"/>
  <c r="CZ48" i="4"/>
  <c r="C28" i="9"/>
  <c r="K22" i="8"/>
  <c r="K35" i="9"/>
  <c r="G38" i="9"/>
  <c r="J45" i="11"/>
  <c r="F45" i="8"/>
  <c r="K50" i="11"/>
  <c r="K36" i="10"/>
  <c r="F40" i="9"/>
  <c r="D39" i="11"/>
  <c r="E25" i="9"/>
  <c r="F55" i="10"/>
  <c r="H14" i="7"/>
  <c r="C53" i="10"/>
  <c r="D8" i="8"/>
  <c r="G10" i="11"/>
  <c r="C12" i="9"/>
  <c r="J33" i="9"/>
  <c r="D36" i="9"/>
  <c r="L41" i="11"/>
  <c r="D34" i="10"/>
  <c r="K18" i="10"/>
  <c r="J23" i="10"/>
  <c r="D31" i="9"/>
  <c r="F45" i="11"/>
  <c r="K32" i="11"/>
  <c r="G9" i="9"/>
  <c r="E37" i="10"/>
  <c r="K37" i="9"/>
  <c r="L37" i="9"/>
  <c r="L27" i="8"/>
  <c r="H14" i="10"/>
  <c r="L43" i="10"/>
  <c r="K30" i="11"/>
  <c r="E27" i="11"/>
  <c r="D23" i="11"/>
  <c r="K53" i="11"/>
  <c r="C48" i="10"/>
  <c r="L46" i="11"/>
  <c r="L25" i="9"/>
  <c r="I39" i="10"/>
  <c r="E30" i="8"/>
  <c r="F47" i="11"/>
  <c r="K22" i="10"/>
  <c r="F19" i="11"/>
  <c r="J53" i="9"/>
  <c r="C18" i="10"/>
  <c r="C22" i="10"/>
  <c r="E9" i="8"/>
  <c r="G47" i="11"/>
  <c r="H22" i="11"/>
  <c r="H51" i="11"/>
  <c r="D29" i="10"/>
  <c r="E40" i="9"/>
  <c r="J25" i="8"/>
  <c r="H40" i="9"/>
  <c r="G29" i="8"/>
  <c r="K19" i="11"/>
  <c r="K55" i="11"/>
  <c r="E33" i="9"/>
  <c r="J20" i="9"/>
  <c r="J38" i="9"/>
  <c r="H35" i="10"/>
  <c r="I43" i="8"/>
  <c r="K30" i="8"/>
  <c r="G53" i="9"/>
  <c r="D46" i="9"/>
  <c r="F18" i="10"/>
  <c r="H12" i="8"/>
  <c r="E34" i="9"/>
  <c r="L46" i="9"/>
  <c r="H20" i="11"/>
  <c r="D28" i="9"/>
  <c r="J33" i="11"/>
  <c r="C29" i="8"/>
  <c r="G12" i="11"/>
  <c r="H34" i="9"/>
  <c r="C49" i="10"/>
  <c r="I45" i="8"/>
  <c r="D53" i="9"/>
  <c r="K20" i="8"/>
  <c r="J43" i="9"/>
  <c r="I11" i="11"/>
  <c r="H9" i="11"/>
  <c r="C18" i="9"/>
  <c r="D41" i="9"/>
  <c r="D35" i="8"/>
  <c r="F24" i="9"/>
  <c r="J21" i="9"/>
  <c r="G48" i="10"/>
  <c r="G49" i="8"/>
  <c r="F46" i="9"/>
  <c r="E25" i="11"/>
  <c r="H13" i="11"/>
  <c r="E39" i="11"/>
  <c r="K11" i="9"/>
  <c r="K22" i="11"/>
  <c r="K16" i="8"/>
  <c r="J30" i="9"/>
  <c r="F54" i="10"/>
  <c r="J15" i="11"/>
  <c r="F13" i="8"/>
  <c r="J46" i="9"/>
  <c r="C36" i="8"/>
  <c r="I9" i="11"/>
  <c r="D16" i="9"/>
  <c r="D32" i="10"/>
  <c r="C10" i="11"/>
  <c r="C36" i="9"/>
  <c r="H46" i="8"/>
  <c r="C34" i="8"/>
  <c r="F30" i="10"/>
  <c r="G32" i="8"/>
  <c r="I43" i="11"/>
  <c r="J48" i="9"/>
  <c r="K6" i="11"/>
  <c r="K6" i="10"/>
  <c r="C14" i="8"/>
  <c r="L49" i="9"/>
  <c r="I22" i="9"/>
  <c r="I48" i="11"/>
  <c r="J46" i="10"/>
  <c r="G10" i="10"/>
  <c r="D11" i="9"/>
  <c r="C54" i="8"/>
  <c r="I26" i="8"/>
  <c r="H51" i="8"/>
  <c r="L52" i="9"/>
  <c r="D14" i="8"/>
  <c r="G8" i="9"/>
  <c r="E34" i="11"/>
  <c r="D24" i="11"/>
  <c r="F31" i="9"/>
  <c r="E10" i="11"/>
  <c r="E50" i="8"/>
  <c r="F25" i="9"/>
  <c r="I15" i="11"/>
  <c r="G8" i="8"/>
  <c r="F14" i="10"/>
  <c r="H39" i="10"/>
  <c r="H38" i="11"/>
  <c r="D29" i="7"/>
  <c r="K32" i="7"/>
  <c r="I53" i="9"/>
  <c r="K7" i="10"/>
  <c r="L25" i="10"/>
  <c r="F27" i="11"/>
  <c r="J52" i="9"/>
  <c r="D24" i="9"/>
  <c r="C6" i="11"/>
  <c r="F24" i="11"/>
  <c r="G9" i="10"/>
  <c r="L10" i="10"/>
  <c r="F44" i="8"/>
  <c r="H27" i="9"/>
  <c r="G25" i="10"/>
  <c r="K34" i="10"/>
  <c r="F29" i="9"/>
  <c r="H39" i="8"/>
  <c r="K10" i="8"/>
  <c r="L45" i="9"/>
  <c r="K27" i="8"/>
  <c r="CZ47" i="4"/>
  <c r="L35" i="11"/>
  <c r="K42" i="10"/>
  <c r="J13" i="9"/>
  <c r="G50" i="8"/>
  <c r="G29" i="10"/>
  <c r="L29" i="9"/>
  <c r="I37" i="10"/>
  <c r="K32" i="9"/>
  <c r="L38" i="11"/>
  <c r="H47" i="10"/>
  <c r="G6" i="10"/>
  <c r="L12" i="10"/>
  <c r="J16" i="10"/>
  <c r="C38" i="11"/>
  <c r="E14" i="8"/>
  <c r="L13" i="11"/>
  <c r="F23" i="10"/>
  <c r="K23" i="9"/>
  <c r="J9" i="9"/>
  <c r="J9" i="10"/>
  <c r="F51" i="8"/>
  <c r="J17" i="9"/>
  <c r="E22" i="10"/>
  <c r="J42" i="8"/>
  <c r="F22" i="10"/>
  <c r="G9" i="8"/>
  <c r="F12" i="11"/>
  <c r="H44" i="8"/>
  <c r="L18" i="7"/>
  <c r="G28" i="8"/>
  <c r="G20" i="10"/>
  <c r="I41" i="10"/>
  <c r="L26" i="10"/>
  <c r="C28" i="10"/>
  <c r="H41" i="10"/>
  <c r="G47" i="7"/>
  <c r="H10" i="10"/>
  <c r="L55" i="11"/>
  <c r="J10" i="11"/>
  <c r="H46" i="7"/>
  <c r="E21" i="10"/>
  <c r="H46" i="10"/>
  <c r="D24" i="8"/>
  <c r="L17" i="10"/>
  <c r="F7" i="9"/>
  <c r="J55" i="10"/>
  <c r="G25" i="11"/>
  <c r="F48" i="8"/>
  <c r="C23" i="11"/>
  <c r="J20" i="11"/>
  <c r="I10" i="10"/>
  <c r="I25" i="11"/>
  <c r="E47" i="10"/>
  <c r="F22" i="9"/>
  <c r="F53" i="8"/>
  <c r="H45" i="8"/>
  <c r="G20" i="8"/>
  <c r="J31" i="8"/>
  <c r="J39" i="8"/>
  <c r="I37" i="11"/>
  <c r="J10" i="8"/>
  <c r="J29" i="8"/>
  <c r="I29" i="11"/>
  <c r="H40" i="8"/>
  <c r="K28" i="8"/>
  <c r="K21" i="9"/>
  <c r="K23" i="10"/>
  <c r="L31" i="11"/>
  <c r="D13" i="10"/>
  <c r="D18" i="8"/>
  <c r="L51" i="10"/>
  <c r="D29" i="9"/>
  <c r="L39" i="10"/>
  <c r="E31" i="10"/>
  <c r="K29" i="9"/>
  <c r="H20" i="9"/>
  <c r="H21" i="9"/>
  <c r="E12" i="8"/>
  <c r="G42" i="9"/>
  <c r="F19" i="9"/>
  <c r="K46" i="11"/>
  <c r="L38" i="8"/>
  <c r="L15" i="10"/>
  <c r="D27" i="10"/>
  <c r="G47" i="10"/>
  <c r="I17" i="10"/>
  <c r="L48" i="10"/>
  <c r="CT47" i="4"/>
  <c r="H10" i="9"/>
  <c r="K29" i="10"/>
  <c r="H7" i="9"/>
  <c r="I43" i="9"/>
  <c r="C43" i="9"/>
  <c r="L53" i="8"/>
  <c r="G25" i="8"/>
  <c r="I6" i="10"/>
  <c r="C15" i="9"/>
  <c r="E41" i="9"/>
  <c r="C6" i="10"/>
  <c r="L12" i="9"/>
  <c r="G11" i="9"/>
  <c r="I12" i="11"/>
  <c r="L31" i="10"/>
  <c r="D49" i="9"/>
  <c r="C7" i="11"/>
  <c r="K32" i="10"/>
  <c r="F8" i="11"/>
  <c r="K52" i="9"/>
  <c r="K44" i="11"/>
  <c r="J24" i="11"/>
  <c r="G19" i="10"/>
  <c r="D8" i="9"/>
  <c r="C22" i="11"/>
  <c r="H9" i="7"/>
  <c r="D19" i="9"/>
  <c r="E23" i="8"/>
  <c r="E44" i="10"/>
  <c r="F23" i="8"/>
  <c r="G10" i="9"/>
  <c r="D12" i="11"/>
  <c r="H35" i="11"/>
  <c r="C8" i="7"/>
  <c r="D53" i="10"/>
  <c r="C43" i="8"/>
  <c r="J26" i="8"/>
  <c r="H23" i="8"/>
  <c r="J49" i="8"/>
  <c r="I26" i="11"/>
  <c r="I42" i="11"/>
  <c r="C24" i="9"/>
  <c r="G15" i="10"/>
  <c r="E18" i="11"/>
  <c r="K25" i="8"/>
  <c r="E11" i="11"/>
  <c r="L30" i="8"/>
  <c r="L33" i="9"/>
  <c r="G9" i="11"/>
  <c r="K16" i="9"/>
  <c r="G21" i="9"/>
  <c r="H22" i="9"/>
  <c r="G51" i="11"/>
  <c r="E49" i="10"/>
  <c r="L27" i="11"/>
  <c r="J13" i="10"/>
  <c r="H35" i="9"/>
  <c r="J43" i="10"/>
  <c r="G41" i="7"/>
  <c r="J18" i="10"/>
  <c r="K34" i="9"/>
  <c r="I27" i="10"/>
  <c r="E26" i="10"/>
  <c r="G15" i="9"/>
  <c r="J51" i="9"/>
  <c r="G20" i="9"/>
  <c r="J34" i="10"/>
  <c r="D25" i="8"/>
  <c r="J30" i="11"/>
  <c r="E29" i="8"/>
  <c r="K25" i="11"/>
  <c r="L53" i="10"/>
  <c r="G24" i="9"/>
  <c r="F14" i="8"/>
  <c r="J25" i="11"/>
  <c r="I53" i="10"/>
  <c r="H26" i="11"/>
  <c r="H33" i="11"/>
  <c r="G37" i="11"/>
  <c r="L31" i="8"/>
  <c r="J29" i="9"/>
  <c r="G41" i="8"/>
  <c r="I35" i="10"/>
  <c r="I21" i="10"/>
  <c r="G26" i="8"/>
  <c r="F16" i="8"/>
  <c r="J55" i="9"/>
  <c r="G10" i="8"/>
  <c r="K35" i="7"/>
  <c r="K41" i="8"/>
  <c r="F10" i="7"/>
  <c r="L20" i="8"/>
  <c r="I31" i="8"/>
  <c r="L14" i="10"/>
  <c r="D36" i="11"/>
  <c r="F43" i="8"/>
  <c r="L33" i="8"/>
  <c r="L45" i="8"/>
  <c r="D16" i="8"/>
  <c r="L38" i="10"/>
  <c r="H30" i="10"/>
  <c r="L6" i="11"/>
  <c r="C23" i="10"/>
  <c r="E24" i="8"/>
  <c r="F21" i="8"/>
  <c r="D13" i="11"/>
  <c r="C36" i="10"/>
  <c r="D47" i="11"/>
  <c r="E38" i="11"/>
  <c r="D51" i="11"/>
  <c r="D53" i="8"/>
  <c r="C29" i="10"/>
  <c r="F9" i="9"/>
  <c r="C53" i="7"/>
  <c r="C25" i="8"/>
  <c r="I40" i="8"/>
  <c r="D35" i="11"/>
  <c r="J6" i="10"/>
  <c r="G40" i="10"/>
  <c r="F23" i="9"/>
  <c r="J45" i="9"/>
  <c r="D50" i="10"/>
  <c r="E21" i="9"/>
  <c r="G7" i="10"/>
  <c r="K21" i="10"/>
  <c r="L33" i="11"/>
  <c r="G30" i="11"/>
  <c r="D13" i="8"/>
  <c r="H30" i="11"/>
  <c r="I35" i="9"/>
  <c r="C7" i="9"/>
  <c r="J54" i="9"/>
  <c r="F44" i="10"/>
  <c r="F18" i="9"/>
  <c r="G35" i="10"/>
  <c r="F35" i="9"/>
  <c r="G23" i="10"/>
  <c r="F42" i="8"/>
  <c r="K49" i="9"/>
  <c r="F45" i="10"/>
  <c r="D31" i="10"/>
  <c r="D32" i="7"/>
  <c r="D49" i="11"/>
  <c r="I20" i="11"/>
  <c r="H44" i="11"/>
  <c r="H24" i="10"/>
  <c r="L10" i="9"/>
  <c r="L51" i="9"/>
  <c r="K20" i="11"/>
  <c r="F51" i="9"/>
  <c r="H14" i="8"/>
  <c r="D19" i="10"/>
  <c r="G41" i="11"/>
  <c r="H54" i="8"/>
  <c r="L9" i="9"/>
  <c r="G36" i="10"/>
  <c r="I38" i="9"/>
  <c r="I36" i="8"/>
  <c r="H53" i="10"/>
  <c r="J21" i="10"/>
  <c r="D34" i="11"/>
  <c r="F19" i="10"/>
  <c r="D41" i="11"/>
  <c r="I22" i="10"/>
  <c r="J47" i="8"/>
  <c r="L30" i="9"/>
  <c r="G49" i="11"/>
  <c r="J14" i="10"/>
  <c r="H32" i="8"/>
  <c r="L40" i="8"/>
  <c r="H31" i="11"/>
  <c r="D42" i="11"/>
  <c r="E32" i="10"/>
  <c r="C43" i="11"/>
  <c r="L37" i="7"/>
  <c r="G30" i="8"/>
  <c r="I17" i="7"/>
  <c r="G33" i="11"/>
  <c r="E55" i="9"/>
  <c r="F54" i="8"/>
  <c r="F21" i="9"/>
  <c r="D43" i="8"/>
  <c r="L43" i="8"/>
  <c r="K50" i="9"/>
  <c r="E15" i="11"/>
  <c r="H37" i="10"/>
  <c r="K13" i="10"/>
  <c r="J27" i="10"/>
  <c r="L9" i="11"/>
  <c r="H53" i="8"/>
  <c r="C55" i="10"/>
  <c r="E12" i="10"/>
  <c r="G24" i="8"/>
  <c r="J16" i="11"/>
  <c r="F33" i="11"/>
  <c r="E17" i="11"/>
  <c r="D31" i="11"/>
  <c r="H10" i="8"/>
  <c r="F50" i="9"/>
  <c r="K52" i="11"/>
  <c r="L30" i="10"/>
  <c r="K55" i="8"/>
  <c r="J52" i="8"/>
  <c r="H21" i="8"/>
  <c r="J31" i="10"/>
  <c r="C38" i="8"/>
  <c r="J50" i="10"/>
  <c r="L33" i="10"/>
  <c r="H40" i="11"/>
  <c r="L8" i="8"/>
  <c r="K23" i="8"/>
  <c r="H29" i="8"/>
  <c r="C7" i="10"/>
  <c r="D26" i="7"/>
  <c r="H16" i="9"/>
  <c r="I43" i="10"/>
  <c r="J23" i="9"/>
  <c r="L23" i="8"/>
  <c r="K9" i="10"/>
  <c r="H15" i="11"/>
  <c r="C27" i="7"/>
  <c r="J34" i="9"/>
  <c r="G25" i="9"/>
  <c r="I53" i="11"/>
  <c r="J28" i="11"/>
  <c r="L49" i="10"/>
  <c r="D45" i="9"/>
  <c r="H41" i="8"/>
  <c r="J22" i="8"/>
  <c r="G13" i="9"/>
  <c r="F32" i="11"/>
  <c r="K14" i="10"/>
  <c r="D28" i="11"/>
  <c r="E45" i="11"/>
  <c r="J55" i="8"/>
  <c r="J42" i="9"/>
  <c r="H45" i="10"/>
  <c r="J8" i="9"/>
  <c r="E29" i="7"/>
  <c r="I48" i="9"/>
  <c r="H45" i="9"/>
  <c r="L11" i="10"/>
  <c r="E7" i="10"/>
  <c r="E28" i="11"/>
  <c r="L24" i="9"/>
  <c r="F29" i="8"/>
  <c r="I12" i="10"/>
  <c r="F20" i="10"/>
  <c r="C38" i="9"/>
  <c r="H30" i="9"/>
  <c r="I13" i="11"/>
  <c r="F10" i="8"/>
  <c r="J12" i="9"/>
  <c r="I55" i="11"/>
  <c r="D7" i="8"/>
  <c r="E6" i="8"/>
  <c r="I10" i="11"/>
  <c r="D47" i="10"/>
  <c r="H30" i="8"/>
  <c r="F39" i="11"/>
  <c r="J12" i="10"/>
  <c r="E17" i="9"/>
  <c r="K26" i="8"/>
  <c r="J32" i="11"/>
  <c r="C41" i="10"/>
  <c r="H19" i="10"/>
  <c r="E37" i="9"/>
  <c r="D25" i="9"/>
  <c r="K55" i="9"/>
  <c r="K47" i="10"/>
  <c r="D42" i="9"/>
  <c r="G7" i="8"/>
  <c r="I48" i="8"/>
  <c r="K37" i="7"/>
  <c r="J40" i="11"/>
  <c r="H39" i="9"/>
  <c r="F48" i="9"/>
  <c r="C52" i="11"/>
  <c r="I18" i="10"/>
  <c r="J28" i="9"/>
  <c r="F34" i="7"/>
  <c r="C48" i="9"/>
  <c r="H16" i="11"/>
  <c r="I42" i="10"/>
  <c r="L10" i="8"/>
  <c r="E43" i="9"/>
  <c r="D19" i="11"/>
  <c r="E41" i="10"/>
  <c r="G17" i="9"/>
  <c r="J25" i="9"/>
  <c r="H20" i="10"/>
  <c r="I50" i="10"/>
  <c r="G53" i="8"/>
  <c r="I30" i="9"/>
  <c r="H52" i="7"/>
  <c r="J51" i="10"/>
  <c r="J22" i="11"/>
  <c r="C51" i="8"/>
  <c r="K11" i="10"/>
  <c r="D54" i="9"/>
  <c r="J40" i="10"/>
  <c r="J19" i="8"/>
  <c r="C43" i="10"/>
  <c r="H28" i="8"/>
  <c r="G18" i="8"/>
  <c r="F52" i="10"/>
  <c r="J27" i="9"/>
  <c r="F23" i="11"/>
  <c r="D48" i="11"/>
  <c r="J45" i="10"/>
  <c r="G49" i="7"/>
  <c r="D34" i="7"/>
  <c r="G45" i="9"/>
  <c r="C18" i="8"/>
  <c r="H35" i="8"/>
  <c r="E37" i="8"/>
  <c r="D8" i="11"/>
  <c r="D12" i="9"/>
  <c r="H11" i="10"/>
  <c r="D29" i="8"/>
  <c r="C17" i="10"/>
  <c r="K27" i="10"/>
  <c r="G43" i="8"/>
  <c r="I11" i="8"/>
  <c r="I17" i="11"/>
  <c r="K28" i="9"/>
  <c r="L12" i="8"/>
  <c r="K31" i="8"/>
  <c r="I29" i="8"/>
  <c r="F47" i="8"/>
  <c r="L22" i="10"/>
  <c r="J43" i="8"/>
  <c r="K32" i="8"/>
  <c r="D32" i="11"/>
  <c r="E41" i="11"/>
  <c r="G6" i="8"/>
  <c r="J30" i="7"/>
  <c r="F41" i="8"/>
  <c r="G17" i="11"/>
  <c r="F53" i="10"/>
  <c r="K37" i="8"/>
  <c r="E52" i="11"/>
  <c r="L32" i="7"/>
  <c r="K8" i="10"/>
  <c r="G14" i="11"/>
  <c r="C47" i="9"/>
  <c r="E13" i="8"/>
  <c r="G15" i="8"/>
  <c r="C53" i="8"/>
  <c r="I54" i="11"/>
  <c r="G46" i="9"/>
  <c r="K35" i="8"/>
  <c r="E48" i="11"/>
  <c r="I54" i="8"/>
  <c r="L30" i="11"/>
  <c r="K45" i="9"/>
  <c r="L25" i="8"/>
  <c r="H50" i="9"/>
  <c r="I48" i="10"/>
  <c r="F30" i="11"/>
  <c r="L54" i="9"/>
  <c r="E49" i="9"/>
  <c r="D12" i="10"/>
  <c r="K29" i="11"/>
  <c r="C51" i="11"/>
  <c r="C39" i="11"/>
  <c r="K40" i="8"/>
  <c r="E40" i="11"/>
  <c r="G19" i="11"/>
  <c r="J47" i="10"/>
  <c r="E24" i="11"/>
  <c r="C28" i="8"/>
  <c r="D35" i="9"/>
  <c r="K28" i="11"/>
  <c r="H28" i="9"/>
  <c r="C51" i="9"/>
  <c r="C20" i="9"/>
  <c r="E19" i="9"/>
  <c r="G14" i="10"/>
  <c r="K13" i="11"/>
  <c r="F53" i="9"/>
  <c r="F42" i="9"/>
  <c r="K26" i="11"/>
  <c r="K43" i="9"/>
  <c r="K29" i="8"/>
  <c r="D34" i="8"/>
  <c r="D51" i="9"/>
  <c r="J41" i="11"/>
  <c r="G51" i="9"/>
  <c r="D40" i="11"/>
  <c r="F52" i="9"/>
  <c r="G34" i="10"/>
  <c r="F52" i="8"/>
  <c r="F12" i="9"/>
  <c r="C40" i="8"/>
  <c r="E13" i="10"/>
  <c r="H40" i="10"/>
  <c r="H52" i="8"/>
  <c r="C54" i="9"/>
  <c r="J15" i="9"/>
  <c r="H34" i="10"/>
  <c r="K44" i="10"/>
  <c r="E30" i="9"/>
  <c r="H52" i="9"/>
  <c r="J10" i="10"/>
  <c r="K25" i="10"/>
  <c r="H14" i="9"/>
  <c r="G43" i="11"/>
  <c r="I15" i="8"/>
  <c r="L35" i="10"/>
  <c r="I31" i="9"/>
  <c r="F39" i="10"/>
  <c r="J19" i="9"/>
  <c r="E22" i="8"/>
  <c r="H48" i="9"/>
  <c r="E20" i="8"/>
  <c r="D21" i="8"/>
  <c r="J20" i="8"/>
  <c r="C7" i="8"/>
  <c r="K52" i="10"/>
  <c r="H49" i="8"/>
  <c r="I15" i="9"/>
  <c r="D35" i="10"/>
  <c r="I16" i="10"/>
  <c r="L38" i="9"/>
  <c r="I25" i="7"/>
  <c r="K13" i="8"/>
  <c r="J35" i="9"/>
  <c r="E23" i="11"/>
  <c r="H29" i="10"/>
  <c r="C8" i="11"/>
  <c r="L21" i="11"/>
  <c r="C29" i="7"/>
  <c r="J37" i="8"/>
  <c r="H18" i="10"/>
  <c r="F18" i="11"/>
  <c r="G55" i="8"/>
  <c r="E28" i="8"/>
  <c r="C31" i="10"/>
  <c r="D16" i="11"/>
  <c r="E18" i="10"/>
  <c r="H43" i="11"/>
  <c r="C33" i="9"/>
  <c r="E51" i="10"/>
  <c r="L36" i="8"/>
  <c r="H20" i="7"/>
  <c r="J35" i="7"/>
  <c r="CW49" i="4"/>
  <c r="F30" i="9"/>
  <c r="D21" i="11"/>
  <c r="H8" i="10"/>
  <c r="I34" i="8"/>
  <c r="F55" i="8"/>
  <c r="F7" i="8"/>
  <c r="G42" i="11"/>
  <c r="D7" i="9"/>
  <c r="G14" i="9"/>
  <c r="C16" i="8"/>
  <c r="F38" i="10"/>
  <c r="K30" i="10"/>
  <c r="C35" i="11"/>
  <c r="K48" i="9"/>
  <c r="L39" i="11"/>
  <c r="C53" i="9"/>
  <c r="L55" i="10"/>
  <c r="J54" i="7"/>
  <c r="J14" i="8"/>
  <c r="J49" i="10"/>
  <c r="K7" i="11"/>
  <c r="J17" i="10"/>
  <c r="I49" i="10"/>
  <c r="J24" i="9"/>
  <c r="H29" i="9"/>
  <c r="H42" i="9"/>
  <c r="D43" i="10"/>
  <c r="H37" i="11"/>
  <c r="L35" i="9"/>
  <c r="L42" i="8"/>
  <c r="L47" i="8"/>
  <c r="I40" i="10"/>
  <c r="I37" i="9"/>
  <c r="K18" i="8"/>
  <c r="K43" i="8"/>
  <c r="D48" i="9"/>
  <c r="I16" i="8"/>
  <c r="L39" i="8"/>
  <c r="C41" i="8"/>
  <c r="E18" i="8"/>
  <c r="C21" i="7"/>
  <c r="E42" i="7"/>
  <c r="J48" i="11"/>
  <c r="H42" i="10"/>
  <c r="K45" i="10"/>
  <c r="G12" i="8"/>
  <c r="G22" i="8"/>
  <c r="E11" i="10"/>
  <c r="L16" i="10"/>
  <c r="C45" i="11"/>
  <c r="E12" i="9"/>
  <c r="H38" i="8"/>
  <c r="C23" i="9"/>
  <c r="E35" i="9"/>
  <c r="E50" i="9"/>
  <c r="G36" i="8"/>
  <c r="L52" i="11"/>
  <c r="C30" i="11"/>
  <c r="C47" i="10"/>
  <c r="D30" i="10"/>
  <c r="E22" i="11"/>
  <c r="E16" i="9"/>
  <c r="F12" i="10"/>
  <c r="I7" i="8"/>
  <c r="D37" i="9"/>
  <c r="F25" i="11"/>
  <c r="I6" i="11"/>
  <c r="K17" i="8"/>
  <c r="I19" i="8"/>
  <c r="L47" i="11"/>
  <c r="I23" i="11"/>
  <c r="K41" i="11"/>
  <c r="C42" i="8"/>
  <c r="H44" i="10"/>
  <c r="F46" i="11"/>
  <c r="I12" i="8"/>
  <c r="J44" i="8"/>
  <c r="K44" i="8"/>
  <c r="L55" i="9"/>
  <c r="G35" i="11"/>
  <c r="L7" i="8"/>
  <c r="L34" i="10"/>
  <c r="I30" i="7"/>
  <c r="I28" i="11"/>
  <c r="G44" i="9"/>
  <c r="G52" i="9"/>
  <c r="I30" i="10"/>
  <c r="E28" i="9"/>
  <c r="K26" i="9"/>
  <c r="I47" i="10"/>
  <c r="G28" i="9"/>
  <c r="H44" i="9"/>
  <c r="E13" i="11"/>
  <c r="G44" i="11"/>
  <c r="L36" i="11"/>
  <c r="K46" i="9"/>
  <c r="D25" i="11"/>
  <c r="F10" i="11"/>
  <c r="K17" i="9"/>
  <c r="L6" i="9"/>
  <c r="D14" i="9"/>
  <c r="H53" i="11"/>
  <c r="J31" i="11"/>
  <c r="G24" i="11"/>
  <c r="F48" i="10"/>
  <c r="C29" i="9"/>
  <c r="L42" i="10"/>
  <c r="J19" i="10"/>
  <c r="H8" i="9"/>
  <c r="K6" i="9"/>
  <c r="F38" i="9"/>
  <c r="H47" i="8"/>
  <c r="G43" i="9"/>
  <c r="E10" i="10"/>
  <c r="E9" i="9"/>
  <c r="L26" i="9"/>
  <c r="G33" i="9"/>
  <c r="C32" i="9"/>
  <c r="E40" i="8"/>
  <c r="C44" i="8"/>
  <c r="L14" i="9"/>
  <c r="C46" i="8"/>
  <c r="E6" i="9"/>
  <c r="I27" i="8"/>
  <c r="C37" i="9"/>
  <c r="L9" i="10"/>
  <c r="G32" i="10"/>
  <c r="I8" i="9"/>
  <c r="F44" i="9"/>
  <c r="K54" i="10"/>
  <c r="D53" i="11"/>
  <c r="C32" i="8"/>
  <c r="F8" i="8"/>
  <c r="F16" i="10"/>
  <c r="D36" i="10"/>
  <c r="J35" i="11"/>
  <c r="E27" i="8"/>
  <c r="C30" i="8"/>
  <c r="E52" i="10"/>
  <c r="L26" i="11"/>
  <c r="J50" i="9"/>
  <c r="C8" i="8"/>
  <c r="I19" i="10"/>
  <c r="F9" i="10"/>
  <c r="D15" i="10"/>
  <c r="L40" i="10"/>
  <c r="I11" i="10"/>
  <c r="E10" i="7"/>
  <c r="I46" i="8"/>
  <c r="H31" i="10"/>
  <c r="K33" i="10"/>
  <c r="K39" i="11"/>
  <c r="J7" i="11"/>
  <c r="D10" i="11"/>
  <c r="G31" i="10"/>
  <c r="C48" i="11"/>
  <c r="G38" i="10"/>
  <c r="C44" i="10"/>
  <c r="I47" i="11"/>
  <c r="F6" i="11"/>
  <c r="G23" i="8"/>
  <c r="G43" i="10"/>
  <c r="K44" i="9"/>
  <c r="I33" i="8"/>
  <c r="H49" i="11"/>
  <c r="F16" i="11"/>
  <c r="J24" i="7"/>
  <c r="L32" i="10"/>
  <c r="D15" i="11"/>
  <c r="C55" i="11"/>
  <c r="G34" i="9"/>
  <c r="J32" i="7"/>
  <c r="I20" i="8"/>
  <c r="L36" i="9"/>
  <c r="I8" i="10"/>
  <c r="H52" i="11"/>
  <c r="D50" i="8"/>
  <c r="L27" i="10"/>
  <c r="L42" i="9"/>
  <c r="F15" i="10"/>
  <c r="G49" i="9"/>
  <c r="F14" i="9"/>
  <c r="F15" i="7"/>
  <c r="C9" i="10"/>
  <c r="D23" i="8"/>
  <c r="K19" i="10"/>
  <c r="L23" i="9"/>
  <c r="E48" i="10"/>
  <c r="J35" i="10"/>
  <c r="K33" i="8"/>
  <c r="I32" i="10"/>
  <c r="D44" i="10"/>
  <c r="L36" i="10"/>
  <c r="K31" i="11"/>
  <c r="C44" i="11"/>
  <c r="F17" i="10"/>
  <c r="H17" i="7"/>
  <c r="C9" i="8"/>
  <c r="I51" i="7"/>
  <c r="L40" i="11"/>
  <c r="C26" i="11"/>
  <c r="C6" i="8"/>
  <c r="J41" i="10"/>
  <c r="L8" i="9"/>
  <c r="G55" i="10"/>
  <c r="H32" i="11"/>
  <c r="F55" i="9"/>
  <c r="K15" i="10"/>
  <c r="K38" i="10"/>
  <c r="C42" i="10"/>
  <c r="L19" i="11"/>
  <c r="J30" i="10"/>
  <c r="G16" i="11"/>
  <c r="K46" i="8"/>
  <c r="E45" i="10"/>
  <c r="C6" i="9"/>
  <c r="L32" i="11"/>
  <c r="I8" i="8"/>
  <c r="C8" i="9"/>
  <c r="L7" i="11"/>
  <c r="L13" i="8"/>
  <c r="J33" i="8"/>
  <c r="D37" i="7"/>
  <c r="C37" i="11"/>
  <c r="D44" i="11"/>
  <c r="H10" i="11"/>
  <c r="D51" i="8"/>
  <c r="C21" i="11"/>
  <c r="C35" i="10"/>
  <c r="H11" i="9"/>
  <c r="K6" i="8"/>
  <c r="D9" i="10"/>
  <c r="G15" i="7"/>
  <c r="E44" i="11"/>
  <c r="E45" i="8"/>
  <c r="C10" i="9"/>
  <c r="D50" i="11"/>
  <c r="D42" i="8"/>
  <c r="E47" i="8"/>
  <c r="I21" i="8"/>
  <c r="E51" i="11"/>
  <c r="K51" i="9"/>
  <c r="L17" i="11"/>
  <c r="L18" i="10"/>
  <c r="F40" i="11"/>
  <c r="K25" i="9"/>
  <c r="D52" i="9"/>
  <c r="F54" i="9"/>
  <c r="E35" i="10"/>
  <c r="I13" i="9"/>
  <c r="L49" i="8"/>
  <c r="H25" i="10"/>
  <c r="G48" i="8"/>
  <c r="K12" i="11"/>
  <c r="K21" i="8"/>
  <c r="C19" i="8"/>
  <c r="D23" i="10"/>
  <c r="C53" i="11"/>
  <c r="F31" i="11"/>
  <c r="K45" i="7"/>
  <c r="D54" i="8"/>
  <c r="F24" i="10"/>
  <c r="D46" i="8"/>
  <c r="I55" i="9"/>
  <c r="D6" i="8"/>
  <c r="J34" i="11"/>
  <c r="I6" i="8"/>
  <c r="E17" i="8"/>
  <c r="H22" i="10"/>
  <c r="F32" i="9"/>
  <c r="L6" i="8"/>
  <c r="G23" i="9"/>
  <c r="L44" i="11"/>
  <c r="E38" i="10"/>
  <c r="I14" i="11"/>
  <c r="F46" i="10"/>
  <c r="E31" i="7"/>
  <c r="D37" i="11"/>
  <c r="H13" i="10"/>
  <c r="I23" i="9"/>
  <c r="H26" i="10"/>
  <c r="I44" i="11"/>
  <c r="H7" i="7"/>
  <c r="H53" i="9"/>
  <c r="F12" i="8"/>
  <c r="D33" i="8"/>
  <c r="C22" i="8"/>
  <c r="C34" i="9"/>
  <c r="L42" i="11"/>
  <c r="L6" i="10"/>
  <c r="C39" i="10"/>
  <c r="C39" i="9"/>
  <c r="I26" i="9"/>
  <c r="I38" i="11"/>
  <c r="I32" i="8"/>
  <c r="H25" i="8"/>
  <c r="F51" i="11"/>
  <c r="F40" i="10"/>
  <c r="H21" i="11"/>
  <c r="L22" i="9"/>
  <c r="L8" i="11"/>
  <c r="E42" i="9"/>
  <c r="C13" i="8"/>
  <c r="D13" i="9"/>
  <c r="J24" i="10"/>
  <c r="I31" i="10"/>
  <c r="E38" i="8"/>
  <c r="I35" i="8"/>
  <c r="F25" i="10"/>
  <c r="G47" i="9"/>
  <c r="E20" i="11"/>
  <c r="G51" i="10"/>
  <c r="D45" i="11"/>
  <c r="C33" i="10"/>
  <c r="L54" i="10"/>
  <c r="J34" i="8"/>
  <c r="C9" i="9"/>
  <c r="I50" i="8"/>
  <c r="H23" i="11"/>
  <c r="J18" i="9"/>
  <c r="G39" i="11"/>
  <c r="I47" i="9"/>
  <c r="K20" i="9"/>
  <c r="K40" i="7"/>
  <c r="G49" i="10"/>
  <c r="H48" i="10"/>
  <c r="L54" i="8"/>
  <c r="F35" i="10"/>
  <c r="F35" i="8"/>
  <c r="C44" i="9"/>
  <c r="K24" i="9"/>
  <c r="I27" i="7"/>
  <c r="H19" i="9"/>
  <c r="J47" i="9"/>
  <c r="E47" i="11"/>
  <c r="J50" i="8"/>
  <c r="K48" i="10"/>
  <c r="D28" i="8"/>
  <c r="G12" i="7"/>
  <c r="E19" i="10"/>
  <c r="C20" i="11"/>
  <c r="F25" i="8"/>
  <c r="J9" i="11"/>
  <c r="K47" i="8"/>
  <c r="L44" i="9"/>
  <c r="L15" i="9"/>
  <c r="J32" i="9"/>
  <c r="K35" i="11"/>
  <c r="E45" i="9"/>
  <c r="G37" i="10"/>
  <c r="F27" i="8"/>
  <c r="H8" i="11"/>
  <c r="G11" i="11"/>
  <c r="D30" i="11"/>
  <c r="K20" i="10"/>
  <c r="E36" i="11"/>
  <c r="J36" i="11"/>
  <c r="K48" i="11"/>
  <c r="CW47" i="4"/>
  <c r="F27" i="10"/>
  <c r="E25" i="10"/>
  <c r="K42" i="8"/>
  <c r="G54" i="9"/>
  <c r="F48" i="11"/>
  <c r="L9" i="8"/>
  <c r="K39" i="9"/>
  <c r="G55" i="9"/>
  <c r="F13" i="11"/>
  <c r="D7" i="11"/>
  <c r="D20" i="11"/>
  <c r="F34" i="10"/>
  <c r="E54" i="10"/>
  <c r="J47" i="11"/>
  <c r="E29" i="11"/>
  <c r="D15" i="8"/>
  <c r="F18" i="8"/>
  <c r="C49" i="8"/>
  <c r="G11" i="8"/>
  <c r="H19" i="11"/>
  <c r="L10" i="11"/>
  <c r="H29" i="11"/>
  <c r="L43" i="11"/>
  <c r="L51" i="8"/>
  <c r="J30" i="8"/>
  <c r="E21" i="8"/>
  <c r="G7" i="11"/>
  <c r="D37" i="10"/>
  <c r="J21" i="11"/>
  <c r="G48" i="9"/>
  <c r="D9" i="9"/>
  <c r="J16" i="8"/>
  <c r="G46" i="11"/>
  <c r="G12" i="9"/>
  <c r="E6" i="11"/>
  <c r="C14" i="11"/>
  <c r="L52" i="8"/>
  <c r="I51" i="8"/>
  <c r="J54" i="11"/>
  <c r="F11" i="9"/>
  <c r="G30" i="10"/>
  <c r="H54" i="9"/>
  <c r="L50" i="11"/>
  <c r="C25" i="11"/>
  <c r="K10" i="10"/>
  <c r="E50" i="11"/>
  <c r="H20" i="8"/>
  <c r="C8" i="10"/>
  <c r="D33" i="9"/>
  <c r="H21" i="10"/>
  <c r="E7" i="8"/>
  <c r="C34" i="11"/>
  <c r="L45" i="11"/>
  <c r="K51" i="11"/>
  <c r="I21" i="11"/>
  <c r="J27" i="7"/>
  <c r="D22" i="10"/>
  <c r="J36" i="8"/>
  <c r="E26" i="9"/>
  <c r="K14" i="11"/>
  <c r="J10" i="9"/>
  <c r="G6" i="11"/>
  <c r="L49" i="11"/>
  <c r="C36" i="11"/>
  <c r="G38" i="8"/>
  <c r="F37" i="9"/>
  <c r="D49" i="10"/>
  <c r="E27" i="10"/>
  <c r="K19" i="8"/>
  <c r="I34" i="10"/>
  <c r="F7" i="11"/>
  <c r="C54" i="10"/>
  <c r="C20" i="8"/>
  <c r="C35" i="8"/>
  <c r="E46" i="9"/>
  <c r="H17" i="10"/>
  <c r="F50" i="11"/>
  <c r="I24" i="10"/>
  <c r="D10" i="10"/>
  <c r="G27" i="11"/>
  <c r="F38" i="8"/>
  <c r="E16" i="11"/>
  <c r="D52" i="10"/>
  <c r="G54" i="8"/>
  <c r="I27" i="11"/>
  <c r="E42" i="10"/>
  <c r="L13" i="10"/>
  <c r="I10" i="8"/>
  <c r="K28" i="10"/>
  <c r="K9" i="8"/>
  <c r="F17" i="11"/>
  <c r="J42" i="10"/>
  <c r="I47" i="8"/>
  <c r="L37" i="11"/>
  <c r="G7" i="7"/>
  <c r="E33" i="10"/>
  <c r="L41" i="8"/>
  <c r="J45" i="8"/>
  <c r="J7" i="9"/>
  <c r="K53" i="8"/>
  <c r="D17" i="10"/>
  <c r="J38" i="8"/>
  <c r="L34" i="8"/>
  <c r="G30" i="9"/>
  <c r="I28" i="9"/>
  <c r="G50" i="9"/>
  <c r="H49" i="7"/>
  <c r="I33" i="9"/>
  <c r="J6" i="8"/>
  <c r="K15" i="11"/>
  <c r="D49" i="8"/>
  <c r="C46" i="11"/>
  <c r="J28" i="8"/>
  <c r="C28" i="11"/>
  <c r="D33" i="11"/>
  <c r="L18" i="8"/>
  <c r="K40" i="11"/>
  <c r="G44" i="8"/>
  <c r="F6" i="9"/>
  <c r="C12" i="8"/>
  <c r="G33" i="8"/>
  <c r="J49" i="11"/>
  <c r="G38" i="11"/>
  <c r="G48" i="11"/>
  <c r="G32" i="11"/>
  <c r="C50" i="8"/>
  <c r="J15" i="10"/>
  <c r="D21" i="9"/>
  <c r="E55" i="11"/>
  <c r="K36" i="8"/>
  <c r="J40" i="9"/>
  <c r="I38" i="8"/>
  <c r="H55" i="8"/>
  <c r="K37" i="11"/>
  <c r="L22" i="11"/>
  <c r="J19" i="11"/>
  <c r="D41" i="8"/>
  <c r="G33" i="10"/>
  <c r="L21" i="8"/>
  <c r="G37" i="8"/>
  <c r="E37" i="7"/>
  <c r="F47" i="10"/>
  <c r="H48" i="8"/>
  <c r="G52" i="11"/>
  <c r="C35" i="9"/>
  <c r="L11" i="9"/>
  <c r="K8" i="8"/>
  <c r="G52" i="10"/>
  <c r="C21" i="8"/>
  <c r="F29" i="11"/>
  <c r="H38" i="9"/>
  <c r="E52" i="8"/>
  <c r="I18" i="9"/>
  <c r="K38" i="8"/>
  <c r="J36" i="10"/>
  <c r="L14" i="11"/>
  <c r="C16" i="9"/>
  <c r="I28" i="8"/>
  <c r="C14" i="10"/>
  <c r="K23" i="11"/>
  <c r="F17" i="8"/>
  <c r="C52" i="9"/>
  <c r="H6" i="8"/>
  <c r="CH48" i="4" s="1"/>
  <c r="K43" i="10"/>
  <c r="K36" i="11"/>
  <c r="F24" i="8"/>
  <c r="F12" i="7"/>
  <c r="CN48" i="4"/>
  <c r="F55" i="11"/>
  <c r="J54" i="10"/>
  <c r="D54" i="11"/>
  <c r="L52" i="10"/>
  <c r="G40" i="9"/>
  <c r="G27" i="10"/>
  <c r="I36" i="9"/>
  <c r="K10" i="9"/>
  <c r="I16" i="11"/>
  <c r="K22" i="9"/>
  <c r="C6" i="7"/>
  <c r="K45" i="11"/>
  <c r="D45" i="10"/>
  <c r="E19" i="8"/>
  <c r="D12" i="8"/>
  <c r="CZ49" i="4"/>
  <c r="K47" i="11"/>
  <c r="H36" i="10"/>
  <c r="H54" i="11"/>
  <c r="D25" i="10"/>
  <c r="E17" i="10"/>
  <c r="D27" i="9"/>
  <c r="K46" i="10"/>
  <c r="I26" i="10"/>
  <c r="F8" i="9"/>
  <c r="C49" i="11"/>
  <c r="J33" i="10"/>
  <c r="F26" i="11"/>
  <c r="F39" i="7"/>
  <c r="C31" i="11"/>
  <c r="F33" i="8"/>
  <c r="H6" i="11"/>
  <c r="E19" i="11"/>
  <c r="D8" i="10"/>
  <c r="I27" i="9"/>
  <c r="L10" i="7"/>
  <c r="G53" i="10"/>
  <c r="D18" i="10"/>
  <c r="E6" i="10"/>
  <c r="K24" i="11"/>
  <c r="L37" i="10"/>
  <c r="K40" i="10"/>
  <c r="C11" i="9"/>
  <c r="D55" i="10"/>
  <c r="C18" i="11"/>
  <c r="G36" i="9"/>
  <c r="C33" i="11"/>
  <c r="E8" i="9"/>
  <c r="L32" i="9"/>
  <c r="J25" i="10"/>
  <c r="L17" i="8"/>
  <c r="H12" i="10"/>
  <c r="H36" i="9"/>
  <c r="C23" i="8"/>
  <c r="K14" i="9"/>
  <c r="I39" i="9"/>
  <c r="I6" i="7"/>
  <c r="D18" i="9"/>
  <c r="H52" i="10"/>
  <c r="F11" i="10"/>
  <c r="J13" i="11"/>
  <c r="H13" i="9"/>
  <c r="F35" i="11"/>
  <c r="D6" i="10"/>
  <c r="H12" i="9"/>
  <c r="D6" i="9"/>
  <c r="H19" i="8"/>
  <c r="F28" i="9"/>
  <c r="I19" i="11"/>
  <c r="D52" i="8"/>
  <c r="I23" i="10"/>
  <c r="F6" i="8"/>
  <c r="K27" i="7"/>
  <c r="E36" i="8"/>
  <c r="F44" i="11"/>
  <c r="C17" i="8"/>
  <c r="D10" i="8"/>
  <c r="G16" i="8"/>
  <c r="K47" i="9"/>
  <c r="C55" i="9"/>
  <c r="D42" i="10"/>
  <c r="C19" i="11"/>
  <c r="E46" i="8"/>
  <c r="H27" i="11"/>
  <c r="G32" i="9"/>
  <c r="H34" i="8"/>
  <c r="E11" i="8"/>
  <c r="F16" i="9"/>
  <c r="D11" i="11"/>
  <c r="J41" i="8"/>
  <c r="C48" i="8"/>
  <c r="J44" i="11"/>
  <c r="K26" i="10"/>
  <c r="F45" i="9"/>
  <c r="D38" i="9"/>
  <c r="H9" i="9"/>
  <c r="G39" i="7"/>
  <c r="H6" i="7"/>
  <c r="E39" i="10"/>
  <c r="L44" i="8"/>
  <c r="E33" i="8"/>
  <c r="F15" i="8"/>
  <c r="D30" i="9"/>
  <c r="K11" i="8"/>
  <c r="H51" i="9"/>
  <c r="I13" i="8"/>
  <c r="C9" i="11"/>
  <c r="G15" i="11"/>
  <c r="L25" i="11"/>
  <c r="L44" i="10"/>
  <c r="C46" i="10"/>
  <c r="L40" i="7"/>
  <c r="G21" i="11"/>
  <c r="H16" i="10"/>
  <c r="J8" i="10"/>
  <c r="C41" i="11"/>
  <c r="H33" i="10"/>
  <c r="L48" i="9"/>
  <c r="L28" i="9"/>
  <c r="C37" i="8"/>
  <c r="G36" i="11"/>
  <c r="J32" i="8"/>
  <c r="C11" i="11"/>
  <c r="E46" i="10"/>
  <c r="F33" i="9"/>
  <c r="L20" i="10"/>
  <c r="K53" i="9"/>
  <c r="H54" i="6"/>
  <c r="D9" i="8"/>
  <c r="H33" i="8"/>
  <c r="E54" i="9"/>
  <c r="G50" i="11"/>
  <c r="F37" i="8"/>
  <c r="C42" i="9"/>
  <c r="G17" i="8"/>
  <c r="CN47" i="4"/>
  <c r="D27" i="11"/>
  <c r="E32" i="11"/>
  <c r="C49" i="9"/>
  <c r="H24" i="9"/>
  <c r="D16" i="10"/>
  <c r="I28" i="10"/>
  <c r="F33" i="10"/>
  <c r="E26" i="8"/>
  <c r="G35" i="9"/>
  <c r="G26" i="11"/>
  <c r="L23" i="10"/>
  <c r="K24" i="8"/>
  <c r="D9" i="11"/>
  <c r="L7" i="9"/>
  <c r="F34" i="8"/>
  <c r="H16" i="8"/>
  <c r="H39" i="11"/>
  <c r="F41" i="10"/>
  <c r="K16" i="11"/>
  <c r="I46" i="9"/>
  <c r="L54" i="11"/>
  <c r="C33" i="8"/>
  <c r="H25" i="7"/>
  <c r="E41" i="8"/>
  <c r="E55" i="10"/>
  <c r="D21" i="10"/>
  <c r="K49" i="11"/>
  <c r="K17" i="10"/>
  <c r="F41" i="9"/>
  <c r="I49" i="9"/>
  <c r="D20" i="8"/>
  <c r="H49" i="10"/>
  <c r="J24" i="8"/>
  <c r="K45" i="8"/>
  <c r="I22" i="11"/>
  <c r="K49" i="8"/>
  <c r="I42" i="8"/>
  <c r="H11" i="8"/>
  <c r="C24" i="10"/>
  <c r="E14" i="11"/>
  <c r="G18" i="9"/>
  <c r="J29" i="11"/>
  <c r="F49" i="11"/>
  <c r="L11" i="11"/>
  <c r="D36" i="8"/>
  <c r="K37" i="10"/>
  <c r="C10" i="8"/>
  <c r="H42" i="8"/>
  <c r="H27" i="8"/>
  <c r="J41" i="9"/>
  <c r="L19" i="8"/>
  <c r="L43" i="9"/>
  <c r="J11" i="9"/>
  <c r="G27" i="9"/>
  <c r="I39" i="11"/>
  <c r="D52" i="11"/>
  <c r="C19" i="9"/>
  <c r="L55" i="8"/>
  <c r="J53" i="10"/>
  <c r="K21" i="11"/>
  <c r="F32" i="8"/>
  <c r="CT48" i="4"/>
  <c r="E16" i="10"/>
  <c r="D14" i="11"/>
  <c r="G46" i="10"/>
  <c r="H12" i="7"/>
  <c r="C16" i="7"/>
  <c r="L31" i="9"/>
  <c r="E48" i="8"/>
  <c r="J27" i="11"/>
  <c r="H11" i="11"/>
  <c r="D30" i="8"/>
  <c r="E50" i="10"/>
  <c r="E31" i="8"/>
  <c r="F36" i="10"/>
  <c r="H46" i="11"/>
  <c r="F37" i="10"/>
  <c r="E36" i="10"/>
  <c r="K13" i="7"/>
  <c r="H32" i="10"/>
  <c r="G52" i="7"/>
  <c r="I34" i="11"/>
  <c r="L21" i="9"/>
  <c r="CQ48" i="4"/>
  <c r="E8" i="10"/>
  <c r="I17" i="8"/>
  <c r="G31" i="8"/>
  <c r="H55" i="10"/>
  <c r="J17" i="8"/>
  <c r="I42" i="9"/>
  <c r="E54" i="11"/>
  <c r="E30" i="11"/>
  <c r="G47" i="8"/>
  <c r="F47" i="9"/>
  <c r="E27" i="9"/>
  <c r="J15" i="8"/>
  <c r="G42" i="10"/>
  <c r="J44" i="10"/>
  <c r="J9" i="8"/>
  <c r="L48" i="8"/>
  <c r="L8" i="7"/>
  <c r="L46" i="10"/>
  <c r="F46" i="8"/>
  <c r="F17" i="9"/>
  <c r="H23" i="10"/>
  <c r="H36" i="11"/>
  <c r="G31" i="9"/>
  <c r="H31" i="8"/>
  <c r="E21" i="11"/>
  <c r="L50" i="7"/>
  <c r="I46" i="11"/>
  <c r="G21" i="8"/>
  <c r="E38" i="9"/>
  <c r="I44" i="8"/>
  <c r="I46" i="10"/>
  <c r="K9" i="11"/>
  <c r="K30" i="9"/>
  <c r="F19" i="8"/>
  <c r="E55" i="8"/>
  <c r="K9" i="9"/>
  <c r="D37" i="8"/>
  <c r="L24" i="8"/>
  <c r="I32" i="11"/>
  <c r="I18" i="11"/>
  <c r="C39" i="8"/>
  <c r="L53" i="11"/>
  <c r="C47" i="8"/>
  <c r="K34" i="11"/>
  <c r="C31" i="8"/>
  <c r="G41" i="10"/>
  <c r="D46" i="11"/>
  <c r="F30" i="8"/>
  <c r="F27" i="9"/>
  <c r="C15" i="11"/>
  <c r="K39" i="10"/>
  <c r="D15" i="9"/>
  <c r="E14" i="10"/>
  <c r="H7" i="8"/>
  <c r="I55" i="10"/>
  <c r="I10" i="9"/>
  <c r="E37" i="11"/>
  <c r="I16" i="9"/>
  <c r="J8" i="11"/>
  <c r="E7" i="11"/>
  <c r="I51" i="11"/>
  <c r="F39" i="9"/>
  <c r="G35" i="8"/>
  <c r="I14" i="8"/>
  <c r="E51" i="9"/>
  <c r="K55" i="10"/>
  <c r="J7" i="10"/>
  <c r="I22" i="8"/>
  <c r="C20" i="10"/>
  <c r="H24" i="11"/>
  <c r="L46" i="8"/>
  <c r="I14" i="10"/>
  <c r="J26" i="9"/>
  <c r="H38" i="10"/>
  <c r="J11" i="11"/>
  <c r="G45" i="10"/>
  <c r="L37" i="8"/>
  <c r="F7" i="10"/>
  <c r="H47" i="11"/>
  <c r="J36" i="9"/>
  <c r="E12" i="11"/>
  <c r="H25" i="9"/>
  <c r="CH49" i="4"/>
  <c r="G34" i="11"/>
  <c r="C14" i="9"/>
  <c r="H50" i="11"/>
  <c r="F22" i="11"/>
  <c r="I45" i="10"/>
  <c r="H15" i="8"/>
  <c r="F20" i="9"/>
  <c r="K39" i="8"/>
  <c r="H24" i="8"/>
  <c r="D44" i="8"/>
  <c r="K18" i="11"/>
  <c r="G41" i="9"/>
  <c r="E31" i="9"/>
  <c r="G39" i="10"/>
  <c r="I23" i="8"/>
  <c r="L24" i="10"/>
  <c r="K17" i="11"/>
  <c r="D22" i="8"/>
  <c r="L41" i="10"/>
  <c r="H46" i="9"/>
  <c r="K33" i="11"/>
  <c r="J50" i="11"/>
  <c r="E34" i="8"/>
  <c r="H18" i="11"/>
  <c r="E20" i="10"/>
  <c r="C40" i="10"/>
  <c r="H45" i="11"/>
  <c r="G19" i="8"/>
  <c r="F31" i="10"/>
  <c r="G44" i="7"/>
  <c r="J22" i="7"/>
  <c r="I55" i="8"/>
  <c r="C45" i="9"/>
  <c r="I44" i="9"/>
  <c r="H18" i="8"/>
  <c r="C29" i="11"/>
  <c r="D39" i="9"/>
  <c r="K52" i="8"/>
  <c r="L11" i="8"/>
  <c r="K36" i="9"/>
  <c r="H43" i="8"/>
  <c r="C25" i="9"/>
  <c r="F50" i="8"/>
  <c r="L45" i="7"/>
  <c r="J17" i="11"/>
  <c r="F28" i="8"/>
  <c r="J39" i="10"/>
  <c r="C30" i="9"/>
  <c r="I49" i="7"/>
  <c r="J12" i="11"/>
  <c r="F20" i="8"/>
  <c r="C26" i="8"/>
  <c r="K12" i="9"/>
  <c r="F41" i="11"/>
  <c r="H51" i="10"/>
  <c r="D11" i="8"/>
  <c r="F10" i="9"/>
  <c r="C45" i="8"/>
  <c r="H31" i="9"/>
  <c r="C38" i="10"/>
  <c r="F40" i="8"/>
  <c r="F8" i="10"/>
  <c r="D7" i="10"/>
  <c r="L16" i="11"/>
  <c r="J51" i="11"/>
  <c r="J29" i="10"/>
  <c r="L18" i="11"/>
  <c r="C50" i="9"/>
  <c r="D28" i="10"/>
  <c r="E55" i="7"/>
  <c r="G45" i="8"/>
  <c r="D22" i="9"/>
  <c r="F36" i="11"/>
  <c r="D23" i="9"/>
  <c r="L48" i="11"/>
  <c r="I33" i="10"/>
  <c r="E28" i="10"/>
  <c r="G21" i="10"/>
  <c r="F53" i="11"/>
  <c r="L7" i="10"/>
  <c r="K51" i="8"/>
  <c r="D22" i="11"/>
  <c r="D40" i="8"/>
  <c r="CK48" i="4"/>
  <c r="E29" i="9"/>
  <c r="L28" i="10"/>
  <c r="I6" i="9"/>
  <c r="J52" i="11"/>
  <c r="E26" i="11"/>
  <c r="H7" i="11"/>
  <c r="F39" i="8"/>
  <c r="G46" i="8"/>
  <c r="CT49" i="4"/>
  <c r="F51" i="10"/>
  <c r="D24" i="10"/>
  <c r="I45" i="9"/>
  <c r="F26" i="9"/>
  <c r="I30" i="8"/>
  <c r="G12" i="10"/>
  <c r="D32" i="9"/>
  <c r="E16" i="8"/>
  <c r="G50" i="10"/>
  <c r="J18" i="8"/>
  <c r="J22" i="9"/>
  <c r="G45" i="11"/>
  <c r="G34" i="8"/>
  <c r="G29" i="11"/>
  <c r="F34" i="9"/>
  <c r="I35" i="11"/>
  <c r="C42" i="11"/>
  <c r="G22" i="11"/>
  <c r="H44" i="7"/>
  <c r="C32" i="11"/>
  <c r="H9" i="8"/>
  <c r="I13" i="10"/>
  <c r="D47" i="9"/>
  <c r="C12" i="10"/>
  <c r="J42" i="11"/>
  <c r="I51" i="9"/>
  <c r="F45" i="7"/>
  <c r="H16" i="7"/>
  <c r="D19" i="7"/>
  <c r="D48" i="7"/>
  <c r="G25" i="7"/>
  <c r="H55" i="6"/>
  <c r="L29" i="6"/>
  <c r="E13" i="7"/>
  <c r="C35" i="7"/>
  <c r="L6" i="6"/>
  <c r="E50" i="6"/>
  <c r="K8" i="6"/>
  <c r="E8" i="6"/>
  <c r="J44" i="7"/>
  <c r="F13" i="6"/>
  <c r="J42" i="6"/>
  <c r="F43" i="6"/>
  <c r="D17" i="7"/>
  <c r="K22" i="7"/>
  <c r="C17" i="7"/>
  <c r="F13" i="7"/>
  <c r="L27" i="7"/>
  <c r="J26" i="7"/>
  <c r="J47" i="7"/>
  <c r="F37" i="7"/>
  <c r="H32" i="6"/>
  <c r="F17" i="6"/>
  <c r="K38" i="6"/>
  <c r="J11" i="7"/>
  <c r="J16" i="6"/>
  <c r="G28" i="7"/>
  <c r="L35" i="7"/>
  <c r="E12" i="6"/>
  <c r="H29" i="6"/>
  <c r="K18" i="6"/>
  <c r="C26" i="7"/>
  <c r="E34" i="6"/>
  <c r="J31" i="6"/>
  <c r="G18" i="7"/>
  <c r="I45" i="7"/>
  <c r="L38" i="7"/>
  <c r="E45" i="6"/>
  <c r="K24" i="6"/>
  <c r="K38" i="7"/>
  <c r="D47" i="7"/>
  <c r="C10" i="7"/>
  <c r="H52" i="6"/>
  <c r="G15" i="6"/>
  <c r="D33" i="7"/>
  <c r="L53" i="6"/>
  <c r="E23" i="6"/>
  <c r="G22" i="6"/>
  <c r="F29" i="6"/>
  <c r="H22" i="6"/>
  <c r="F55" i="6"/>
  <c r="I25" i="6"/>
  <c r="E45" i="7"/>
  <c r="D26" i="6"/>
  <c r="E27" i="6"/>
  <c r="C8" i="6"/>
  <c r="G25" i="6"/>
  <c r="I49" i="6"/>
  <c r="H29" i="7"/>
  <c r="C50" i="6"/>
  <c r="D23" i="7"/>
  <c r="F41" i="6"/>
  <c r="L24" i="7"/>
  <c r="G45" i="7"/>
  <c r="G13" i="7"/>
  <c r="K25" i="7"/>
  <c r="I15" i="7"/>
  <c r="I32" i="7"/>
  <c r="L51" i="6"/>
  <c r="D8" i="7"/>
  <c r="G10" i="6"/>
  <c r="C23" i="6"/>
  <c r="I27" i="6"/>
  <c r="H41" i="6"/>
  <c r="I21" i="7"/>
  <c r="J43" i="7"/>
  <c r="L21" i="6"/>
  <c r="C33" i="6"/>
  <c r="K26" i="6"/>
  <c r="K16" i="7"/>
  <c r="D54" i="6"/>
  <c r="J29" i="7"/>
  <c r="L31" i="6"/>
  <c r="H8" i="6"/>
  <c r="H36" i="6"/>
  <c r="J49" i="6"/>
  <c r="J51" i="7"/>
  <c r="J10" i="6"/>
  <c r="L39" i="7"/>
  <c r="J25" i="6"/>
  <c r="C27" i="6"/>
  <c r="K28" i="7"/>
  <c r="J20" i="7"/>
  <c r="K52" i="6"/>
  <c r="F54" i="6"/>
  <c r="F49" i="6"/>
  <c r="L46" i="6"/>
  <c r="C39" i="7"/>
  <c r="G14" i="7"/>
  <c r="D12" i="6"/>
  <c r="F31" i="7"/>
  <c r="D14" i="7"/>
  <c r="E17" i="7"/>
  <c r="H23" i="6"/>
  <c r="C12" i="7"/>
  <c r="D29" i="6"/>
  <c r="J15" i="6"/>
  <c r="J7" i="7"/>
  <c r="F42" i="6"/>
  <c r="D51" i="7"/>
  <c r="J17" i="6"/>
  <c r="E49" i="7"/>
  <c r="F30" i="6"/>
  <c r="D10" i="7"/>
  <c r="D16" i="6"/>
  <c r="D28" i="6"/>
  <c r="K7" i="7"/>
  <c r="F53" i="7"/>
  <c r="I39" i="7"/>
  <c r="I53" i="6"/>
  <c r="H24" i="6"/>
  <c r="G42" i="7"/>
  <c r="J26" i="6"/>
  <c r="H10" i="6"/>
  <c r="L23" i="7"/>
  <c r="I35" i="6"/>
  <c r="H14" i="6"/>
  <c r="G43" i="6"/>
  <c r="K23" i="6"/>
  <c r="D7" i="6"/>
  <c r="H16" i="6"/>
  <c r="C49" i="6"/>
  <c r="E40" i="6"/>
  <c r="C37" i="6"/>
  <c r="L42" i="6"/>
  <c r="K41" i="6"/>
  <c r="H31" i="7"/>
  <c r="G14" i="6"/>
  <c r="F46" i="6"/>
  <c r="F52" i="6"/>
  <c r="G37" i="6"/>
  <c r="K37" i="6"/>
  <c r="L34" i="6"/>
  <c r="D42" i="6"/>
  <c r="G45" i="6"/>
  <c r="I26" i="7"/>
  <c r="J39" i="6"/>
  <c r="E25" i="7"/>
  <c r="E43" i="7"/>
  <c r="D9" i="6"/>
  <c r="L20" i="6"/>
  <c r="F47" i="6"/>
  <c r="L35" i="6"/>
  <c r="G38" i="6"/>
  <c r="H9" i="6"/>
  <c r="E26" i="7"/>
  <c r="L49" i="6"/>
  <c r="F39" i="6"/>
  <c r="K47" i="6"/>
  <c r="L55" i="6"/>
  <c r="I33" i="6"/>
  <c r="G20" i="6"/>
  <c r="K7" i="6"/>
  <c r="D33" i="6"/>
  <c r="G47" i="6"/>
  <c r="G11" i="7"/>
  <c r="H38" i="7"/>
  <c r="G28" i="6"/>
  <c r="E19" i="7"/>
  <c r="C44" i="6"/>
  <c r="D24" i="7"/>
  <c r="I39" i="6"/>
  <c r="F33" i="6"/>
  <c r="I43" i="6"/>
  <c r="L17" i="6"/>
  <c r="J38" i="7"/>
  <c r="L12" i="6"/>
  <c r="C16" i="6"/>
  <c r="C52" i="6"/>
  <c r="I6" i="6"/>
  <c r="C38" i="7"/>
  <c r="D46" i="7"/>
  <c r="C18" i="6"/>
  <c r="L33" i="6"/>
  <c r="K39" i="7"/>
  <c r="D34" i="6"/>
  <c r="H45" i="7"/>
  <c r="G32" i="7"/>
  <c r="D13" i="6"/>
  <c r="K39" i="6"/>
  <c r="L34" i="7"/>
  <c r="G53" i="7"/>
  <c r="D31" i="7"/>
  <c r="K8" i="7"/>
  <c r="K19" i="7"/>
  <c r="J34" i="7"/>
  <c r="J48" i="6"/>
  <c r="C33" i="7"/>
  <c r="I23" i="7"/>
  <c r="E29" i="6"/>
  <c r="K43" i="7"/>
  <c r="E9" i="6"/>
  <c r="G54" i="7"/>
  <c r="J37" i="7"/>
  <c r="H21" i="7"/>
  <c r="L50" i="6"/>
  <c r="C19" i="6"/>
  <c r="J48" i="7"/>
  <c r="J31" i="7"/>
  <c r="I16" i="6"/>
  <c r="L19" i="7"/>
  <c r="C38" i="6"/>
  <c r="E35" i="7"/>
  <c r="F40" i="6"/>
  <c r="L9" i="7"/>
  <c r="L13" i="6"/>
  <c r="J40" i="7"/>
  <c r="H19" i="6"/>
  <c r="K6" i="6"/>
  <c r="G8" i="7"/>
  <c r="L44" i="7"/>
  <c r="C34" i="7"/>
  <c r="D18" i="6"/>
  <c r="C32" i="6"/>
  <c r="L16" i="7"/>
  <c r="G36" i="7"/>
  <c r="L9" i="6"/>
  <c r="G40" i="7"/>
  <c r="J28" i="7"/>
  <c r="G27" i="7"/>
  <c r="H28" i="6"/>
  <c r="I54" i="7"/>
  <c r="K41" i="7"/>
  <c r="K44" i="6"/>
  <c r="H48" i="6"/>
  <c r="C26" i="6"/>
  <c r="F52" i="7"/>
  <c r="C43" i="7"/>
  <c r="I30" i="6"/>
  <c r="I38" i="6"/>
  <c r="G29" i="6"/>
  <c r="C9" i="6"/>
  <c r="I34" i="7"/>
  <c r="E20" i="6"/>
  <c r="L44" i="6"/>
  <c r="F46" i="7"/>
  <c r="C51" i="7"/>
  <c r="D15" i="6"/>
  <c r="C45" i="7"/>
  <c r="J22" i="6"/>
  <c r="G32" i="6"/>
  <c r="G40" i="6"/>
  <c r="K9" i="6"/>
  <c r="L6" i="7"/>
  <c r="D30" i="7"/>
  <c r="E8" i="7"/>
  <c r="H18" i="6"/>
  <c r="L40" i="6"/>
  <c r="I53" i="7"/>
  <c r="L14" i="6"/>
  <c r="G53" i="6"/>
  <c r="F34" i="6"/>
  <c r="E16" i="6"/>
  <c r="D43" i="7"/>
  <c r="E49" i="6"/>
  <c r="I40" i="7"/>
  <c r="G51" i="6"/>
  <c r="K18" i="7"/>
  <c r="I29" i="7"/>
  <c r="L55" i="7"/>
  <c r="E33" i="6"/>
  <c r="F35" i="6"/>
  <c r="I41" i="7"/>
  <c r="G39" i="6"/>
  <c r="J21" i="7"/>
  <c r="F9" i="7"/>
  <c r="E27" i="7"/>
  <c r="C6" i="6"/>
  <c r="K36" i="7"/>
  <c r="J14" i="6"/>
  <c r="I13" i="7"/>
  <c r="J32" i="6"/>
  <c r="D39" i="7"/>
  <c r="L32" i="6"/>
  <c r="E33" i="7"/>
  <c r="G55" i="7"/>
  <c r="H21" i="6"/>
  <c r="J50" i="6"/>
  <c r="H45" i="6"/>
  <c r="E36" i="6"/>
  <c r="H30" i="6"/>
  <c r="K45" i="6"/>
  <c r="I51" i="6"/>
  <c r="D13" i="7"/>
  <c r="I28" i="6"/>
  <c r="L38" i="6"/>
  <c r="F8" i="7"/>
  <c r="E41" i="6"/>
  <c r="C39" i="6"/>
  <c r="L36" i="6"/>
  <c r="L26" i="7"/>
  <c r="I19" i="6"/>
  <c r="G6" i="7"/>
  <c r="CE47" i="4" s="1"/>
  <c r="G52" i="6"/>
  <c r="E28" i="6"/>
  <c r="E53" i="7"/>
  <c r="L26" i="6"/>
  <c r="I8" i="6"/>
  <c r="CN49" i="4"/>
  <c r="I38" i="7"/>
  <c r="L22" i="6"/>
  <c r="H50" i="6"/>
  <c r="G13" i="6"/>
  <c r="E26" i="6"/>
  <c r="I22" i="7"/>
  <c r="J41" i="6"/>
  <c r="I26" i="6"/>
  <c r="H44" i="6"/>
  <c r="K6" i="7"/>
  <c r="D16" i="7"/>
  <c r="J55" i="7"/>
  <c r="J13" i="7"/>
  <c r="H17" i="6"/>
  <c r="H34" i="6"/>
  <c r="L39" i="6"/>
  <c r="C22" i="7"/>
  <c r="E21" i="7"/>
  <c r="L30" i="7"/>
  <c r="F17" i="7"/>
  <c r="C28" i="6"/>
  <c r="D53" i="6"/>
  <c r="G9" i="6"/>
  <c r="G50" i="6"/>
  <c r="D50" i="7"/>
  <c r="G34" i="7"/>
  <c r="I41" i="6"/>
  <c r="F49" i="7"/>
  <c r="D52" i="6"/>
  <c r="H13" i="7"/>
  <c r="C48" i="6"/>
  <c r="K34" i="7"/>
  <c r="C47" i="7"/>
  <c r="K53" i="6"/>
  <c r="I40" i="6"/>
  <c r="J34" i="6"/>
  <c r="K51" i="7"/>
  <c r="F50" i="6"/>
  <c r="G11" i="6"/>
  <c r="D40" i="6"/>
  <c r="C54" i="7"/>
  <c r="F24" i="7"/>
  <c r="K54" i="6"/>
  <c r="D23" i="6"/>
  <c r="E22" i="7"/>
  <c r="K29" i="6"/>
  <c r="L43" i="7"/>
  <c r="C42" i="7"/>
  <c r="J38" i="6"/>
  <c r="H20" i="6"/>
  <c r="E28" i="7"/>
  <c r="G30" i="7"/>
  <c r="H50" i="7"/>
  <c r="E51" i="6"/>
  <c r="G31" i="6"/>
  <c r="H27" i="7"/>
  <c r="I17" i="6"/>
  <c r="I11" i="7"/>
  <c r="K49" i="6"/>
  <c r="I18" i="6"/>
  <c r="D24" i="6"/>
  <c r="E24" i="7"/>
  <c r="L28" i="6"/>
  <c r="K27" i="6"/>
  <c r="D22" i="7"/>
  <c r="G29" i="7"/>
  <c r="C29" i="6"/>
  <c r="K20" i="7"/>
  <c r="E51" i="7"/>
  <c r="E55" i="6"/>
  <c r="L41" i="6"/>
  <c r="K42" i="7"/>
  <c r="F37" i="6"/>
  <c r="I20" i="6"/>
  <c r="C7" i="7"/>
  <c r="I14" i="7"/>
  <c r="K14" i="7"/>
  <c r="C30" i="6"/>
  <c r="H8" i="7"/>
  <c r="K21" i="7"/>
  <c r="L24" i="6"/>
  <c r="F50" i="7"/>
  <c r="C18" i="7"/>
  <c r="G33" i="6"/>
  <c r="D35" i="7"/>
  <c r="I20" i="7"/>
  <c r="K44" i="7"/>
  <c r="K30" i="7"/>
  <c r="I50" i="7"/>
  <c r="F14" i="6"/>
  <c r="C55" i="6"/>
  <c r="D40" i="7"/>
  <c r="K35" i="6"/>
  <c r="I37" i="7"/>
  <c r="F18" i="7"/>
  <c r="G34" i="6"/>
  <c r="G16" i="6"/>
  <c r="D20" i="6"/>
  <c r="F16" i="6"/>
  <c r="E20" i="7"/>
  <c r="C19" i="7"/>
  <c r="L27" i="6"/>
  <c r="D32" i="6"/>
  <c r="I37" i="6"/>
  <c r="F25" i="7"/>
  <c r="C41" i="7"/>
  <c r="K31" i="6"/>
  <c r="C34" i="6"/>
  <c r="K51" i="6"/>
  <c r="I11" i="6"/>
  <c r="I9" i="6"/>
  <c r="I36" i="7"/>
  <c r="H39" i="6"/>
  <c r="CK47" i="4"/>
  <c r="G24" i="7"/>
  <c r="H30" i="7"/>
  <c r="F43" i="7"/>
  <c r="E14" i="6"/>
  <c r="D44" i="6"/>
  <c r="J12" i="7"/>
  <c r="L23" i="6"/>
  <c r="F25" i="6"/>
  <c r="F22" i="6"/>
  <c r="I52" i="6"/>
  <c r="C47" i="6"/>
  <c r="I23" i="6"/>
  <c r="C55" i="7"/>
  <c r="H42" i="7"/>
  <c r="L18" i="6"/>
  <c r="I29" i="6"/>
  <c r="E54" i="7"/>
  <c r="I55" i="6"/>
  <c r="H34" i="7"/>
  <c r="K15" i="6"/>
  <c r="G43" i="7"/>
  <c r="H46" i="6"/>
  <c r="E19" i="6"/>
  <c r="H15" i="6"/>
  <c r="L11" i="6"/>
  <c r="C20" i="7"/>
  <c r="F10" i="6"/>
  <c r="L36" i="7"/>
  <c r="E6" i="6"/>
  <c r="I22" i="6"/>
  <c r="G12" i="6"/>
  <c r="J33" i="7"/>
  <c r="L28" i="7"/>
  <c r="C14" i="7"/>
  <c r="F11" i="7"/>
  <c r="K12" i="7"/>
  <c r="C10" i="6"/>
  <c r="E14" i="7"/>
  <c r="E43" i="6"/>
  <c r="D37" i="6"/>
  <c r="D55" i="6"/>
  <c r="J42" i="7"/>
  <c r="C45" i="6"/>
  <c r="D41" i="7"/>
  <c r="J35" i="6"/>
  <c r="E36" i="7"/>
  <c r="K17" i="7"/>
  <c r="H32" i="7"/>
  <c r="D7" i="7"/>
  <c r="D50" i="6"/>
  <c r="G23" i="6"/>
  <c r="E18" i="6"/>
  <c r="D28" i="7"/>
  <c r="I46" i="6"/>
  <c r="C25" i="7"/>
  <c r="G26" i="6"/>
  <c r="D36" i="6"/>
  <c r="J20" i="6"/>
  <c r="C40" i="7"/>
  <c r="I33" i="7"/>
  <c r="F21" i="7"/>
  <c r="K26" i="7"/>
  <c r="G41" i="6"/>
  <c r="J44" i="6"/>
  <c r="L41" i="7"/>
  <c r="G6" i="6"/>
  <c r="E11" i="7"/>
  <c r="D49" i="6"/>
  <c r="C36" i="7"/>
  <c r="I54" i="6"/>
  <c r="L17" i="7"/>
  <c r="F27" i="7"/>
  <c r="G18" i="6"/>
  <c r="I7" i="6"/>
  <c r="F6" i="6"/>
  <c r="C11" i="7"/>
  <c r="D19" i="6"/>
  <c r="J52" i="6"/>
  <c r="K14" i="6"/>
  <c r="K48" i="7"/>
  <c r="E39" i="6"/>
  <c r="C51" i="6"/>
  <c r="L20" i="7"/>
  <c r="D21" i="7"/>
  <c r="D14" i="6"/>
  <c r="K49" i="7"/>
  <c r="K36" i="6"/>
  <c r="L7" i="6"/>
  <c r="J10" i="7"/>
  <c r="G50" i="7"/>
  <c r="I16" i="7"/>
  <c r="H42" i="6"/>
  <c r="J54" i="6"/>
  <c r="K43" i="6"/>
  <c r="C7" i="6"/>
  <c r="G46" i="7"/>
  <c r="J18" i="6"/>
  <c r="C25" i="6"/>
  <c r="H39" i="7"/>
  <c r="C31" i="7"/>
  <c r="H7" i="6"/>
  <c r="H54" i="7"/>
  <c r="J16" i="7"/>
  <c r="G54" i="6"/>
  <c r="C35" i="6"/>
  <c r="C50" i="7"/>
  <c r="L14" i="7"/>
  <c r="J15" i="7"/>
  <c r="G16" i="7"/>
  <c r="D53" i="7"/>
  <c r="G35" i="6"/>
  <c r="C31" i="6"/>
  <c r="E47" i="6"/>
  <c r="J40" i="6"/>
  <c r="C43" i="6"/>
  <c r="J12" i="6"/>
  <c r="H12" i="6"/>
  <c r="E17" i="6"/>
  <c r="H55" i="7"/>
  <c r="K34" i="6"/>
  <c r="K33" i="6"/>
  <c r="E18" i="7"/>
  <c r="F23" i="6"/>
  <c r="F9" i="6"/>
  <c r="K20" i="6"/>
  <c r="J46" i="7"/>
  <c r="D45" i="6"/>
  <c r="L31" i="7"/>
  <c r="C15" i="6"/>
  <c r="E15" i="6"/>
  <c r="E35" i="6"/>
  <c r="K33" i="7"/>
  <c r="I48" i="6"/>
  <c r="J30" i="6"/>
  <c r="H37" i="6"/>
  <c r="C41" i="6"/>
  <c r="H43" i="7"/>
  <c r="I47" i="6"/>
  <c r="D54" i="7"/>
  <c r="E32" i="6"/>
  <c r="G30" i="6"/>
  <c r="J39" i="7"/>
  <c r="E38" i="6"/>
  <c r="K50" i="7"/>
  <c r="J49" i="7"/>
  <c r="F54" i="7"/>
  <c r="CQ49" i="4"/>
  <c r="E15" i="7"/>
  <c r="D45" i="7"/>
  <c r="J36" i="6"/>
  <c r="I10" i="6"/>
  <c r="C21" i="6"/>
  <c r="J13" i="6"/>
  <c r="G27" i="6"/>
  <c r="H15" i="7"/>
  <c r="K29" i="7"/>
  <c r="H27" i="6"/>
  <c r="G31" i="7"/>
  <c r="E23" i="7"/>
  <c r="J46" i="6"/>
  <c r="H11" i="6"/>
  <c r="L29" i="7"/>
  <c r="D36" i="7"/>
  <c r="H24" i="7"/>
  <c r="F7" i="7"/>
  <c r="E52" i="7"/>
  <c r="J29" i="6"/>
  <c r="L11" i="7"/>
  <c r="D25" i="6"/>
  <c r="F26" i="6"/>
  <c r="F19" i="6"/>
  <c r="E40" i="7"/>
  <c r="J50" i="7"/>
  <c r="C9" i="7"/>
  <c r="I18" i="7"/>
  <c r="F28" i="7"/>
  <c r="H25" i="6"/>
  <c r="F14" i="7"/>
  <c r="F21" i="6"/>
  <c r="F26" i="7"/>
  <c r="D22" i="6"/>
  <c r="F38" i="6"/>
  <c r="L16" i="6"/>
  <c r="C24" i="7"/>
  <c r="H40" i="6"/>
  <c r="E37" i="6"/>
  <c r="K17" i="6"/>
  <c r="D17" i="6"/>
  <c r="C54" i="6"/>
  <c r="E25" i="6"/>
  <c r="J18" i="7"/>
  <c r="L37" i="6"/>
  <c r="I32" i="6"/>
  <c r="H26" i="6"/>
  <c r="C36" i="6"/>
  <c r="C14" i="6"/>
  <c r="H35" i="6"/>
  <c r="K50" i="6"/>
  <c r="J23" i="7"/>
  <c r="I45" i="6"/>
  <c r="K22" i="6"/>
  <c r="I35" i="7"/>
  <c r="G8" i="6"/>
  <c r="C23" i="7"/>
  <c r="L46" i="7"/>
  <c r="C11" i="6"/>
  <c r="H51" i="7"/>
  <c r="L12" i="7"/>
  <c r="K32" i="6"/>
  <c r="J41" i="7"/>
  <c r="F8" i="6"/>
  <c r="D21" i="6"/>
  <c r="K12" i="6"/>
  <c r="C30" i="7"/>
  <c r="G42" i="6"/>
  <c r="L54" i="7"/>
  <c r="I46" i="7"/>
  <c r="F32" i="7"/>
  <c r="H51" i="6"/>
  <c r="D27" i="7"/>
  <c r="J6" i="6"/>
  <c r="C49" i="7"/>
  <c r="J17" i="7"/>
  <c r="F6" i="7"/>
  <c r="F16" i="7"/>
  <c r="G48" i="7"/>
  <c r="I24" i="7"/>
  <c r="F28" i="6"/>
  <c r="G19" i="7"/>
  <c r="F33" i="7"/>
  <c r="H35" i="7"/>
  <c r="C12" i="6"/>
  <c r="D48" i="6"/>
  <c r="K31" i="7"/>
  <c r="K25" i="6"/>
  <c r="E47" i="7"/>
  <c r="G44" i="6"/>
  <c r="I28" i="7"/>
  <c r="E48" i="7"/>
  <c r="I12" i="7"/>
  <c r="F53" i="6"/>
  <c r="G38" i="7"/>
  <c r="F41" i="7"/>
  <c r="D41" i="6"/>
  <c r="H13" i="6"/>
  <c r="E50" i="7"/>
  <c r="F12" i="6"/>
  <c r="F22" i="7"/>
  <c r="I42" i="7"/>
  <c r="F7" i="6"/>
  <c r="E10" i="6"/>
  <c r="L22" i="7"/>
  <c r="J55" i="6"/>
  <c r="D44" i="7"/>
  <c r="J43" i="6"/>
  <c r="D12" i="7"/>
  <c r="K54" i="7"/>
  <c r="E13" i="6"/>
  <c r="J51" i="6"/>
  <c r="L15" i="6"/>
  <c r="J37" i="6"/>
  <c r="D30" i="6"/>
  <c r="L52" i="6"/>
  <c r="K53" i="7"/>
  <c r="L51" i="7"/>
  <c r="E7" i="7"/>
  <c r="H11" i="7"/>
  <c r="K55" i="6"/>
  <c r="J28" i="6"/>
  <c r="K11" i="7"/>
  <c r="G22" i="7"/>
  <c r="I44" i="6"/>
  <c r="L15" i="7"/>
  <c r="C40" i="6"/>
  <c r="G23" i="7"/>
  <c r="L48" i="6"/>
  <c r="F48" i="6"/>
  <c r="D55" i="7"/>
  <c r="I47" i="7"/>
  <c r="L43" i="6"/>
  <c r="C13" i="7"/>
  <c r="K46" i="6"/>
  <c r="K30" i="6"/>
  <c r="G35" i="7"/>
  <c r="K23" i="7"/>
  <c r="E22" i="6"/>
  <c r="K52" i="7"/>
  <c r="L30" i="6"/>
  <c r="D6" i="7"/>
  <c r="L19" i="6"/>
  <c r="J25" i="7"/>
  <c r="J45" i="7"/>
  <c r="K15" i="7"/>
  <c r="F44" i="6"/>
  <c r="H38" i="6"/>
  <c r="F36" i="6"/>
  <c r="D6" i="6"/>
  <c r="K42" i="6"/>
  <c r="G19" i="6"/>
  <c r="CK49" i="4"/>
  <c r="F51" i="6"/>
  <c r="C44" i="7"/>
  <c r="G49" i="6"/>
  <c r="D27" i="6"/>
  <c r="L52" i="7"/>
  <c r="H28" i="7"/>
  <c r="L45" i="6"/>
  <c r="F15" i="6"/>
  <c r="G26" i="7"/>
  <c r="C46" i="6"/>
  <c r="F38" i="7"/>
  <c r="E46" i="6"/>
  <c r="E24" i="6"/>
  <c r="I9" i="7"/>
  <c r="K19" i="6"/>
  <c r="G10" i="7"/>
  <c r="G9" i="7"/>
  <c r="E12" i="7"/>
  <c r="C46" i="7"/>
  <c r="H10" i="7"/>
  <c r="H33" i="7"/>
  <c r="C28" i="7"/>
  <c r="I21" i="6"/>
  <c r="E41" i="7"/>
  <c r="G46" i="6"/>
  <c r="G36" i="6"/>
  <c r="F29" i="7"/>
  <c r="F45" i="6"/>
  <c r="F30" i="7"/>
  <c r="I34" i="6"/>
  <c r="L48" i="7"/>
  <c r="H48" i="7"/>
  <c r="I52" i="7"/>
  <c r="E6" i="7"/>
  <c r="E31" i="6"/>
  <c r="H22" i="7"/>
  <c r="K11" i="6"/>
  <c r="H18" i="7"/>
  <c r="L47" i="7"/>
  <c r="K13" i="6"/>
  <c r="K10" i="6"/>
  <c r="L25" i="7"/>
  <c r="J23" i="6"/>
  <c r="L8" i="6"/>
  <c r="E42" i="6"/>
  <c r="D18" i="7"/>
  <c r="J19" i="7"/>
  <c r="I36" i="6"/>
  <c r="F11" i="6"/>
  <c r="L21" i="7"/>
  <c r="I31" i="6"/>
  <c r="D20" i="7"/>
  <c r="E9" i="7"/>
  <c r="E30" i="7"/>
  <c r="J53" i="7"/>
  <c r="L25" i="6"/>
  <c r="E16" i="7"/>
  <c r="F27" i="6"/>
  <c r="J21" i="6"/>
  <c r="J45" i="6"/>
  <c r="D39" i="6"/>
  <c r="E44" i="6"/>
  <c r="C32" i="7"/>
  <c r="H33" i="6"/>
  <c r="J14" i="7"/>
  <c r="I24" i="6"/>
  <c r="E7" i="6"/>
  <c r="F55" i="7"/>
  <c r="E44" i="7"/>
  <c r="C15" i="7"/>
  <c r="F20" i="6"/>
  <c r="D46" i="6"/>
  <c r="E21" i="6"/>
  <c r="K40" i="6"/>
  <c r="K46" i="7"/>
  <c r="CQ47" i="4"/>
  <c r="C42" i="6"/>
  <c r="K55" i="7"/>
  <c r="C37" i="7"/>
  <c r="D9" i="7"/>
  <c r="E32" i="7"/>
  <c r="D15" i="7"/>
  <c r="J53" i="6"/>
  <c r="E53" i="6"/>
  <c r="I7" i="7"/>
  <c r="L53" i="7"/>
  <c r="D52" i="7"/>
  <c r="G21" i="6"/>
  <c r="J8" i="6"/>
  <c r="K10" i="7"/>
  <c r="D51" i="6"/>
  <c r="L10" i="6"/>
  <c r="D11" i="6"/>
  <c r="G33" i="7"/>
  <c r="J52" i="7"/>
  <c r="G55" i="6"/>
  <c r="J27" i="6"/>
  <c r="H49" i="6"/>
  <c r="D10" i="6"/>
  <c r="L54" i="6"/>
  <c r="E46" i="7"/>
  <c r="F31" i="6"/>
  <c r="E52" i="6"/>
  <c r="K9" i="7"/>
  <c r="I43" i="7"/>
  <c r="H19" i="7"/>
  <c r="D38" i="7"/>
  <c r="F51" i="7"/>
  <c r="H41" i="7"/>
  <c r="C24" i="6"/>
  <c r="F20" i="7"/>
  <c r="J33" i="6"/>
  <c r="D49" i="7"/>
  <c r="D11" i="7"/>
  <c r="I31" i="7"/>
  <c r="H6" i="6"/>
  <c r="I14" i="6"/>
  <c r="G48" i="6"/>
  <c r="H43" i="6"/>
  <c r="J11" i="6"/>
  <c r="F24" i="6"/>
  <c r="K48" i="6"/>
  <c r="G24" i="6"/>
  <c r="H26" i="7"/>
  <c r="I13" i="6"/>
  <c r="J47" i="6"/>
  <c r="E11" i="6"/>
  <c r="J24" i="6"/>
  <c r="J8" i="7"/>
  <c r="I10" i="7"/>
  <c r="I15" i="6"/>
  <c r="C22" i="6"/>
  <c r="I55" i="7"/>
  <c r="D31" i="6"/>
  <c r="K24" i="7"/>
  <c r="I48" i="7"/>
  <c r="G51" i="7"/>
  <c r="F48" i="7"/>
  <c r="G37" i="7"/>
  <c r="L33" i="7"/>
  <c r="J9" i="6"/>
  <c r="D8" i="6"/>
  <c r="D47" i="6"/>
  <c r="J7" i="6"/>
  <c r="G17" i="6"/>
  <c r="D35" i="6"/>
  <c r="J19" i="6"/>
  <c r="H31" i="6"/>
  <c r="F23" i="7"/>
  <c r="C17" i="6"/>
  <c r="J9" i="7"/>
  <c r="F32" i="6"/>
  <c r="F18" i="6"/>
  <c r="C52" i="7"/>
  <c r="C20" i="6"/>
  <c r="D42" i="7"/>
  <c r="D38" i="6"/>
  <c r="G21" i="7"/>
  <c r="L47" i="6"/>
  <c r="I12" i="6"/>
  <c r="H53" i="6"/>
  <c r="H23" i="7"/>
  <c r="I44" i="7"/>
  <c r="J36" i="7"/>
  <c r="C53" i="6"/>
  <c r="L49" i="7"/>
  <c r="E54" i="6"/>
  <c r="E48" i="6"/>
  <c r="H40" i="7"/>
  <c r="E38" i="7"/>
  <c r="D25" i="7"/>
  <c r="H36" i="7"/>
  <c r="C13" i="6"/>
  <c r="F19" i="7"/>
  <c r="I50" i="6"/>
  <c r="I42" i="6"/>
  <c r="E30" i="6"/>
  <c r="H53" i="7"/>
  <c r="K16" i="6"/>
  <c r="H37" i="7"/>
  <c r="H47" i="7"/>
  <c r="L7" i="7"/>
  <c r="K47" i="7"/>
  <c r="I8" i="7"/>
  <c r="H47" i="6"/>
  <c r="F40" i="7"/>
  <c r="G7" i="6"/>
  <c r="F35" i="7"/>
  <c r="K28" i="6"/>
  <c r="K21" i="6"/>
  <c r="D43" i="6"/>
  <c r="CW67" i="4" l="1"/>
  <c r="AN67" i="4" s="1"/>
  <c r="CW66" i="4"/>
  <c r="CW64" i="4"/>
  <c r="AK49" i="4"/>
  <c r="CT51" i="4" s="1"/>
  <c r="AK53" i="4" s="1"/>
  <c r="AB48" i="4"/>
  <c r="CK50" i="4" s="1"/>
  <c r="AB50" i="4" s="1"/>
  <c r="Y49" i="4"/>
  <c r="CH51" i="4" s="1"/>
  <c r="AH48" i="4"/>
  <c r="CQ50" i="4" s="1"/>
  <c r="AH50" i="4" s="1"/>
  <c r="AK48" i="4"/>
  <c r="CT50" i="4" s="1"/>
  <c r="AE47" i="4"/>
  <c r="AQ49" i="4"/>
  <c r="CZ51" i="4" s="1"/>
  <c r="AE48" i="4"/>
  <c r="CN50" i="4" s="1"/>
  <c r="Y48" i="4"/>
  <c r="CH50" i="4" s="1"/>
  <c r="AK47" i="4"/>
  <c r="CT57" i="4" s="1"/>
  <c r="AQ47" i="4"/>
  <c r="CZ57" i="4" s="1"/>
  <c r="CZ61" i="4" s="1"/>
  <c r="AQ48" i="4"/>
  <c r="CZ50" i="4" s="1"/>
  <c r="CW69" i="4"/>
  <c r="AN69" i="4" s="1"/>
  <c r="CW65" i="4"/>
  <c r="AN65" i="4" s="1"/>
  <c r="AN53" i="4"/>
  <c r="AN52" i="4"/>
  <c r="AN51" i="4"/>
  <c r="AN46" i="4"/>
  <c r="AB49" i="4"/>
  <c r="CK51" i="4" s="1"/>
  <c r="AH47" i="4"/>
  <c r="AB47" i="4"/>
  <c r="AE49" i="4"/>
  <c r="CN51" i="4" s="1"/>
  <c r="AH49" i="4"/>
  <c r="CQ51" i="4" s="1"/>
  <c r="P38" i="4"/>
  <c r="V47" i="4"/>
  <c r="P15" i="4"/>
  <c r="P41" i="4" s="1"/>
  <c r="CW61" i="4" s="1"/>
  <c r="AN50" i="4"/>
  <c r="P22" i="4"/>
  <c r="CW62" i="4" s="1"/>
  <c r="CW68" i="4" s="1"/>
  <c r="AN68" i="4" s="1"/>
  <c r="P10" i="4"/>
  <c r="P37" i="4" s="1"/>
  <c r="CH47" i="4"/>
  <c r="CB49" i="4"/>
  <c r="CE49" i="4"/>
  <c r="CE48" i="4"/>
  <c r="CB48" i="4"/>
  <c r="CB47" i="4"/>
  <c r="CZ52" i="4" l="1"/>
  <c r="CB52" i="4"/>
  <c r="CW52" i="4"/>
  <c r="CT52" i="4"/>
  <c r="CH53" i="4"/>
  <c r="CE53" i="4"/>
  <c r="CZ53" i="4"/>
  <c r="CH52" i="4"/>
  <c r="CW53" i="4"/>
  <c r="CE52" i="4"/>
  <c r="CT53" i="4"/>
  <c r="CB53" i="4"/>
  <c r="CZ66" i="4"/>
  <c r="CT66" i="4"/>
  <c r="CZ64" i="4"/>
  <c r="CT64" i="4"/>
  <c r="N42" i="4"/>
  <c r="CH67" i="4"/>
  <c r="Y67" i="4" s="1"/>
  <c r="AB46" i="4"/>
  <c r="AH46" i="4"/>
  <c r="AE46" i="4"/>
  <c r="AQ57" i="4"/>
  <c r="AQ53" i="4"/>
  <c r="CZ67" i="4"/>
  <c r="AQ67" i="4" s="1"/>
  <c r="CT67" i="4"/>
  <c r="AK67" i="4" s="1"/>
  <c r="Y53" i="4"/>
  <c r="Y51" i="4"/>
  <c r="Y52" i="4"/>
  <c r="AK52" i="4"/>
  <c r="CN67" i="4"/>
  <c r="AE67" i="4" s="1"/>
  <c r="CZ62" i="4"/>
  <c r="CZ68" i="4" s="1"/>
  <c r="AQ68" i="4" s="1"/>
  <c r="AE50" i="4"/>
  <c r="AK46" i="4"/>
  <c r="Y47" i="4"/>
  <c r="Y46" i="4" s="1"/>
  <c r="CH69" i="4" s="1"/>
  <c r="Y69" i="4" s="1"/>
  <c r="AQ46" i="4"/>
  <c r="AQ50" i="4"/>
  <c r="CZ69" i="4"/>
  <c r="AQ69" i="4" s="1"/>
  <c r="AB53" i="4"/>
  <c r="AQ51" i="4"/>
  <c r="AQ52" i="4"/>
  <c r="CZ65" i="4"/>
  <c r="AQ65" i="4" s="1"/>
  <c r="Y50" i="4"/>
  <c r="CQ65" i="4"/>
  <c r="AH65" i="4" s="1"/>
  <c r="CH65" i="4"/>
  <c r="Y65" i="4" s="1"/>
  <c r="CQ67" i="4"/>
  <c r="AH67" i="4" s="1"/>
  <c r="CK67" i="4"/>
  <c r="AB67" i="4" s="1"/>
  <c r="CT65" i="4"/>
  <c r="AK65" i="4" s="1"/>
  <c r="CN65" i="4"/>
  <c r="AE65" i="4" s="1"/>
  <c r="CK65" i="4"/>
  <c r="AB65" i="4" s="1"/>
  <c r="CT69" i="4"/>
  <c r="AK69" i="4" s="1"/>
  <c r="AH53" i="4"/>
  <c r="AH52" i="4"/>
  <c r="AE53" i="4"/>
  <c r="AE52" i="4"/>
  <c r="AH51" i="4"/>
  <c r="AE51" i="4"/>
  <c r="AB52" i="4"/>
  <c r="AB51" i="4"/>
  <c r="CT62" i="4"/>
  <c r="CT68" i="4" s="1"/>
  <c r="AK50" i="4"/>
  <c r="AK51" i="4"/>
  <c r="CQ69" i="4"/>
  <c r="AH69" i="4" s="1"/>
  <c r="CK69" i="4"/>
  <c r="AB69" i="4" s="1"/>
  <c r="CN69" i="4"/>
  <c r="AE69" i="4" s="1"/>
  <c r="O42" i="4"/>
  <c r="V48" i="4"/>
  <c r="CE50" i="4" s="1"/>
  <c r="P40" i="4"/>
  <c r="CN57" i="4" s="1"/>
  <c r="V49" i="4"/>
  <c r="P39" i="4"/>
  <c r="CT56" i="4" s="1"/>
  <c r="CT55" i="4" l="1"/>
  <c r="CT59" i="4" s="1"/>
  <c r="CZ55" i="4"/>
  <c r="CZ59" i="4" s="1"/>
  <c r="CZ56" i="4"/>
  <c r="CZ60" i="4" s="1"/>
  <c r="AQ66" i="4"/>
  <c r="AQ64" i="4"/>
  <c r="CW56" i="4"/>
  <c r="CW60" i="4" s="1"/>
  <c r="AN66" i="4" s="1"/>
  <c r="CW55" i="4"/>
  <c r="CW59" i="4" s="1"/>
  <c r="AN64" i="4" s="1"/>
  <c r="CH57" i="4"/>
  <c r="S46" i="4"/>
  <c r="V46" i="4"/>
  <c r="CB50" i="4"/>
  <c r="CB57" i="4"/>
  <c r="CE57" i="4"/>
  <c r="CQ57" i="4"/>
  <c r="CK57" i="4"/>
  <c r="CK55" i="4"/>
  <c r="CQ55" i="4"/>
  <c r="CH56" i="4"/>
  <c r="CN55" i="4"/>
  <c r="CH55" i="4"/>
  <c r="CQ56" i="4"/>
  <c r="CN56" i="4"/>
  <c r="CK56" i="4"/>
  <c r="V50" i="4"/>
  <c r="CE55" i="4"/>
  <c r="CE51" i="4"/>
  <c r="CE67" i="4" s="1"/>
  <c r="CB51" i="4"/>
  <c r="S52" i="4" s="1"/>
  <c r="CN62" i="4"/>
  <c r="CH62" i="4"/>
  <c r="CK62" i="4"/>
  <c r="AQ62" i="4"/>
  <c r="CQ62" i="4"/>
  <c r="AQ70" i="4" l="1"/>
  <c r="AQ56" i="4"/>
  <c r="AQ55" i="4"/>
  <c r="AN70" i="4"/>
  <c r="CB67" i="4"/>
  <c r="S67" i="4" s="1"/>
  <c r="CE65" i="4"/>
  <c r="V65" i="4" s="1"/>
  <c r="V67" i="4"/>
  <c r="CB65" i="4"/>
  <c r="S65" i="4" s="1"/>
  <c r="V53" i="4"/>
  <c r="V52" i="4"/>
  <c r="S53" i="4"/>
  <c r="CB56" i="4"/>
  <c r="CE56" i="4"/>
  <c r="CB55" i="4"/>
  <c r="S50" i="4"/>
  <c r="CE69" i="4"/>
  <c r="V69" i="4" s="1"/>
  <c r="CB69" i="4"/>
  <c r="S69" i="4" s="1"/>
  <c r="AN62" i="4"/>
  <c r="AK62" i="4"/>
  <c r="AK68" i="4"/>
  <c r="AH62" i="4"/>
  <c r="CQ68" i="4"/>
  <c r="AH68" i="4" s="1"/>
  <c r="AE62" i="4"/>
  <c r="CN68" i="4"/>
  <c r="AE68" i="4" s="1"/>
  <c r="AB62" i="4"/>
  <c r="CK68" i="4"/>
  <c r="AB68" i="4" s="1"/>
  <c r="S51" i="4"/>
  <c r="V51" i="4"/>
  <c r="CB62" i="4"/>
  <c r="S62" i="4" s="1"/>
  <c r="CE62" i="4"/>
  <c r="V62" i="4" s="1"/>
  <c r="Y62" i="4"/>
  <c r="CH68" i="4"/>
  <c r="Y68" i="4" s="1"/>
  <c r="CE68" i="4" l="1"/>
  <c r="V68" i="4" s="1"/>
  <c r="CB68" i="4"/>
  <c r="S68" i="4" s="1"/>
  <c r="AN55" i="4"/>
  <c r="AE56" i="4"/>
  <c r="Y56" i="4"/>
  <c r="V55" i="4"/>
  <c r="AK56" i="4"/>
  <c r="AE55" i="4"/>
  <c r="Y55" i="4"/>
  <c r="V56" i="4"/>
  <c r="S55" i="4"/>
  <c r="AK55" i="4"/>
  <c r="S56" i="4"/>
  <c r="AH56" i="4"/>
  <c r="AN56" i="4"/>
  <c r="AH55" i="4"/>
  <c r="AB56" i="4"/>
  <c r="AB55" i="4"/>
  <c r="AK57" i="4"/>
  <c r="S57" i="4"/>
  <c r="AH57" i="4"/>
  <c r="V57" i="4"/>
  <c r="AN57" i="4"/>
  <c r="AE57" i="4"/>
  <c r="AB57" i="4"/>
  <c r="Y57" i="4"/>
  <c r="CB60" i="4" l="1"/>
  <c r="S60" i="4" s="1"/>
  <c r="CN59" i="4"/>
  <c r="CQ61" i="4"/>
  <c r="AH61" i="4" s="1"/>
  <c r="CQ60" i="4"/>
  <c r="CT60" i="4"/>
  <c r="CN61" i="4"/>
  <c r="AE61" i="4" s="1"/>
  <c r="CK60" i="4"/>
  <c r="CE60" i="4"/>
  <c r="AN61" i="4"/>
  <c r="AQ59" i="4"/>
  <c r="AQ60" i="4"/>
  <c r="CE61" i="4"/>
  <c r="V61" i="4" s="1"/>
  <c r="CQ59" i="4"/>
  <c r="CH59" i="4"/>
  <c r="AQ61" i="4"/>
  <c r="CB61" i="4"/>
  <c r="S61" i="4" s="1"/>
  <c r="CE59" i="4"/>
  <c r="CH61" i="4"/>
  <c r="Y61" i="4" s="1"/>
  <c r="CT61" i="4"/>
  <c r="CH60" i="4"/>
  <c r="CK61" i="4"/>
  <c r="AB61" i="4" s="1"/>
  <c r="CK59" i="4"/>
  <c r="CN60" i="4"/>
  <c r="CB59" i="4"/>
  <c r="S59" i="4" s="1"/>
  <c r="AK66" i="4" l="1"/>
  <c r="AK61" i="4"/>
  <c r="AK64" i="4"/>
  <c r="AN59" i="4"/>
  <c r="AN60" i="4"/>
  <c r="AK59" i="4"/>
  <c r="AK60" i="4"/>
  <c r="AH59" i="4"/>
  <c r="CQ64" i="4"/>
  <c r="AH64" i="4" s="1"/>
  <c r="AH60" i="4"/>
  <c r="CQ66" i="4"/>
  <c r="AH66" i="4" s="1"/>
  <c r="AE59" i="4"/>
  <c r="CN64" i="4"/>
  <c r="AE64" i="4" s="1"/>
  <c r="AE60" i="4"/>
  <c r="CN66" i="4"/>
  <c r="AE66" i="4" s="1"/>
  <c r="AB59" i="4"/>
  <c r="CK64" i="4"/>
  <c r="AB64" i="4" s="1"/>
  <c r="AB60" i="4"/>
  <c r="CK66" i="4"/>
  <c r="AB66" i="4" s="1"/>
  <c r="Y59" i="4"/>
  <c r="CH64" i="4"/>
  <c r="Y64" i="4" s="1"/>
  <c r="Y60" i="4"/>
  <c r="CH66" i="4"/>
  <c r="Y66" i="4" s="1"/>
  <c r="V59" i="4"/>
  <c r="CE64" i="4"/>
  <c r="V64" i="4" s="1"/>
  <c r="V60" i="4"/>
  <c r="CE66" i="4"/>
  <c r="V66" i="4" s="1"/>
  <c r="CB66" i="4"/>
  <c r="S66" i="4" s="1"/>
  <c r="CB64" i="4"/>
  <c r="S64" i="4" s="1"/>
  <c r="AH70" i="4" l="1"/>
  <c r="S70" i="4"/>
  <c r="AK70" i="4"/>
  <c r="AB70" i="4"/>
  <c r="AE70" i="4"/>
  <c r="Y70" i="4"/>
  <c r="V70" i="4"/>
</calcChain>
</file>

<file path=xl/sharedStrings.xml><?xml version="1.0" encoding="utf-8"?>
<sst xmlns="http://schemas.openxmlformats.org/spreadsheetml/2006/main" count="430" uniqueCount="181">
  <si>
    <t>PROJECT:</t>
  </si>
  <si>
    <t>PROJECT NO:</t>
  </si>
  <si>
    <t>COMPANY:</t>
  </si>
  <si>
    <t>DOCUMENT NUMBER:</t>
  </si>
  <si>
    <t>GREATER STELLA AREA DEVELOPMENT</t>
  </si>
  <si>
    <t>ITHACA ENERGY</t>
  </si>
  <si>
    <t>DOCUMENT TITLE:</t>
  </si>
  <si>
    <t>ORIGINATOR:</t>
  </si>
  <si>
    <t>REV:</t>
  </si>
  <si>
    <t>DATE:</t>
  </si>
  <si>
    <t>PAGE NO:</t>
  </si>
  <si>
    <t>JU11805D</t>
  </si>
  <si>
    <t>Piping Stress</t>
  </si>
  <si>
    <t>Ref</t>
  </si>
  <si>
    <t>Rev</t>
  </si>
  <si>
    <t>A</t>
  </si>
  <si>
    <t>Calculation</t>
  </si>
  <si>
    <t>Trunnion Calculation
Ellipse Method</t>
  </si>
  <si>
    <t xml:space="preserve">≡ </t>
  </si>
  <si>
    <r>
      <t>π·R</t>
    </r>
    <r>
      <rPr>
        <vertAlign val="subscript"/>
        <sz val="11"/>
        <color rgb="FF000000"/>
        <rFont val="Calibri"/>
        <family val="2"/>
        <scheme val="minor"/>
      </rPr>
      <t>n</t>
    </r>
    <r>
      <rPr>
        <sz val="11"/>
        <color rgb="FF000000"/>
        <rFont val="Calibri"/>
        <family val="2"/>
        <scheme val="minor"/>
      </rPr>
      <t xml:space="preserve">² </t>
    </r>
  </si>
  <si>
    <r>
      <t>2</t>
    </r>
    <r>
      <rPr>
        <sz val="11"/>
        <color theme="1"/>
        <rFont val="Calibri"/>
        <family val="2"/>
      </rPr>
      <t>π·R</t>
    </r>
    <r>
      <rPr>
        <vertAlign val="subscript"/>
        <sz val="11"/>
        <color theme="1"/>
        <rFont val="Calibri"/>
        <family val="2"/>
      </rPr>
      <t>n</t>
    </r>
  </si>
  <si>
    <r>
      <rPr>
        <sz val="11"/>
        <color theme="1"/>
        <rFont val="Calibri"/>
        <family val="2"/>
      </rPr>
      <t>π·(a + b)·{1 + 3·[</t>
    </r>
    <r>
      <rPr>
        <sz val="11"/>
        <color theme="1"/>
        <rFont val="Calibri"/>
        <family val="2"/>
        <scheme val="minor"/>
      </rPr>
      <t xml:space="preserve">(a - b)/(a + b)]²/[10 + </t>
    </r>
    <r>
      <rPr>
        <sz val="11"/>
        <color theme="1"/>
        <rFont val="Calibri"/>
        <family val="2"/>
      </rPr>
      <t>√(4 - 3·</t>
    </r>
    <r>
      <rPr>
        <sz val="11"/>
        <color theme="1"/>
        <rFont val="Calibri"/>
        <family val="2"/>
        <scheme val="minor"/>
      </rPr>
      <t>[(a - b)/(a + b)]²)]}</t>
    </r>
  </si>
  <si>
    <t>where</t>
  </si>
  <si>
    <t>=</t>
  </si>
  <si>
    <t>r</t>
  </si>
  <si>
    <t>R·sinˉ¹(r/R)</t>
  </si>
  <si>
    <t>π·a·b</t>
  </si>
  <si>
    <t>Minor Radius, a</t>
  </si>
  <si>
    <t>Major Radius, b</t>
  </si>
  <si>
    <t>NOTES:</t>
  </si>
  <si>
    <t>i)</t>
  </si>
  <si>
    <t>Based upon Srinivasa Ramanujan's approximation of the circumference of an ellipse.</t>
  </si>
  <si>
    <t>Where,</t>
  </si>
  <si>
    <t>For trunnions on straight pipe,</t>
  </si>
  <si>
    <t>For trunnions on straight pipe with reinforcement pads (width = W),</t>
  </si>
  <si>
    <t>For trunnions on elbows,</t>
  </si>
  <si>
    <t>ii)</t>
  </si>
  <si>
    <t>Reinforcement pads shall not be used on elbows.</t>
  </si>
  <si>
    <t>Note i)</t>
  </si>
  <si>
    <t>O</t>
  </si>
  <si>
    <t>Trunnion offset</t>
  </si>
  <si>
    <t>This calculation method supplements the corporate trunnion calculation spreadsheet PEC-EN-VSS-L-3204 and is only to be used for the Greater Stella Area Development project.</t>
  </si>
  <si>
    <t>Instead of using the circular cross-section of the trunnion to determine the area and length for the unit loading, this method uses the area and length of the ellipse at the intersection of the trunnion and the pipe surface.</t>
  </si>
  <si>
    <t>The following formulae were substituted into those in formula 3.26;-</t>
  </si>
  <si>
    <t>Radius of Elbow C/L</t>
  </si>
  <si>
    <r>
      <t>R</t>
    </r>
    <r>
      <rPr>
        <vertAlign val="subscript"/>
        <sz val="11"/>
        <color theme="1"/>
        <rFont val="Calibri"/>
        <family val="2"/>
        <scheme val="minor"/>
      </rPr>
      <t>B</t>
    </r>
  </si>
  <si>
    <t>NOTES</t>
  </si>
  <si>
    <t>Nominal Pipe Size, NPS</t>
  </si>
  <si>
    <t>STANDARD PIPE WALL THICKNESS AS PER B36.10 &amp; B36.19</t>
  </si>
  <si>
    <t>(SCHEDULED THICKNESSES)</t>
  </si>
  <si>
    <t>SCHEDULE NO</t>
  </si>
  <si>
    <t>NS</t>
  </si>
  <si>
    <t>OD</t>
  </si>
  <si>
    <t>5S</t>
  </si>
  <si>
    <t>10S</t>
  </si>
  <si>
    <t>STD</t>
  </si>
  <si>
    <t>40S</t>
  </si>
  <si>
    <t>XS</t>
  </si>
  <si>
    <t>80S</t>
  </si>
  <si>
    <t>XXS</t>
  </si>
  <si>
    <t xml:space="preserve"> </t>
  </si>
  <si>
    <t>½</t>
  </si>
  <si>
    <t>1½</t>
  </si>
  <si>
    <t>2½</t>
  </si>
  <si>
    <t>3½</t>
  </si>
  <si>
    <t>¾</t>
  </si>
  <si>
    <r>
      <t>1</t>
    </r>
    <r>
      <rPr>
        <sz val="10"/>
        <rFont val="Calibri"/>
        <family val="2"/>
      </rPr>
      <t>¼</t>
    </r>
  </si>
  <si>
    <t>Pipe Thickness / Schedule</t>
  </si>
  <si>
    <t>Radius, R</t>
  </si>
  <si>
    <t>Trunnion Nominal Size</t>
  </si>
  <si>
    <t>Radius, r</t>
  </si>
  <si>
    <t>Trunnion Thk / Schedule</t>
  </si>
  <si>
    <t>OD, D</t>
  </si>
  <si>
    <t>OD, d</t>
  </si>
  <si>
    <t>Corrosion Allowance, C</t>
  </si>
  <si>
    <t>All dimensions are in mm, UNO</t>
  </si>
  <si>
    <t>Design Temperature, T</t>
  </si>
  <si>
    <t>MPa</t>
  </si>
  <si>
    <t>barg</t>
  </si>
  <si>
    <t>Loading Data</t>
  </si>
  <si>
    <t>Attachment Type</t>
  </si>
  <si>
    <t>Straight Pipe</t>
  </si>
  <si>
    <t>Elbow</t>
  </si>
  <si>
    <t>Moment Arm, L</t>
  </si>
  <si>
    <t>°C</t>
  </si>
  <si>
    <t>N</t>
  </si>
  <si>
    <t>P*R/(2*t)</t>
  </si>
  <si>
    <t>P*R/t</t>
  </si>
  <si>
    <t>Trunnion Loading</t>
  </si>
  <si>
    <t>1D</t>
  </si>
  <si>
    <t>1.5D</t>
  </si>
  <si>
    <t>3D</t>
  </si>
  <si>
    <t>5D</t>
  </si>
  <si>
    <t>mm²</t>
  </si>
  <si>
    <t>Trunnion offset, O</t>
  </si>
  <si>
    <t>N/mm</t>
  </si>
  <si>
    <t>Stresses</t>
  </si>
  <si>
    <t>Trunnion Stress, SL</t>
  </si>
  <si>
    <t>Allowable Stress Check</t>
  </si>
  <si>
    <t>SL</t>
  </si>
  <si>
    <r>
      <t>Wall Thk, t</t>
    </r>
    <r>
      <rPr>
        <vertAlign val="subscript"/>
        <sz val="8"/>
        <color theme="1"/>
        <rFont val="Calibri"/>
        <family val="2"/>
        <scheme val="minor"/>
      </rPr>
      <t>p</t>
    </r>
  </si>
  <si>
    <r>
      <t>Wall Thk, t</t>
    </r>
    <r>
      <rPr>
        <vertAlign val="subscript"/>
        <sz val="8"/>
        <color theme="1"/>
        <rFont val="Calibri"/>
        <family val="2"/>
        <scheme val="minor"/>
      </rPr>
      <t>t</t>
    </r>
  </si>
  <si>
    <r>
      <t>ID, d</t>
    </r>
    <r>
      <rPr>
        <vertAlign val="subscript"/>
        <sz val="8"/>
        <color theme="1"/>
        <rFont val="Calibri"/>
        <family val="2"/>
        <scheme val="minor"/>
      </rPr>
      <t>i</t>
    </r>
  </si>
  <si>
    <r>
      <t>Re-Pad Thickness, t</t>
    </r>
    <r>
      <rPr>
        <vertAlign val="subscript"/>
        <sz val="8"/>
        <color theme="1"/>
        <rFont val="Calibri"/>
        <family val="2"/>
        <scheme val="minor"/>
      </rPr>
      <t>r</t>
    </r>
  </si>
  <si>
    <r>
      <t>Total Wall Thickness, t</t>
    </r>
    <r>
      <rPr>
        <vertAlign val="subscript"/>
        <sz val="8"/>
        <color theme="1"/>
        <rFont val="Calibri"/>
        <family val="2"/>
        <scheme val="minor"/>
      </rPr>
      <t>p</t>
    </r>
    <r>
      <rPr>
        <sz val="8"/>
        <color theme="1"/>
        <rFont val="Calibri"/>
        <family val="2"/>
        <scheme val="minor"/>
      </rPr>
      <t xml:space="preserve"> - C + t</t>
    </r>
    <r>
      <rPr>
        <vertAlign val="subscript"/>
        <sz val="8"/>
        <color theme="1"/>
        <rFont val="Calibri"/>
        <family val="2"/>
        <scheme val="minor"/>
      </rPr>
      <t>r</t>
    </r>
    <r>
      <rPr>
        <sz val="8"/>
        <color theme="1"/>
        <rFont val="Calibri"/>
        <family val="2"/>
        <scheme val="minor"/>
      </rPr>
      <t>, t</t>
    </r>
  </si>
  <si>
    <r>
      <t>Allowable Stress, S</t>
    </r>
    <r>
      <rPr>
        <vertAlign val="subscript"/>
        <sz val="8"/>
        <color theme="1"/>
        <rFont val="Calibri"/>
        <family val="2"/>
        <scheme val="minor"/>
      </rPr>
      <t>h</t>
    </r>
  </si>
  <si>
    <r>
      <t>Elbow Radius, R</t>
    </r>
    <r>
      <rPr>
        <vertAlign val="subscript"/>
        <sz val="8"/>
        <color theme="1"/>
        <rFont val="Calibri"/>
        <family val="2"/>
        <scheme val="minor"/>
      </rPr>
      <t>B</t>
    </r>
  </si>
  <si>
    <r>
      <t>Axial Load, F</t>
    </r>
    <r>
      <rPr>
        <vertAlign val="subscript"/>
        <sz val="8"/>
        <color theme="1"/>
        <rFont val="Calibri"/>
        <family val="2"/>
        <scheme val="minor"/>
      </rPr>
      <t>AXIAL</t>
    </r>
  </si>
  <si>
    <r>
      <t>Longitudinal Load, F</t>
    </r>
    <r>
      <rPr>
        <vertAlign val="subscript"/>
        <sz val="8"/>
        <color theme="1"/>
        <rFont val="Calibri"/>
        <family val="2"/>
        <scheme val="minor"/>
      </rPr>
      <t>LONG</t>
    </r>
  </si>
  <si>
    <r>
      <t>Circumferential Load, F</t>
    </r>
    <r>
      <rPr>
        <vertAlign val="subscript"/>
        <sz val="8"/>
        <color theme="1"/>
        <rFont val="Calibri"/>
        <family val="2"/>
        <scheme val="minor"/>
      </rPr>
      <t>CIRC</t>
    </r>
  </si>
  <si>
    <r>
      <t>Long. Bending Moment, M</t>
    </r>
    <r>
      <rPr>
        <vertAlign val="subscript"/>
        <sz val="8"/>
        <color theme="1"/>
        <rFont val="Calibri"/>
        <family val="2"/>
        <scheme val="minor"/>
      </rPr>
      <t>L</t>
    </r>
  </si>
  <si>
    <r>
      <t>F</t>
    </r>
    <r>
      <rPr>
        <vertAlign val="subscript"/>
        <sz val="8"/>
        <color theme="1"/>
        <rFont val="Calibri"/>
        <family val="2"/>
        <scheme val="minor"/>
      </rPr>
      <t>LONG</t>
    </r>
    <r>
      <rPr>
        <sz val="8"/>
        <color theme="1"/>
        <rFont val="Calibri"/>
        <family val="2"/>
        <scheme val="minor"/>
      </rPr>
      <t xml:space="preserve"> * L</t>
    </r>
  </si>
  <si>
    <r>
      <t>Circum. Bending Moment, M</t>
    </r>
    <r>
      <rPr>
        <vertAlign val="subscript"/>
        <sz val="8"/>
        <color theme="1"/>
        <rFont val="Calibri"/>
        <family val="2"/>
        <scheme val="minor"/>
      </rPr>
      <t>C</t>
    </r>
  </si>
  <si>
    <r>
      <t>F</t>
    </r>
    <r>
      <rPr>
        <vertAlign val="subscript"/>
        <sz val="8"/>
        <color theme="1"/>
        <rFont val="Calibri"/>
        <family val="2"/>
        <scheme val="minor"/>
      </rPr>
      <t>CIRC</t>
    </r>
    <r>
      <rPr>
        <sz val="8"/>
        <color theme="1"/>
        <rFont val="Calibri"/>
        <family val="2"/>
        <scheme val="minor"/>
      </rPr>
      <t xml:space="preserve"> * L</t>
    </r>
  </si>
  <si>
    <r>
      <t>Long. Pressure Stress, S</t>
    </r>
    <r>
      <rPr>
        <vertAlign val="subscript"/>
        <sz val="8"/>
        <color theme="1"/>
        <rFont val="Calibri"/>
        <family val="2"/>
        <scheme val="minor"/>
      </rPr>
      <t>LP</t>
    </r>
  </si>
  <si>
    <r>
      <t>Circum. Pressure Stress, S</t>
    </r>
    <r>
      <rPr>
        <vertAlign val="subscript"/>
        <sz val="8"/>
        <color theme="1"/>
        <rFont val="Calibri"/>
        <family val="2"/>
        <scheme val="minor"/>
      </rPr>
      <t>CP</t>
    </r>
  </si>
  <si>
    <r>
      <t>Attachment Area, A</t>
    </r>
    <r>
      <rPr>
        <vertAlign val="subscript"/>
        <sz val="8"/>
        <color theme="1"/>
        <rFont val="Calibri"/>
        <family val="2"/>
        <scheme val="minor"/>
      </rPr>
      <t>A</t>
    </r>
  </si>
  <si>
    <r>
      <t>Attachment Circumference, C</t>
    </r>
    <r>
      <rPr>
        <vertAlign val="subscript"/>
        <sz val="8"/>
        <color theme="1"/>
        <rFont val="Calibri"/>
        <family val="2"/>
        <scheme val="minor"/>
      </rPr>
      <t>A</t>
    </r>
  </si>
  <si>
    <r>
      <t>M</t>
    </r>
    <r>
      <rPr>
        <vertAlign val="subscript"/>
        <sz val="8"/>
        <color theme="1"/>
        <rFont val="Calibri"/>
        <family val="2"/>
        <scheme val="minor"/>
      </rPr>
      <t>L</t>
    </r>
    <r>
      <rPr>
        <sz val="8"/>
        <color theme="1"/>
        <rFont val="Calibri"/>
        <family val="2"/>
        <scheme val="minor"/>
      </rPr>
      <t>/A</t>
    </r>
    <r>
      <rPr>
        <vertAlign val="subscript"/>
        <sz val="8"/>
        <color theme="1"/>
        <rFont val="Calibri"/>
        <family val="2"/>
        <scheme val="minor"/>
      </rPr>
      <t>A</t>
    </r>
  </si>
  <si>
    <r>
      <t>M</t>
    </r>
    <r>
      <rPr>
        <vertAlign val="subscript"/>
        <sz val="8"/>
        <color theme="1"/>
        <rFont val="Calibri"/>
        <family val="2"/>
        <scheme val="minor"/>
      </rPr>
      <t>C</t>
    </r>
    <r>
      <rPr>
        <sz val="8"/>
        <color theme="1"/>
        <rFont val="Calibri"/>
        <family val="2"/>
        <scheme val="minor"/>
      </rPr>
      <t>/A</t>
    </r>
    <r>
      <rPr>
        <vertAlign val="subscript"/>
        <sz val="8"/>
        <color theme="1"/>
        <rFont val="Calibri"/>
        <family val="2"/>
        <scheme val="minor"/>
      </rPr>
      <t>A</t>
    </r>
  </si>
  <si>
    <r>
      <t>F</t>
    </r>
    <r>
      <rPr>
        <vertAlign val="subscript"/>
        <sz val="8"/>
        <color theme="1"/>
        <rFont val="Calibri"/>
        <family val="2"/>
        <scheme val="minor"/>
      </rPr>
      <t>AXIAL</t>
    </r>
    <r>
      <rPr>
        <sz val="8"/>
        <color theme="1"/>
        <rFont val="Calibri"/>
        <family val="2"/>
        <scheme val="minor"/>
      </rPr>
      <t>/C</t>
    </r>
    <r>
      <rPr>
        <vertAlign val="subscript"/>
        <sz val="8"/>
        <color theme="1"/>
        <rFont val="Calibri"/>
        <family val="2"/>
        <scheme val="minor"/>
      </rPr>
      <t>A</t>
    </r>
  </si>
  <si>
    <r>
      <t>Axial Pipe Stress, S</t>
    </r>
    <r>
      <rPr>
        <vertAlign val="subscript"/>
        <sz val="8"/>
        <color theme="1"/>
        <rFont val="Calibri"/>
        <family val="2"/>
        <scheme val="minor"/>
      </rPr>
      <t>A</t>
    </r>
  </si>
  <si>
    <r>
      <t>S</t>
    </r>
    <r>
      <rPr>
        <vertAlign val="subscript"/>
        <sz val="8"/>
        <color theme="1"/>
        <rFont val="Calibri"/>
        <family val="2"/>
        <scheme val="minor"/>
      </rPr>
      <t>L</t>
    </r>
    <r>
      <rPr>
        <sz val="8"/>
        <color theme="1"/>
        <rFont val="Calibri"/>
        <family val="2"/>
        <scheme val="minor"/>
      </rPr>
      <t xml:space="preserve"> + S</t>
    </r>
    <r>
      <rPr>
        <vertAlign val="subscript"/>
        <sz val="8"/>
        <color theme="1"/>
        <rFont val="Calibri"/>
        <family val="2"/>
        <scheme val="minor"/>
      </rPr>
      <t>A</t>
    </r>
    <r>
      <rPr>
        <sz val="8"/>
        <color theme="1"/>
        <rFont val="Calibri"/>
        <family val="2"/>
        <scheme val="minor"/>
      </rPr>
      <t xml:space="preserve"> + S</t>
    </r>
    <r>
      <rPr>
        <vertAlign val="subscript"/>
        <sz val="8"/>
        <color theme="1"/>
        <rFont val="Calibri"/>
        <family val="2"/>
        <scheme val="minor"/>
      </rPr>
      <t>LP</t>
    </r>
  </si>
  <si>
    <r>
      <t>S</t>
    </r>
    <r>
      <rPr>
        <vertAlign val="subscript"/>
        <sz val="8"/>
        <color theme="1"/>
        <rFont val="Calibri"/>
        <family val="2"/>
        <scheme val="minor"/>
      </rPr>
      <t>C</t>
    </r>
    <r>
      <rPr>
        <sz val="8"/>
        <color theme="1"/>
        <rFont val="Calibri"/>
        <family val="2"/>
        <scheme val="minor"/>
      </rPr>
      <t xml:space="preserve"> + S</t>
    </r>
    <r>
      <rPr>
        <vertAlign val="subscript"/>
        <sz val="8"/>
        <color theme="1"/>
        <rFont val="Calibri"/>
        <family val="2"/>
        <scheme val="minor"/>
      </rPr>
      <t>A</t>
    </r>
    <r>
      <rPr>
        <sz val="8"/>
        <color theme="1"/>
        <rFont val="Calibri"/>
        <family val="2"/>
        <scheme val="minor"/>
      </rPr>
      <t xml:space="preserve"> + S</t>
    </r>
    <r>
      <rPr>
        <vertAlign val="subscript"/>
        <sz val="8"/>
        <color theme="1"/>
        <rFont val="Calibri"/>
        <family val="2"/>
        <scheme val="minor"/>
      </rPr>
      <t>CP</t>
    </r>
  </si>
  <si>
    <t>Pipe Data</t>
  </si>
  <si>
    <t>Trunnion Data</t>
  </si>
  <si>
    <r>
      <t>Mill Tolerance, MT</t>
    </r>
    <r>
      <rPr>
        <vertAlign val="subscript"/>
        <sz val="8"/>
        <color theme="1"/>
        <rFont val="Calibri"/>
        <family val="2"/>
        <scheme val="minor"/>
      </rPr>
      <t>p</t>
    </r>
  </si>
  <si>
    <t>Line Data</t>
  </si>
  <si>
    <t>Other</t>
  </si>
  <si>
    <t>Re-Pad Width, W</t>
  </si>
  <si>
    <t>r + W</t>
  </si>
  <si>
    <t>R·sinˉ¹(r/R) + W</t>
  </si>
  <si>
    <r>
      <t>(R</t>
    </r>
    <r>
      <rPr>
        <vertAlign val="subscript"/>
        <sz val="11"/>
        <color theme="1"/>
        <rFont val="Calibri"/>
        <family val="2"/>
        <scheme val="minor"/>
      </rPr>
      <t>B</t>
    </r>
    <r>
      <rPr>
        <sz val="11"/>
        <color theme="1"/>
        <rFont val="Calibri"/>
        <family val="2"/>
        <scheme val="minor"/>
      </rPr>
      <t xml:space="preserve"> + R)·{cosˉ¹[(R</t>
    </r>
    <r>
      <rPr>
        <vertAlign val="subscript"/>
        <sz val="11"/>
        <color theme="1"/>
        <rFont val="Calibri"/>
        <family val="2"/>
        <scheme val="minor"/>
      </rPr>
      <t>B</t>
    </r>
    <r>
      <rPr>
        <sz val="11"/>
        <color theme="1"/>
        <rFont val="Calibri"/>
        <family val="2"/>
        <scheme val="minor"/>
      </rPr>
      <t xml:space="preserve"> + O - r)/(R</t>
    </r>
    <r>
      <rPr>
        <vertAlign val="subscript"/>
        <sz val="11"/>
        <color theme="1"/>
        <rFont val="Calibri"/>
        <family val="2"/>
        <scheme val="minor"/>
      </rPr>
      <t>B</t>
    </r>
    <r>
      <rPr>
        <sz val="11"/>
        <color theme="1"/>
        <rFont val="Calibri"/>
        <family val="2"/>
        <scheme val="minor"/>
      </rPr>
      <t xml:space="preserve"> + R)] - cosˉ¹[(R</t>
    </r>
    <r>
      <rPr>
        <vertAlign val="subscript"/>
        <sz val="11"/>
        <color theme="1"/>
        <rFont val="Calibri"/>
        <family val="2"/>
        <scheme val="minor"/>
      </rPr>
      <t>B</t>
    </r>
    <r>
      <rPr>
        <sz val="11"/>
        <color theme="1"/>
        <rFont val="Calibri"/>
        <family val="2"/>
        <scheme val="minor"/>
      </rPr>
      <t xml:space="preserve"> + O + r)/(R</t>
    </r>
    <r>
      <rPr>
        <vertAlign val="subscript"/>
        <sz val="11"/>
        <color theme="1"/>
        <rFont val="Calibri"/>
        <family val="2"/>
        <scheme val="minor"/>
      </rPr>
      <t>B</t>
    </r>
    <r>
      <rPr>
        <sz val="11"/>
        <color theme="1"/>
        <rFont val="Calibri"/>
        <family val="2"/>
        <scheme val="minor"/>
      </rPr>
      <t xml:space="preserve"> + R)]}/2</t>
    </r>
  </si>
  <si>
    <t>Ellipse Minor Axes Radius, a</t>
  </si>
  <si>
    <t>Ellipse Major Axes Radius, b</t>
  </si>
  <si>
    <t>Non-Ellipse</t>
  </si>
  <si>
    <t>Nm</t>
  </si>
  <si>
    <r>
      <t>Long. Pipe Stress, S</t>
    </r>
    <r>
      <rPr>
        <vertAlign val="subscript"/>
        <sz val="8"/>
        <color theme="1"/>
        <rFont val="Calibri"/>
        <family val="2"/>
        <scheme val="minor"/>
      </rPr>
      <t>L</t>
    </r>
  </si>
  <si>
    <r>
      <t>Circum. Pipe Stress, S</t>
    </r>
    <r>
      <rPr>
        <vertAlign val="subscript"/>
        <sz val="8"/>
        <color theme="1"/>
        <rFont val="Calibri"/>
        <family val="2"/>
        <scheme val="minor"/>
      </rPr>
      <t>C</t>
    </r>
  </si>
  <si>
    <r>
      <t>1.17*F</t>
    </r>
    <r>
      <rPr>
        <vertAlign val="subscript"/>
        <sz val="7.5"/>
        <color theme="1"/>
        <rFont val="Calibri"/>
        <family val="2"/>
        <scheme val="minor"/>
      </rPr>
      <t>L</t>
    </r>
    <r>
      <rPr>
        <sz val="7.5"/>
        <color theme="1"/>
        <rFont val="Calibri"/>
        <family val="2"/>
        <scheme val="minor"/>
      </rPr>
      <t>*R</t>
    </r>
    <r>
      <rPr>
        <vertAlign val="superscript"/>
        <sz val="7.5"/>
        <color theme="1"/>
        <rFont val="Calibri"/>
        <family val="2"/>
        <scheme val="minor"/>
      </rPr>
      <t>0.5</t>
    </r>
    <r>
      <rPr>
        <sz val="7.5"/>
        <color theme="1"/>
        <rFont val="Calibri"/>
        <family val="2"/>
        <scheme val="minor"/>
      </rPr>
      <t>/t</t>
    </r>
    <r>
      <rPr>
        <vertAlign val="superscript"/>
        <sz val="7.5"/>
        <color theme="1"/>
        <rFont val="Calibri"/>
        <family val="2"/>
        <scheme val="minor"/>
      </rPr>
      <t>1.5</t>
    </r>
  </si>
  <si>
    <r>
      <t>1.17*2F</t>
    </r>
    <r>
      <rPr>
        <vertAlign val="subscript"/>
        <sz val="7.5"/>
        <color theme="1"/>
        <rFont val="Calibri"/>
        <family val="2"/>
        <scheme val="minor"/>
      </rPr>
      <t>C</t>
    </r>
    <r>
      <rPr>
        <sz val="7.5"/>
        <color theme="1"/>
        <rFont val="Calibri"/>
        <family val="2"/>
        <scheme val="minor"/>
      </rPr>
      <t>*R</t>
    </r>
    <r>
      <rPr>
        <vertAlign val="superscript"/>
        <sz val="7.5"/>
        <color theme="1"/>
        <rFont val="Calibri"/>
        <family val="2"/>
        <scheme val="minor"/>
      </rPr>
      <t>0.5</t>
    </r>
    <r>
      <rPr>
        <sz val="7.5"/>
        <color theme="1"/>
        <rFont val="Calibri"/>
        <family val="2"/>
        <scheme val="minor"/>
      </rPr>
      <t>/t</t>
    </r>
    <r>
      <rPr>
        <vertAlign val="superscript"/>
        <sz val="7.5"/>
        <color theme="1"/>
        <rFont val="Calibri"/>
        <family val="2"/>
        <scheme val="minor"/>
      </rPr>
      <t>1.5</t>
    </r>
  </si>
  <si>
    <r>
      <t>1.17*1.5F</t>
    </r>
    <r>
      <rPr>
        <vertAlign val="subscript"/>
        <sz val="7.5"/>
        <color theme="1"/>
        <rFont val="Calibri"/>
        <family val="2"/>
        <scheme val="minor"/>
      </rPr>
      <t>A</t>
    </r>
    <r>
      <rPr>
        <sz val="7.5"/>
        <color theme="1"/>
        <rFont val="Calibri"/>
        <family val="2"/>
        <scheme val="minor"/>
      </rPr>
      <t>*R</t>
    </r>
    <r>
      <rPr>
        <vertAlign val="superscript"/>
        <sz val="7.5"/>
        <color theme="1"/>
        <rFont val="Calibri"/>
        <family val="2"/>
        <scheme val="minor"/>
      </rPr>
      <t>0.5</t>
    </r>
    <r>
      <rPr>
        <sz val="7.5"/>
        <color theme="1"/>
        <rFont val="Calibri"/>
        <family val="2"/>
        <scheme val="minor"/>
      </rPr>
      <t>/t</t>
    </r>
    <r>
      <rPr>
        <vertAlign val="superscript"/>
        <sz val="7.5"/>
        <color theme="1"/>
        <rFont val="Calibri"/>
        <family val="2"/>
        <scheme val="minor"/>
      </rPr>
      <t>1.5</t>
    </r>
  </si>
  <si>
    <r>
      <t>Mill Tolerance, MT</t>
    </r>
    <r>
      <rPr>
        <vertAlign val="subscript"/>
        <sz val="8"/>
        <color theme="1"/>
        <rFont val="Calibri"/>
        <family val="2"/>
        <scheme val="minor"/>
      </rPr>
      <t>r</t>
    </r>
  </si>
  <si>
    <t>This calculation method uses the formula 3.26 from 'Design of Piping Systems' by M.W. Kellogg Company.</t>
  </si>
  <si>
    <t>ELEMENT</t>
  </si>
  <si>
    <t>AXIAL</t>
  </si>
  <si>
    <t>SHEAR</t>
  </si>
  <si>
    <t>BENDING</t>
  </si>
  <si>
    <t>TORSION</t>
  </si>
  <si>
    <t>-----------Forces(N.</t>
  </si>
  <si>
    <t>)-----------</t>
  </si>
  <si>
    <t>---------Moments(N.m.</t>
  </si>
  <si>
    <t>)------</t>
  </si>
  <si>
    <t>NODES:</t>
  </si>
  <si>
    <t>FORCE</t>
  </si>
  <si>
    <t>MOMENT</t>
  </si>
  <si>
    <t>FX</t>
  </si>
  <si>
    <t>FY</t>
  </si>
  <si>
    <t>FZ</t>
  </si>
  <si>
    <t>MX</t>
  </si>
  <si>
    <t>MY</t>
  </si>
  <si>
    <t>MZ</t>
  </si>
  <si>
    <t>CASE</t>
  </si>
  <si>
    <t>Node</t>
  </si>
  <si>
    <t>NPS</t>
  </si>
  <si>
    <t>Axial Axis</t>
  </si>
  <si>
    <t>Long. Axis</t>
  </si>
  <si>
    <t>Circum. Axis</t>
  </si>
  <si>
    <t>Node No.</t>
  </si>
  <si>
    <t>Calculation No.</t>
  </si>
  <si>
    <t>Allowable Stress</t>
  </si>
  <si>
    <t>FPF1-HC-007</t>
  </si>
  <si>
    <r>
      <t>Long. Linear Load F</t>
    </r>
    <r>
      <rPr>
        <vertAlign val="subscript"/>
        <sz val="8"/>
        <color theme="1"/>
        <rFont val="Calibri"/>
        <family val="2"/>
        <scheme val="minor"/>
      </rPr>
      <t>L</t>
    </r>
  </si>
  <si>
    <r>
      <t>Circum. Linear Load F</t>
    </r>
    <r>
      <rPr>
        <vertAlign val="subscript"/>
        <sz val="8"/>
        <color theme="1"/>
        <rFont val="Calibri"/>
        <family val="2"/>
        <scheme val="minor"/>
      </rPr>
      <t>C</t>
    </r>
  </si>
  <si>
    <r>
      <t>Axial Linear Load F</t>
    </r>
    <r>
      <rPr>
        <vertAlign val="subscript"/>
        <sz val="8"/>
        <color theme="1"/>
        <rFont val="Calibri"/>
        <family val="2"/>
        <scheme val="minor"/>
      </rPr>
      <t>A</t>
    </r>
  </si>
  <si>
    <t>Design : Operating Pressure, P</t>
  </si>
  <si>
    <t>Load Case Type</t>
  </si>
  <si>
    <t>Load Cases</t>
  </si>
  <si>
    <r>
      <t>&lt;=   S</t>
    </r>
    <r>
      <rPr>
        <vertAlign val="subscript"/>
        <sz val="8"/>
        <color theme="1"/>
        <rFont val="Calibri"/>
        <family val="2"/>
        <scheme val="minor"/>
      </rPr>
      <t>h</t>
    </r>
    <r>
      <rPr>
        <sz val="8"/>
        <color theme="1"/>
        <rFont val="Calibri"/>
        <family val="2"/>
        <scheme val="minor"/>
      </rPr>
      <t xml:space="preserve"> : S</t>
    </r>
    <r>
      <rPr>
        <vertAlign val="subscript"/>
        <sz val="8"/>
        <color theme="1"/>
        <rFont val="Calibri"/>
        <family val="2"/>
        <scheme val="minor"/>
      </rPr>
      <t>lo</t>
    </r>
    <r>
      <rPr>
        <sz val="8"/>
        <color theme="1"/>
        <rFont val="Calibri"/>
        <family val="2"/>
        <scheme val="minor"/>
      </rPr>
      <t xml:space="preserve"> : S</t>
    </r>
    <r>
      <rPr>
        <vertAlign val="subscript"/>
        <sz val="8"/>
        <color theme="1"/>
        <rFont val="Calibri"/>
        <family val="2"/>
        <scheme val="minor"/>
      </rPr>
      <t>y</t>
    </r>
  </si>
  <si>
    <r>
      <t>&lt;=   1.5S</t>
    </r>
    <r>
      <rPr>
        <vertAlign val="subscript"/>
        <sz val="8"/>
        <color theme="1"/>
        <rFont val="Calibri"/>
        <family val="2"/>
        <scheme val="minor"/>
      </rPr>
      <t>h</t>
    </r>
    <r>
      <rPr>
        <sz val="8"/>
        <color theme="1"/>
        <rFont val="Calibri"/>
        <family val="2"/>
        <scheme val="minor"/>
      </rPr>
      <t xml:space="preserve"> : S</t>
    </r>
    <r>
      <rPr>
        <vertAlign val="subscript"/>
        <sz val="8"/>
        <color theme="1"/>
        <rFont val="Calibri"/>
        <family val="2"/>
        <scheme val="minor"/>
      </rPr>
      <t>lo</t>
    </r>
    <r>
      <rPr>
        <sz val="8"/>
        <color theme="1"/>
        <rFont val="Calibri"/>
        <family val="2"/>
        <scheme val="minor"/>
      </rPr>
      <t xml:space="preserve"> : 1.2S</t>
    </r>
    <r>
      <rPr>
        <vertAlign val="subscript"/>
        <sz val="8"/>
        <color theme="1"/>
        <rFont val="Calibri"/>
        <family val="2"/>
        <scheme val="minor"/>
      </rPr>
      <t>y</t>
    </r>
  </si>
  <si>
    <t>FPF1-000-REV1</t>
  </si>
</sst>
</file>

<file path=xl/styles.xml><?xml version="1.0" encoding="utf-8"?>
<styleSheet xmlns="http://schemas.openxmlformats.org/spreadsheetml/2006/main" xmlns:mc="http://schemas.openxmlformats.org/markup-compatibility/2006" xmlns:x14ac="http://schemas.microsoft.com/office/spreadsheetml/2009/9/ac" mc:Ignorable="x14ac">
  <numFmts count="26">
    <numFmt numFmtId="6" formatCode="&quot;£&quot;#,##0;[Red]\-&quot;£&quot;#,##0"/>
    <numFmt numFmtId="8" formatCode="&quot;£&quot;#,##0.00;[Red]\-&quot;£&quot;#,##0.00"/>
    <numFmt numFmtId="41" formatCode="_-* #,##0_-;\-* #,##0_-;_-* &quot;-&quot;_-;_-@_-"/>
    <numFmt numFmtId="43" formatCode="_-* #,##0.00_-;\-* #,##0.00_-;_-* &quot;-&quot;??_-;_-@_-"/>
    <numFmt numFmtId="164" formatCode="&quot;$&quot;#,##0_);[Red]\(&quot;$&quot;#,##0\)"/>
    <numFmt numFmtId="165" formatCode="&quot;$&quot;#,##0.00_);[Red]\(&quot;$&quot;#,##0.00\)"/>
    <numFmt numFmtId="166" formatCode="_(&quot;$&quot;* #,##0_);_(&quot;$&quot;* \(#,##0\);_(&quot;$&quot;* &quot;-&quot;_);_(@_)"/>
    <numFmt numFmtId="167" formatCode="#,##0.00_);\(#,##0.00\);&quot;- &quot;"/>
    <numFmt numFmtId="168" formatCode="&quot;$&quot;#,##0.0000_);\(&quot;$&quot;#,##0.0000\)"/>
    <numFmt numFmtId="169" formatCode="&quot;$&quot;\ \ \ \ \ #,##0_);\(&quot;$&quot;\ \ \ \ #,##0\)"/>
    <numFmt numFmtId="170" formatCode="_(&quot;$&quot;* #,##0.00_);_(&quot;$&quot;* \(#,##0.00\);_(&quot;$&quot;* &quot;-&quot;_);_(@_)"/>
    <numFmt numFmtId="171" formatCode="#,##0.0_);\(#,##0.0\)"/>
    <numFmt numFmtId="172" formatCode="_-* #,##0\ _F_-;\-* #,##0\ _F_-;_-* &quot;-&quot;\ _F_-;_-@_-"/>
    <numFmt numFmtId="173" formatCode="_-* #,##0.00\ _F_-;\-* #,##0.00\ _F_-;_-* &quot;-&quot;??\ _F_-;_-@_-"/>
    <numFmt numFmtId="174" formatCode="_-* #,##0\ &quot;F&quot;_-;\-* #,##0\ &quot;F&quot;_-;_-* &quot;-&quot;\ &quot;F&quot;_-;_-@_-"/>
    <numFmt numFmtId="175" formatCode="_-* #,##0.00\ &quot;F&quot;_-;\-* #,##0.00\ &quot;F&quot;_-;_-* &quot;-&quot;??\ &quot;F&quot;_-;_-@_-"/>
    <numFmt numFmtId="176" formatCode="0.0"/>
    <numFmt numFmtId="177" formatCode="\ \ \ &quot;$&quot;\ \ \ \ \ \ \ #,##0_);\(&quot;$&quot;#,##0\)"/>
    <numFmt numFmtId="178" formatCode="&quot;$&quot;#,##0;\-&quot;$&quot;#,##0"/>
    <numFmt numFmtId="179" formatCode="mm/dd/yy"/>
    <numFmt numFmtId="180" formatCode="??,??0.??"/>
    <numFmt numFmtId="181" formatCode="[$-409]d\-mmm\-yy;@"/>
    <numFmt numFmtId="182" formatCode="0&quot;''&quot;;@&quot;''&quot;"/>
    <numFmt numFmtId="183" formatCode="0&quot;''&quot;"/>
    <numFmt numFmtId="184" formatCode="0&quot;#&quot;"/>
    <numFmt numFmtId="185" formatCode="0&quot;°C&quot;"/>
  </numFmts>
  <fonts count="70">
    <font>
      <sz val="11"/>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11"/>
      <color theme="1"/>
      <name val="Calibri"/>
      <family val="2"/>
      <scheme val="minor"/>
    </font>
    <font>
      <b/>
      <sz val="11"/>
      <color theme="1"/>
      <name val="Calibri"/>
      <family val="2"/>
      <scheme val="minor"/>
    </font>
    <font>
      <sz val="10"/>
      <name val="Arial"/>
      <family val="2"/>
    </font>
    <font>
      <sz val="10"/>
      <name val="MS Sans Serif"/>
      <family val="2"/>
    </font>
    <font>
      <sz val="7"/>
      <name val="Small Fonts"/>
      <family val="2"/>
    </font>
    <font>
      <sz val="14"/>
      <color indexed="8"/>
      <name val="Arial Narrow"/>
      <family val="2"/>
    </font>
    <font>
      <sz val="10"/>
      <color indexed="18"/>
      <name val="Arial"/>
      <family val="2"/>
    </font>
    <font>
      <b/>
      <sz val="14"/>
      <color indexed="8"/>
      <name val="Arial"/>
      <family val="2"/>
    </font>
    <font>
      <sz val="10"/>
      <name val="Times New Roman"/>
      <family val="1"/>
    </font>
    <font>
      <b/>
      <sz val="18"/>
      <color indexed="12"/>
      <name val="Arial Narrow"/>
      <family val="2"/>
    </font>
    <font>
      <sz val="16"/>
      <color indexed="12"/>
      <name val="Arial Narrow"/>
      <family val="2"/>
    </font>
    <font>
      <b/>
      <sz val="14"/>
      <color indexed="8"/>
      <name val="Arial Narrow"/>
      <family val="2"/>
    </font>
    <font>
      <b/>
      <sz val="12"/>
      <name val="Arial"/>
      <family val="2"/>
    </font>
    <font>
      <b/>
      <sz val="16"/>
      <name val="Arial"/>
      <family val="2"/>
    </font>
    <font>
      <b/>
      <sz val="20"/>
      <name val="Arial"/>
      <family val="2"/>
    </font>
    <font>
      <b/>
      <sz val="16"/>
      <color indexed="8"/>
      <name val="Arial Narrow"/>
      <family val="2"/>
    </font>
    <font>
      <b/>
      <sz val="12"/>
      <color indexed="18"/>
      <name val="Arial"/>
      <family val="2"/>
    </font>
    <font>
      <sz val="9"/>
      <name val="Arial"/>
      <family val="2"/>
    </font>
    <font>
      <sz val="16"/>
      <color indexed="8"/>
      <name val="Arial Narrow"/>
      <family val="2"/>
    </font>
    <font>
      <sz val="14"/>
      <name val="Arial"/>
      <family val="2"/>
    </font>
    <font>
      <sz val="12"/>
      <color indexed="18"/>
      <name val="Arial"/>
      <family val="2"/>
    </font>
    <font>
      <sz val="8"/>
      <name val="Arial"/>
      <family val="2"/>
    </font>
    <font>
      <b/>
      <sz val="10"/>
      <name val="Arial"/>
      <family val="2"/>
    </font>
    <font>
      <sz val="10"/>
      <color indexed="8"/>
      <name val="Times New Roman"/>
      <family val="1"/>
    </font>
    <font>
      <sz val="8"/>
      <name val="Times New Roman"/>
      <family val="1"/>
    </font>
    <font>
      <b/>
      <sz val="14"/>
      <name val="Arial"/>
      <family val="2"/>
    </font>
    <font>
      <sz val="10"/>
      <name val="MS Serif"/>
      <family val="1"/>
    </font>
    <font>
      <sz val="10"/>
      <name val="Courier"/>
      <family val="3"/>
    </font>
    <font>
      <b/>
      <sz val="10"/>
      <name val="Times New Roman"/>
      <family val="1"/>
    </font>
    <font>
      <sz val="8"/>
      <color indexed="18"/>
      <name val="Arial"/>
      <family val="2"/>
    </font>
    <font>
      <b/>
      <sz val="10"/>
      <color indexed="18"/>
      <name val="Arial"/>
      <family val="2"/>
    </font>
    <font>
      <sz val="10"/>
      <color indexed="16"/>
      <name val="MS Serif"/>
      <family val="1"/>
    </font>
    <font>
      <sz val="12"/>
      <name val="Helv"/>
    </font>
    <font>
      <sz val="12"/>
      <color indexed="9"/>
      <name val="Helv"/>
    </font>
    <font>
      <b/>
      <sz val="14"/>
      <color indexed="17"/>
      <name val="Arial"/>
      <family val="2"/>
    </font>
    <font>
      <sz val="18"/>
      <color indexed="14"/>
      <name val="Arial"/>
      <family val="2"/>
    </font>
    <font>
      <sz val="10"/>
      <name val="Tms Rmn"/>
    </font>
    <font>
      <sz val="8"/>
      <name val="Helv"/>
    </font>
    <font>
      <sz val="8"/>
      <name val="Arial MT"/>
    </font>
    <font>
      <b/>
      <sz val="8"/>
      <color indexed="8"/>
      <name val="Helv"/>
    </font>
    <font>
      <b/>
      <sz val="16"/>
      <color indexed="17"/>
      <name val="Arial"/>
      <family val="2"/>
    </font>
    <font>
      <sz val="10"/>
      <color theme="1"/>
      <name val="Calibri"/>
      <family val="2"/>
      <scheme val="minor"/>
    </font>
    <font>
      <sz val="10"/>
      <name val="Calibri"/>
      <family val="2"/>
      <scheme val="minor"/>
    </font>
    <font>
      <sz val="11"/>
      <color theme="1"/>
      <name val="Calibri"/>
      <family val="2"/>
    </font>
    <font>
      <vertAlign val="subscript"/>
      <sz val="11"/>
      <color theme="1"/>
      <name val="Calibri"/>
      <family val="2"/>
    </font>
    <font>
      <sz val="11"/>
      <color rgb="FF000000"/>
      <name val="Calibri"/>
      <family val="2"/>
      <scheme val="minor"/>
    </font>
    <font>
      <vertAlign val="subscript"/>
      <sz val="11"/>
      <color rgb="FF000000"/>
      <name val="Calibri"/>
      <family val="2"/>
      <scheme val="minor"/>
    </font>
    <font>
      <u/>
      <sz val="11"/>
      <color theme="1"/>
      <name val="Calibri"/>
      <family val="2"/>
      <scheme val="minor"/>
    </font>
    <font>
      <sz val="8"/>
      <color theme="1"/>
      <name val="Calibri"/>
      <family val="2"/>
      <scheme val="minor"/>
    </font>
    <font>
      <vertAlign val="subscript"/>
      <sz val="11"/>
      <color theme="1"/>
      <name val="Calibri"/>
      <family val="2"/>
      <scheme val="minor"/>
    </font>
    <font>
      <b/>
      <i/>
      <sz val="8"/>
      <name val="Arial"/>
      <family val="2"/>
    </font>
    <font>
      <sz val="12"/>
      <name val="Arial"/>
      <family val="2"/>
    </font>
    <font>
      <b/>
      <i/>
      <sz val="10"/>
      <name val="Arial"/>
      <family val="2"/>
    </font>
    <font>
      <sz val="10"/>
      <name val="Calibri"/>
      <family val="2"/>
    </font>
    <font>
      <vertAlign val="subscript"/>
      <sz val="8"/>
      <color theme="1"/>
      <name val="Calibri"/>
      <family val="2"/>
      <scheme val="minor"/>
    </font>
    <font>
      <b/>
      <u/>
      <sz val="9"/>
      <color theme="1"/>
      <name val="Calibri"/>
      <family val="2"/>
      <scheme val="minor"/>
    </font>
    <font>
      <b/>
      <sz val="8"/>
      <color theme="1"/>
      <name val="Calibri"/>
      <family val="2"/>
      <scheme val="minor"/>
    </font>
    <font>
      <sz val="7.5"/>
      <color theme="1"/>
      <name val="Calibri"/>
      <family val="2"/>
      <scheme val="minor"/>
    </font>
    <font>
      <vertAlign val="subscript"/>
      <sz val="7.5"/>
      <color theme="1"/>
      <name val="Calibri"/>
      <family val="2"/>
      <scheme val="minor"/>
    </font>
    <font>
      <vertAlign val="superscript"/>
      <sz val="7.5"/>
      <color theme="1"/>
      <name val="Calibri"/>
      <family val="2"/>
      <scheme val="minor"/>
    </font>
    <font>
      <sz val="8"/>
      <name val="Arial"/>
    </font>
    <font>
      <sz val="10"/>
      <name val="Arial"/>
    </font>
    <font>
      <sz val="8"/>
      <name val="Calibri"/>
      <family val="2"/>
      <scheme val="minor"/>
    </font>
  </fonts>
  <fills count="10">
    <fill>
      <patternFill patternType="none"/>
    </fill>
    <fill>
      <patternFill patternType="gray125"/>
    </fill>
    <fill>
      <patternFill patternType="solid">
        <fgColor indexed="43"/>
        <bgColor indexed="64"/>
      </patternFill>
    </fill>
    <fill>
      <patternFill patternType="solid">
        <fgColor indexed="26"/>
        <bgColor indexed="64"/>
      </patternFill>
    </fill>
    <fill>
      <patternFill patternType="solid">
        <fgColor indexed="22"/>
        <bgColor indexed="64"/>
      </patternFill>
    </fill>
    <fill>
      <patternFill patternType="solid">
        <fgColor indexed="15"/>
      </patternFill>
    </fill>
    <fill>
      <patternFill patternType="solid">
        <fgColor indexed="12"/>
      </patternFill>
    </fill>
    <fill>
      <patternFill patternType="solid">
        <fgColor indexed="9"/>
        <bgColor indexed="64"/>
      </patternFill>
    </fill>
    <fill>
      <patternFill patternType="solid">
        <fgColor rgb="FFFFFFCC"/>
        <bgColor indexed="64"/>
      </patternFill>
    </fill>
    <fill>
      <patternFill patternType="solid">
        <fgColor indexed="41"/>
        <bgColor indexed="64"/>
      </patternFill>
    </fill>
  </fills>
  <borders count="124">
    <border>
      <left/>
      <right/>
      <top/>
      <bottom/>
      <diagonal/>
    </border>
    <border>
      <left style="thin">
        <color indexed="64"/>
      </left>
      <right/>
      <top/>
      <bottom/>
      <diagonal/>
    </border>
    <border>
      <left/>
      <right/>
      <top/>
      <bottom style="hair">
        <color indexed="64"/>
      </bottom>
      <diagonal/>
    </border>
    <border>
      <left style="thick">
        <color indexed="64"/>
      </left>
      <right style="thin">
        <color indexed="64"/>
      </right>
      <top/>
      <bottom/>
      <diagonal/>
    </border>
    <border>
      <left style="thick">
        <color indexed="64"/>
      </left>
      <right/>
      <top/>
      <bottom/>
      <diagonal/>
    </border>
    <border>
      <left style="thin">
        <color indexed="64"/>
      </left>
      <right/>
      <top/>
      <bottom style="thin">
        <color indexed="64"/>
      </bottom>
      <diagonal/>
    </border>
    <border>
      <left/>
      <right style="medium">
        <color indexed="64"/>
      </right>
      <top/>
      <bottom/>
      <diagonal/>
    </border>
    <border>
      <left style="thick">
        <color indexed="64"/>
      </left>
      <right style="thick">
        <color indexed="64"/>
      </right>
      <top style="thick">
        <color indexed="64"/>
      </top>
      <bottom/>
      <diagonal/>
    </border>
    <border>
      <left style="thick">
        <color indexed="64"/>
      </left>
      <right/>
      <top style="medium">
        <color indexed="64"/>
      </top>
      <bottom style="medium">
        <color indexed="64"/>
      </bottom>
      <diagonal/>
    </border>
    <border>
      <left style="thick">
        <color indexed="64"/>
      </left>
      <right style="thin">
        <color indexed="64"/>
      </right>
      <top/>
      <bottom style="thin">
        <color indexed="64"/>
      </bottom>
      <diagonal/>
    </border>
    <border>
      <left/>
      <right/>
      <top style="hair">
        <color indexed="64"/>
      </top>
      <bottom style="hair">
        <color indexed="64"/>
      </bottom>
      <diagonal/>
    </border>
    <border>
      <left style="thick">
        <color indexed="64"/>
      </left>
      <right/>
      <top style="thick">
        <color indexed="64"/>
      </top>
      <bottom style="double">
        <color indexed="64"/>
      </bottom>
      <diagonal/>
    </border>
    <border>
      <left/>
      <right/>
      <top style="thick">
        <color indexed="64"/>
      </top>
      <bottom style="double">
        <color indexed="64"/>
      </bottom>
      <diagonal/>
    </border>
    <border>
      <left/>
      <right/>
      <top style="medium">
        <color indexed="64"/>
      </top>
      <bottom style="medium">
        <color indexed="64"/>
      </bottom>
      <diagonal/>
    </border>
    <border>
      <left style="thick">
        <color indexed="64"/>
      </left>
      <right/>
      <top style="thick">
        <color indexed="64"/>
      </top>
      <bottom style="thin">
        <color indexed="64"/>
      </bottom>
      <diagonal/>
    </border>
    <border>
      <left style="medium">
        <color indexed="64"/>
      </left>
      <right style="thick">
        <color indexed="64"/>
      </right>
      <top/>
      <bottom style="thin">
        <color indexed="64"/>
      </bottom>
      <diagonal/>
    </border>
    <border>
      <left style="medium">
        <color indexed="64"/>
      </left>
      <right/>
      <top/>
      <bottom/>
      <diagonal/>
    </border>
    <border>
      <left/>
      <right/>
      <top style="thin">
        <color indexed="64"/>
      </top>
      <bottom style="thin">
        <color indexed="64"/>
      </bottom>
      <diagonal/>
    </border>
    <border>
      <left style="thin">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thick">
        <color indexed="8"/>
      </left>
      <right/>
      <top style="thick">
        <color indexed="8"/>
      </top>
      <bottom/>
      <diagonal/>
    </border>
    <border>
      <left/>
      <right/>
      <top/>
      <bottom style="double">
        <color indexed="8"/>
      </bottom>
      <diagonal/>
    </border>
    <border>
      <left style="thick">
        <color indexed="64"/>
      </left>
      <right/>
      <top style="hair">
        <color indexed="64"/>
      </top>
      <bottom style="hair">
        <color indexed="64"/>
      </bottom>
      <diagonal/>
    </border>
    <border>
      <left/>
      <right/>
      <top style="thick">
        <color indexed="64"/>
      </top>
      <bottom style="thin">
        <color indexed="64"/>
      </bottom>
      <diagonal/>
    </border>
    <border>
      <left style="thick">
        <color indexed="64"/>
      </left>
      <right/>
      <top style="double">
        <color indexed="64"/>
      </top>
      <bottom style="hair">
        <color indexed="64"/>
      </bottom>
      <diagonal/>
    </border>
    <border>
      <left/>
      <right/>
      <top style="thick">
        <color indexed="64"/>
      </top>
      <bottom style="hair">
        <color indexed="64"/>
      </bottom>
      <diagonal/>
    </border>
    <border>
      <left/>
      <right style="thin">
        <color indexed="64"/>
      </right>
      <top/>
      <bottom style="hair">
        <color indexed="64"/>
      </bottom>
      <diagonal/>
    </border>
    <border>
      <left/>
      <right style="thick">
        <color indexed="64"/>
      </right>
      <top/>
      <bottom style="hair">
        <color indexed="64"/>
      </bottom>
      <diagonal/>
    </border>
    <border>
      <left/>
      <right/>
      <top style="double">
        <color indexed="64"/>
      </top>
      <bottom style="hair">
        <color indexed="64"/>
      </bottom>
      <diagonal/>
    </border>
    <border>
      <left/>
      <right style="thick">
        <color indexed="64"/>
      </right>
      <top style="double">
        <color indexed="64"/>
      </top>
      <bottom style="hair">
        <color indexed="64"/>
      </bottom>
      <diagonal/>
    </border>
    <border>
      <left/>
      <right/>
      <top style="medium">
        <color indexed="64"/>
      </top>
      <bottom style="thin">
        <color auto="1"/>
      </bottom>
      <diagonal/>
    </border>
    <border>
      <left style="medium">
        <color auto="1"/>
      </left>
      <right/>
      <top style="medium">
        <color indexed="64"/>
      </top>
      <bottom style="thin">
        <color auto="1"/>
      </bottom>
      <diagonal/>
    </border>
    <border>
      <left/>
      <right style="medium">
        <color auto="1"/>
      </right>
      <top style="medium">
        <color indexed="64"/>
      </top>
      <bottom style="thin">
        <color auto="1"/>
      </bottom>
      <diagonal/>
    </border>
    <border>
      <left style="thin">
        <color auto="1"/>
      </left>
      <right/>
      <top style="medium">
        <color indexed="64"/>
      </top>
      <bottom style="thin">
        <color auto="1"/>
      </bottom>
      <diagonal/>
    </border>
    <border>
      <left/>
      <right style="thin">
        <color auto="1"/>
      </right>
      <top style="medium">
        <color indexed="64"/>
      </top>
      <bottom style="thin">
        <color auto="1"/>
      </bottom>
      <diagonal/>
    </border>
    <border>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double">
        <color indexed="64"/>
      </bottom>
      <diagonal/>
    </border>
    <border>
      <left style="medium">
        <color indexed="64"/>
      </left>
      <right style="double">
        <color indexed="64"/>
      </right>
      <top style="medium">
        <color indexed="64"/>
      </top>
      <bottom style="double">
        <color indexed="64"/>
      </bottom>
      <diagonal/>
    </border>
    <border>
      <left style="double">
        <color indexed="64"/>
      </left>
      <right style="thin">
        <color indexed="64"/>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double">
        <color indexed="64"/>
      </right>
      <top/>
      <bottom style="thin">
        <color indexed="64"/>
      </bottom>
      <diagonal/>
    </border>
    <border>
      <left style="double">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double">
        <color indexed="64"/>
      </right>
      <top/>
      <bottom/>
      <diagonal/>
    </border>
    <border>
      <left style="double">
        <color indexed="64"/>
      </left>
      <right style="thin">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double">
        <color indexed="64"/>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auto="1"/>
      </left>
      <right/>
      <top style="thin">
        <color auto="1"/>
      </top>
      <bottom style="hair">
        <color rgb="FF66FFFF"/>
      </bottom>
      <diagonal/>
    </border>
    <border>
      <left/>
      <right style="thin">
        <color auto="1"/>
      </right>
      <top style="thin">
        <color auto="1"/>
      </top>
      <bottom style="hair">
        <color rgb="FF66FFFF"/>
      </bottom>
      <diagonal/>
    </border>
    <border>
      <left style="medium">
        <color auto="1"/>
      </left>
      <right/>
      <top style="hair">
        <color rgb="FF66FFFF"/>
      </top>
      <bottom style="hair">
        <color rgb="FF66FFFF"/>
      </bottom>
      <diagonal/>
    </border>
    <border>
      <left/>
      <right style="thin">
        <color auto="1"/>
      </right>
      <top style="hair">
        <color rgb="FF66FFFF"/>
      </top>
      <bottom style="hair">
        <color rgb="FF66FFFF"/>
      </bottom>
      <diagonal/>
    </border>
    <border>
      <left style="medium">
        <color auto="1"/>
      </left>
      <right/>
      <top style="hair">
        <color rgb="FF66FFFF"/>
      </top>
      <bottom style="medium">
        <color auto="1"/>
      </bottom>
      <diagonal/>
    </border>
    <border>
      <left/>
      <right style="thin">
        <color auto="1"/>
      </right>
      <top style="hair">
        <color rgb="FF66FFFF"/>
      </top>
      <bottom style="medium">
        <color auto="1"/>
      </bottom>
      <diagonal/>
    </border>
    <border>
      <left style="thin">
        <color auto="1"/>
      </left>
      <right style="hair">
        <color rgb="FF66FFFF"/>
      </right>
      <top style="thin">
        <color auto="1"/>
      </top>
      <bottom style="hair">
        <color rgb="FF66FFFF"/>
      </bottom>
      <diagonal/>
    </border>
    <border>
      <left style="hair">
        <color rgb="FF66FFFF"/>
      </left>
      <right style="hair">
        <color rgb="FF66FFFF"/>
      </right>
      <top style="thin">
        <color auto="1"/>
      </top>
      <bottom style="hair">
        <color rgb="FF66FFFF"/>
      </bottom>
      <diagonal/>
    </border>
    <border>
      <left style="hair">
        <color rgb="FF66FFFF"/>
      </left>
      <right style="thin">
        <color auto="1"/>
      </right>
      <top style="thin">
        <color auto="1"/>
      </top>
      <bottom style="hair">
        <color rgb="FF66FFFF"/>
      </bottom>
      <diagonal/>
    </border>
    <border>
      <left style="thin">
        <color auto="1"/>
      </left>
      <right style="hair">
        <color rgb="FF66FFFF"/>
      </right>
      <top style="hair">
        <color rgb="FF66FFFF"/>
      </top>
      <bottom style="hair">
        <color rgb="FF66FFFF"/>
      </bottom>
      <diagonal/>
    </border>
    <border>
      <left style="hair">
        <color rgb="FF66FFFF"/>
      </left>
      <right style="hair">
        <color rgb="FF66FFFF"/>
      </right>
      <top style="hair">
        <color rgb="FF66FFFF"/>
      </top>
      <bottom style="hair">
        <color rgb="FF66FFFF"/>
      </bottom>
      <diagonal/>
    </border>
    <border>
      <left style="hair">
        <color rgb="FF66FFFF"/>
      </left>
      <right style="thin">
        <color auto="1"/>
      </right>
      <top style="hair">
        <color rgb="FF66FFFF"/>
      </top>
      <bottom style="hair">
        <color rgb="FF66FFFF"/>
      </bottom>
      <diagonal/>
    </border>
    <border>
      <left style="thin">
        <color auto="1"/>
      </left>
      <right style="hair">
        <color rgb="FF66FFFF"/>
      </right>
      <top style="hair">
        <color rgb="FF66FFFF"/>
      </top>
      <bottom style="medium">
        <color auto="1"/>
      </bottom>
      <diagonal/>
    </border>
    <border>
      <left style="hair">
        <color rgb="FF66FFFF"/>
      </left>
      <right style="hair">
        <color rgb="FF66FFFF"/>
      </right>
      <top style="hair">
        <color rgb="FF66FFFF"/>
      </top>
      <bottom style="medium">
        <color auto="1"/>
      </bottom>
      <diagonal/>
    </border>
    <border>
      <left style="hair">
        <color rgb="FF66FFFF"/>
      </left>
      <right style="thin">
        <color auto="1"/>
      </right>
      <top style="hair">
        <color rgb="FF66FFFF"/>
      </top>
      <bottom style="medium">
        <color auto="1"/>
      </bottom>
      <diagonal/>
    </border>
    <border>
      <left style="thin">
        <color auto="1"/>
      </left>
      <right/>
      <top style="thin">
        <color auto="1"/>
      </top>
      <bottom style="hair">
        <color rgb="FF66FFFF"/>
      </bottom>
      <diagonal/>
    </border>
    <border>
      <left/>
      <right style="medium">
        <color auto="1"/>
      </right>
      <top style="thin">
        <color auto="1"/>
      </top>
      <bottom style="hair">
        <color rgb="FF66FFFF"/>
      </bottom>
      <diagonal/>
    </border>
    <border>
      <left style="thin">
        <color auto="1"/>
      </left>
      <right/>
      <top style="hair">
        <color rgb="FF66FFFF"/>
      </top>
      <bottom style="hair">
        <color rgb="FF66FFFF"/>
      </bottom>
      <diagonal/>
    </border>
    <border>
      <left/>
      <right style="medium">
        <color auto="1"/>
      </right>
      <top style="hair">
        <color rgb="FF66FFFF"/>
      </top>
      <bottom style="hair">
        <color rgb="FF66FFFF"/>
      </bottom>
      <diagonal/>
    </border>
    <border>
      <left style="thin">
        <color auto="1"/>
      </left>
      <right/>
      <top style="hair">
        <color rgb="FF66FFFF"/>
      </top>
      <bottom style="medium">
        <color auto="1"/>
      </bottom>
      <diagonal/>
    </border>
    <border>
      <left/>
      <right style="medium">
        <color auto="1"/>
      </right>
      <top style="hair">
        <color rgb="FF66FFFF"/>
      </top>
      <bottom style="medium">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style="hair">
        <color auto="1"/>
      </left>
      <right/>
      <top style="hair">
        <color auto="1"/>
      </top>
      <bottom style="hair">
        <color auto="1"/>
      </bottom>
      <diagonal/>
    </border>
    <border>
      <left/>
      <right style="thin">
        <color auto="1"/>
      </right>
      <top style="hair">
        <color indexed="64"/>
      </top>
      <bottom style="hair">
        <color indexed="64"/>
      </bottom>
      <diagonal/>
    </border>
    <border>
      <left style="thin">
        <color auto="1"/>
      </left>
      <right/>
      <top style="hair">
        <color auto="1"/>
      </top>
      <bottom/>
      <diagonal/>
    </border>
    <border>
      <left/>
      <right/>
      <top style="hair">
        <color auto="1"/>
      </top>
      <bottom/>
      <diagonal/>
    </border>
    <border>
      <left style="hair">
        <color auto="1"/>
      </left>
      <right/>
      <top style="hair">
        <color auto="1"/>
      </top>
      <bottom/>
      <diagonal/>
    </border>
    <border>
      <left style="thin">
        <color auto="1"/>
      </left>
      <right style="hair">
        <color rgb="FF66FFFF"/>
      </right>
      <top style="hair">
        <color auto="1"/>
      </top>
      <bottom style="thin">
        <color auto="1"/>
      </bottom>
      <diagonal/>
    </border>
    <border>
      <left style="hair">
        <color rgb="FF66FFFF"/>
      </left>
      <right style="hair">
        <color rgb="FF66FFFF"/>
      </right>
      <top style="hair">
        <color auto="1"/>
      </top>
      <bottom style="thin">
        <color auto="1"/>
      </bottom>
      <diagonal/>
    </border>
    <border>
      <left style="hair">
        <color rgb="FF66FFFF"/>
      </left>
      <right style="thin">
        <color auto="1"/>
      </right>
      <top style="hair">
        <color auto="1"/>
      </top>
      <bottom style="thin">
        <color auto="1"/>
      </bottom>
      <diagonal/>
    </border>
    <border>
      <left/>
      <right style="thin">
        <color auto="1"/>
      </right>
      <top style="hair">
        <color auto="1"/>
      </top>
      <bottom style="thin">
        <color auto="1"/>
      </bottom>
      <diagonal/>
    </border>
    <border>
      <left style="thin">
        <color auto="1"/>
      </left>
      <right/>
      <top style="thin">
        <color auto="1"/>
      </top>
      <bottom/>
      <diagonal/>
    </border>
    <border>
      <left/>
      <right style="thin">
        <color indexed="64"/>
      </right>
      <top/>
      <bottom/>
      <diagonal/>
    </border>
    <border>
      <left/>
      <right style="thin">
        <color indexed="64"/>
      </right>
      <top style="thin">
        <color auto="1"/>
      </top>
      <bottom/>
      <diagonal/>
    </border>
    <border>
      <left/>
      <right style="thin">
        <color indexed="64"/>
      </right>
      <top style="thin">
        <color auto="1"/>
      </top>
      <bottom style="hair">
        <color auto="1"/>
      </bottom>
      <diagonal/>
    </border>
    <border>
      <left/>
      <right style="thin">
        <color auto="1"/>
      </right>
      <top style="hair">
        <color indexed="64"/>
      </top>
      <bottom/>
      <diagonal/>
    </border>
    <border>
      <left style="thin">
        <color auto="1"/>
      </left>
      <right style="thin">
        <color auto="1"/>
      </right>
      <top style="hair">
        <color indexed="64"/>
      </top>
      <bottom style="hair">
        <color auto="1"/>
      </bottom>
      <diagonal/>
    </border>
    <border>
      <left/>
      <right style="thin">
        <color auto="1"/>
      </right>
      <top/>
      <bottom style="medium">
        <color auto="1"/>
      </bottom>
      <diagonal/>
    </border>
    <border>
      <left style="medium">
        <color auto="1"/>
      </left>
      <right/>
      <top style="thin">
        <color auto="1"/>
      </top>
      <bottom/>
      <diagonal/>
    </border>
    <border>
      <left/>
      <right style="medium">
        <color auto="1"/>
      </right>
      <top style="thin">
        <color auto="1"/>
      </top>
      <bottom/>
      <diagonal/>
    </border>
    <border>
      <left style="thin">
        <color auto="1"/>
      </left>
      <right/>
      <top/>
      <bottom style="medium">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hair">
        <color indexed="64"/>
      </left>
      <right/>
      <top style="thin">
        <color indexed="64"/>
      </top>
      <bottom style="thin">
        <color indexed="64"/>
      </bottom>
      <diagonal/>
    </border>
  </borders>
  <cellStyleXfs count="97">
    <xf numFmtId="0" fontId="0" fillId="0" borderId="0"/>
    <xf numFmtId="0" fontId="9" fillId="0" borderId="0"/>
    <xf numFmtId="0" fontId="11" fillId="0" borderId="1">
      <alignment vertical="top"/>
    </xf>
    <xf numFmtId="0" fontId="12" fillId="0" borderId="0" applyBorder="0" applyAlignment="0">
      <alignment horizontal="centerContinuous" vertical="center"/>
      <protection locked="0"/>
    </xf>
    <xf numFmtId="0" fontId="13" fillId="0" borderId="2" applyBorder="0" applyAlignment="0">
      <alignment vertical="center"/>
    </xf>
    <xf numFmtId="0" fontId="14" fillId="2" borderId="3" applyNumberFormat="0" applyFont="0" applyBorder="0" applyAlignment="0">
      <alignment vertical="center"/>
      <protection locked="0"/>
    </xf>
    <xf numFmtId="0" fontId="13" fillId="0" borderId="4" applyBorder="0" applyAlignment="0">
      <alignment horizontal="right" vertical="center"/>
    </xf>
    <xf numFmtId="15" fontId="12" fillId="0" borderId="5" applyBorder="0">
      <alignment horizontal="center" vertical="center"/>
      <protection locked="0"/>
    </xf>
    <xf numFmtId="0" fontId="15" fillId="0" borderId="6" applyNumberFormat="0" applyFill="0" applyBorder="0" applyAlignment="0" applyProtection="0">
      <protection locked="0"/>
    </xf>
    <xf numFmtId="0" fontId="16" fillId="0" borderId="7" applyNumberFormat="0" applyFont="0" applyBorder="0" applyAlignment="0">
      <alignment horizontal="centerContinuous" vertical="center"/>
    </xf>
    <xf numFmtId="0" fontId="17" fillId="0" borderId="8" applyBorder="0" applyProtection="0">
      <alignment horizontal="centerContinuous" vertical="center"/>
      <protection hidden="1"/>
    </xf>
    <xf numFmtId="0" fontId="18" fillId="0" borderId="9" applyBorder="0">
      <alignment horizontal="center" vertical="center" wrapText="1"/>
      <protection locked="0"/>
    </xf>
    <xf numFmtId="0" fontId="19" fillId="0" borderId="10" applyFont="0" applyBorder="0" applyAlignment="0">
      <alignment vertical="center"/>
    </xf>
    <xf numFmtId="0" fontId="20" fillId="0" borderId="11" applyBorder="0">
      <alignment horizontal="center" vertical="center"/>
    </xf>
    <xf numFmtId="0" fontId="21" fillId="0" borderId="12" applyBorder="0">
      <alignment horizontal="center" vertical="center"/>
    </xf>
    <xf numFmtId="38" fontId="10" fillId="0" borderId="0" applyFont="0" applyFill="0" applyBorder="0" applyAlignment="0" applyProtection="0"/>
    <xf numFmtId="40" fontId="10" fillId="0" borderId="0" applyFont="0" applyFill="0" applyBorder="0" applyAlignment="0" applyProtection="0"/>
    <xf numFmtId="0" fontId="10" fillId="0" borderId="0"/>
    <xf numFmtId="0" fontId="22" fillId="0" borderId="0" applyBorder="0" applyAlignment="0">
      <alignment horizontal="centerContinuous" vertical="center"/>
      <protection locked="0"/>
    </xf>
    <xf numFmtId="0" fontId="23" fillId="0" borderId="13" applyBorder="0" applyAlignment="0">
      <alignment horizontal="centerContinuous" vertical="center"/>
    </xf>
    <xf numFmtId="0" fontId="24" fillId="3" borderId="14" applyNumberFormat="0" applyBorder="0" applyAlignment="0">
      <alignment horizontal="left" vertical="center" indent="1"/>
    </xf>
    <xf numFmtId="0" fontId="25" fillId="0" borderId="15" applyBorder="0">
      <alignment horizontal="left" vertical="center"/>
      <protection locked="0"/>
    </xf>
    <xf numFmtId="0" fontId="26" fillId="0" borderId="0" applyFont="0" applyBorder="0" applyAlignment="0">
      <alignment horizontal="center" vertical="center"/>
    </xf>
    <xf numFmtId="0" fontId="11" fillId="0" borderId="1">
      <alignment vertical="top"/>
    </xf>
    <xf numFmtId="0" fontId="27" fillId="0" borderId="10" applyFill="0" applyBorder="0" applyAlignment="0">
      <alignment vertical="center"/>
    </xf>
    <xf numFmtId="164" fontId="10" fillId="0" borderId="0" applyFont="0" applyFill="0" applyBorder="0" applyAlignment="0" applyProtection="0"/>
    <xf numFmtId="165" fontId="10" fillId="0" borderId="0" applyFont="0" applyFill="0" applyBorder="0" applyAlignment="0" applyProtection="0"/>
    <xf numFmtId="0" fontId="7" fillId="0" borderId="0"/>
    <xf numFmtId="0" fontId="9" fillId="0" borderId="0"/>
    <xf numFmtId="0" fontId="10" fillId="0" borderId="0"/>
    <xf numFmtId="0" fontId="7" fillId="0" borderId="0"/>
    <xf numFmtId="0" fontId="9" fillId="0" borderId="0"/>
    <xf numFmtId="167" fontId="30" fillId="0" borderId="0" applyProtection="0">
      <protection locked="0"/>
    </xf>
    <xf numFmtId="0" fontId="31" fillId="0" borderId="0">
      <alignment horizontal="center" wrapText="1"/>
      <protection locked="0"/>
    </xf>
    <xf numFmtId="0" fontId="32" fillId="0" borderId="21" applyFill="0" applyBorder="0"/>
    <xf numFmtId="0" fontId="9" fillId="0" borderId="0" applyFill="0" applyBorder="0"/>
    <xf numFmtId="168" fontId="9" fillId="0" borderId="0" applyFill="0" applyBorder="0" applyAlignment="0"/>
    <xf numFmtId="169" fontId="24" fillId="0" borderId="0"/>
    <xf numFmtId="169" fontId="24" fillId="0" borderId="0"/>
    <xf numFmtId="169" fontId="24" fillId="0" borderId="0"/>
    <xf numFmtId="169" fontId="24" fillId="0" borderId="0"/>
    <xf numFmtId="169" fontId="24" fillId="0" borderId="0"/>
    <xf numFmtId="169" fontId="24" fillId="0" borderId="0"/>
    <xf numFmtId="169" fontId="24" fillId="0" borderId="0"/>
    <xf numFmtId="169" fontId="24" fillId="0" borderId="0"/>
    <xf numFmtId="0" fontId="33" fillId="0" borderId="0" applyNumberFormat="0" applyAlignment="0">
      <alignment horizontal="left"/>
    </xf>
    <xf numFmtId="0" fontId="34" fillId="0" borderId="0" applyNumberFormat="0" applyAlignment="0"/>
    <xf numFmtId="0" fontId="9" fillId="0" borderId="28" applyFont="0" applyBorder="0" applyAlignment="0"/>
    <xf numFmtId="166" fontId="35" fillId="0" borderId="29" applyBorder="0"/>
    <xf numFmtId="170" fontId="30" fillId="0" borderId="0">
      <protection locked="0"/>
    </xf>
    <xf numFmtId="0" fontId="36" fillId="0" borderId="30" applyBorder="0" applyAlignment="0">
      <alignment vertical="center"/>
    </xf>
    <xf numFmtId="0" fontId="37" fillId="0" borderId="31" applyBorder="0" applyAlignment="0">
      <alignment horizontal="center" vertical="center"/>
    </xf>
    <xf numFmtId="0" fontId="13" fillId="0" borderId="32" applyBorder="0" applyAlignment="0">
      <alignment vertical="center"/>
    </xf>
    <xf numFmtId="8" fontId="9" fillId="0" borderId="0" applyFill="0" applyBorder="0" applyAlignment="0" applyProtection="0"/>
    <xf numFmtId="6" fontId="9" fillId="0" borderId="0" applyFill="0" applyBorder="0" applyAlignment="0" applyProtection="0"/>
    <xf numFmtId="0" fontId="38" fillId="0" borderId="0" applyNumberFormat="0" applyAlignment="0">
      <alignment horizontal="left"/>
    </xf>
    <xf numFmtId="38" fontId="28" fillId="4" borderId="0" applyNumberFormat="0" applyBorder="0" applyAlignment="0" applyProtection="0"/>
    <xf numFmtId="0" fontId="19" fillId="0" borderId="13" applyNumberFormat="0" applyAlignment="0" applyProtection="0">
      <alignment horizontal="left" vertical="center"/>
    </xf>
    <xf numFmtId="0" fontId="19" fillId="0" borderId="17">
      <alignment horizontal="left" vertical="center"/>
    </xf>
    <xf numFmtId="0" fontId="19" fillId="0" borderId="0"/>
    <xf numFmtId="0" fontId="23" fillId="0" borderId="11" applyFont="0" applyBorder="0" applyAlignment="0">
      <alignment horizontal="center" vertical="center"/>
      <protection locked="0"/>
    </xf>
    <xf numFmtId="10" fontId="28" fillId="3" borderId="20" applyNumberFormat="0" applyBorder="0" applyAlignment="0" applyProtection="0"/>
    <xf numFmtId="171" fontId="39" fillId="5" borderId="0"/>
    <xf numFmtId="0" fontId="29" fillId="0" borderId="0" applyFont="0" applyBorder="0" applyAlignment="0"/>
    <xf numFmtId="171" fontId="40" fillId="6" borderId="0"/>
    <xf numFmtId="0" fontId="29" fillId="0" borderId="33" applyNumberFormat="0" applyFont="0" applyBorder="0" applyAlignment="0">
      <alignment vertical="center"/>
    </xf>
    <xf numFmtId="2" fontId="41" fillId="0" borderId="34" applyBorder="0">
      <alignment horizontal="center" vertical="center"/>
    </xf>
    <xf numFmtId="172" fontId="9" fillId="0" borderId="0" applyFont="0" applyFill="0" applyBorder="0" applyAlignment="0" applyProtection="0"/>
    <xf numFmtId="173" fontId="9" fillId="0" borderId="0" applyFont="0" applyFill="0" applyBorder="0" applyAlignment="0" applyProtection="0"/>
    <xf numFmtId="174" fontId="9" fillId="0" borderId="0" applyFont="0" applyFill="0" applyBorder="0" applyAlignment="0" applyProtection="0"/>
    <xf numFmtId="175" fontId="9" fillId="0" borderId="0" applyFont="0" applyFill="0" applyBorder="0" applyAlignment="0" applyProtection="0"/>
    <xf numFmtId="176" fontId="42" fillId="0" borderId="35">
      <alignment horizontal="center" vertical="center"/>
      <protection locked="0"/>
    </xf>
    <xf numFmtId="177" fontId="24" fillId="0" borderId="0"/>
    <xf numFmtId="0" fontId="7" fillId="0" borderId="0"/>
    <xf numFmtId="43" fontId="9" fillId="0" borderId="0" applyFont="0" applyFill="0" applyBorder="0" applyAlignment="0" applyProtection="0"/>
    <xf numFmtId="41" fontId="9" fillId="0" borderId="0" applyFont="0" applyFill="0" applyBorder="0" applyAlignment="0" applyProtection="0"/>
    <xf numFmtId="0" fontId="36" fillId="0" borderId="36" applyBorder="0" applyAlignment="0">
      <alignment vertical="center"/>
    </xf>
    <xf numFmtId="14" fontId="31" fillId="0" borderId="0">
      <alignment horizontal="center" wrapText="1"/>
      <protection locked="0"/>
    </xf>
    <xf numFmtId="10" fontId="9" fillId="0" borderId="0" applyFont="0" applyFill="0" applyBorder="0" applyAlignment="0" applyProtection="0"/>
    <xf numFmtId="178" fontId="43" fillId="0" borderId="0"/>
    <xf numFmtId="0" fontId="10" fillId="0" borderId="0" applyNumberFormat="0" applyFont="0" applyFill="0" applyBorder="0" applyAlignment="0" applyProtection="0">
      <alignment horizontal="left"/>
    </xf>
    <xf numFmtId="179" fontId="44" fillId="0" borderId="0" applyNumberFormat="0" applyFill="0" applyBorder="0" applyAlignment="0" applyProtection="0">
      <alignment horizontal="left"/>
    </xf>
    <xf numFmtId="0" fontId="45" fillId="0" borderId="18" applyBorder="0" applyAlignment="0">
      <alignment horizontal="left"/>
    </xf>
    <xf numFmtId="40" fontId="46" fillId="0" borderId="0" applyBorder="0">
      <alignment horizontal="right"/>
    </xf>
    <xf numFmtId="180" fontId="47" fillId="7" borderId="19" applyNumberFormat="0">
      <alignment horizontal="center" vertical="center"/>
    </xf>
    <xf numFmtId="0" fontId="36" fillId="0" borderId="37" applyNumberFormat="0" applyBorder="0" applyAlignment="0">
      <alignment horizontal="center" vertical="center"/>
    </xf>
    <xf numFmtId="0" fontId="10" fillId="0" borderId="0"/>
    <xf numFmtId="0" fontId="9" fillId="0" borderId="0"/>
    <xf numFmtId="0" fontId="9" fillId="0" borderId="0"/>
    <xf numFmtId="0" fontId="9" fillId="0" borderId="0"/>
    <xf numFmtId="0" fontId="7" fillId="0" borderId="0"/>
    <xf numFmtId="0" fontId="9" fillId="0" borderId="0"/>
    <xf numFmtId="0" fontId="67" fillId="0" borderId="0"/>
    <xf numFmtId="0" fontId="68" fillId="0" borderId="0"/>
    <xf numFmtId="0" fontId="67" fillId="0" borderId="0"/>
    <xf numFmtId="0" fontId="68" fillId="0" borderId="0"/>
    <xf numFmtId="0" fontId="28" fillId="0" borderId="0"/>
  </cellStyleXfs>
  <cellXfs count="345">
    <xf numFmtId="0" fontId="0" fillId="0" borderId="0" xfId="0"/>
    <xf numFmtId="0" fontId="48" fillId="0" borderId="21" xfId="30" applyFont="1" applyBorder="1" applyAlignment="1">
      <alignment vertical="center"/>
    </xf>
    <xf numFmtId="0" fontId="48" fillId="0" borderId="23" xfId="30" applyFont="1" applyBorder="1" applyAlignment="1">
      <alignment vertical="center"/>
    </xf>
    <xf numFmtId="0" fontId="48" fillId="0" borderId="27" xfId="30" applyFont="1" applyBorder="1" applyAlignment="1">
      <alignment vertical="center"/>
    </xf>
    <xf numFmtId="0" fontId="48" fillId="0" borderId="21" xfId="30" applyFont="1" applyBorder="1" applyAlignment="1">
      <alignment horizontal="left" vertical="center"/>
    </xf>
    <xf numFmtId="0" fontId="49" fillId="0" borderId="22" xfId="1" applyFont="1" applyBorder="1" applyAlignment="1">
      <alignment vertical="center"/>
    </xf>
    <xf numFmtId="0" fontId="48" fillId="0" borderId="22" xfId="30" applyFont="1" applyBorder="1" applyAlignment="1">
      <alignment vertical="center"/>
    </xf>
    <xf numFmtId="0" fontId="48" fillId="0" borderId="22" xfId="0" applyFont="1" applyBorder="1" applyAlignment="1">
      <alignment vertical="center"/>
    </xf>
    <xf numFmtId="0" fontId="48" fillId="0" borderId="23" xfId="0" applyFont="1" applyBorder="1" applyAlignment="1">
      <alignment vertical="center"/>
    </xf>
    <xf numFmtId="0" fontId="48" fillId="0" borderId="22" xfId="30" applyFont="1" applyBorder="1" applyAlignment="1">
      <alignment horizontal="left" vertical="center"/>
    </xf>
    <xf numFmtId="0" fontId="50" fillId="0" borderId="0" xfId="0" applyFont="1"/>
    <xf numFmtId="0" fontId="0" fillId="0" borderId="43" xfId="0" applyBorder="1" applyProtection="1"/>
    <xf numFmtId="0" fontId="0" fillId="0" borderId="43" xfId="0" applyBorder="1" applyAlignment="1" applyProtection="1">
      <alignment horizontal="right"/>
    </xf>
    <xf numFmtId="0" fontId="0" fillId="0" borderId="0" xfId="0" applyProtection="1"/>
    <xf numFmtId="0" fontId="0" fillId="0" borderId="0" xfId="0" applyAlignment="1" applyProtection="1">
      <alignment horizontal="right"/>
    </xf>
    <xf numFmtId="0" fontId="28" fillId="0" borderId="0" xfId="91" applyFont="1" applyProtection="1">
      <protection hidden="1"/>
    </xf>
    <xf numFmtId="0" fontId="28" fillId="0" borderId="0" xfId="91" applyFont="1" applyAlignment="1" applyProtection="1">
      <alignment horizontal="right"/>
      <protection hidden="1"/>
    </xf>
    <xf numFmtId="12" fontId="59" fillId="0" borderId="46" xfId="91" applyNumberFormat="1" applyFont="1" applyBorder="1" applyAlignment="1" applyProtection="1">
      <alignment horizontal="center"/>
      <protection hidden="1"/>
    </xf>
    <xf numFmtId="0" fontId="59" fillId="0" borderId="47" xfId="91" applyFont="1" applyBorder="1" applyAlignment="1" applyProtection="1">
      <alignment horizontal="center"/>
      <protection hidden="1"/>
    </xf>
    <xf numFmtId="0" fontId="59" fillId="0" borderId="48" xfId="91" applyFont="1" applyBorder="1" applyAlignment="1" applyProtection="1">
      <alignment horizontal="right"/>
      <protection hidden="1"/>
    </xf>
    <xf numFmtId="0" fontId="59" fillId="0" borderId="49" xfId="91" applyFont="1" applyBorder="1" applyAlignment="1" applyProtection="1">
      <alignment horizontal="center"/>
      <protection hidden="1"/>
    </xf>
    <xf numFmtId="0" fontId="29" fillId="0" borderId="50" xfId="91" applyFont="1" applyBorder="1" applyAlignment="1" applyProtection="1">
      <alignment horizontal="center"/>
      <protection hidden="1"/>
    </xf>
    <xf numFmtId="0" fontId="29" fillId="0" borderId="51" xfId="91" applyFont="1" applyBorder="1" applyAlignment="1" applyProtection="1">
      <alignment horizontal="center"/>
      <protection hidden="1"/>
    </xf>
    <xf numFmtId="0" fontId="9" fillId="0" borderId="53" xfId="91" applyFont="1" applyBorder="1" applyProtection="1">
      <protection hidden="1"/>
    </xf>
    <xf numFmtId="0" fontId="9" fillId="0" borderId="54" xfId="91" applyFont="1" applyBorder="1" applyAlignment="1" applyProtection="1">
      <alignment horizontal="right"/>
      <protection hidden="1"/>
    </xf>
    <xf numFmtId="0" fontId="9" fillId="0" borderId="55" xfId="91" applyFont="1" applyBorder="1" applyProtection="1">
      <protection hidden="1"/>
    </xf>
    <xf numFmtId="0" fontId="9" fillId="0" borderId="56" xfId="91" applyFont="1" applyBorder="1" applyProtection="1">
      <protection hidden="1"/>
    </xf>
    <xf numFmtId="0" fontId="9" fillId="0" borderId="56" xfId="91" applyFont="1" applyFill="1" applyBorder="1" applyProtection="1">
      <protection hidden="1"/>
    </xf>
    <xf numFmtId="0" fontId="9" fillId="0" borderId="57" xfId="91" applyFont="1" applyBorder="1" applyProtection="1">
      <protection hidden="1"/>
    </xf>
    <xf numFmtId="0" fontId="9" fillId="0" borderId="59" xfId="91" applyFont="1" applyBorder="1" applyProtection="1">
      <protection hidden="1"/>
    </xf>
    <xf numFmtId="0" fontId="9" fillId="0" borderId="60" xfId="91" applyFont="1" applyBorder="1" applyAlignment="1" applyProtection="1">
      <alignment horizontal="right"/>
      <protection hidden="1"/>
    </xf>
    <xf numFmtId="0" fontId="9" fillId="0" borderId="61" xfId="91" applyFont="1" applyBorder="1" applyProtection="1">
      <protection hidden="1"/>
    </xf>
    <xf numFmtId="0" fontId="9" fillId="0" borderId="20" xfId="91" applyFont="1" applyBorder="1" applyProtection="1">
      <protection hidden="1"/>
    </xf>
    <xf numFmtId="0" fontId="9" fillId="0" borderId="20" xfId="91" applyFont="1" applyFill="1" applyBorder="1" applyProtection="1">
      <protection hidden="1"/>
    </xf>
    <xf numFmtId="0" fontId="9" fillId="0" borderId="62" xfId="91" applyFont="1" applyBorder="1" applyProtection="1">
      <protection hidden="1"/>
    </xf>
    <xf numFmtId="2" fontId="9" fillId="0" borderId="20" xfId="91" applyNumberFormat="1" applyFont="1" applyFill="1" applyBorder="1" applyProtection="1">
      <protection hidden="1"/>
    </xf>
    <xf numFmtId="2" fontId="9" fillId="0" borderId="62" xfId="91" applyNumberFormat="1" applyFont="1" applyBorder="1" applyProtection="1">
      <protection hidden="1"/>
    </xf>
    <xf numFmtId="12" fontId="9" fillId="0" borderId="58" xfId="91" applyNumberFormat="1" applyFont="1" applyBorder="1" applyAlignment="1" applyProtection="1">
      <alignment horizontal="right"/>
      <protection hidden="1"/>
    </xf>
    <xf numFmtId="2" fontId="9" fillId="0" borderId="20" xfId="91" applyNumberFormat="1" applyFont="1" applyBorder="1" applyProtection="1">
      <protection hidden="1"/>
    </xf>
    <xf numFmtId="2" fontId="9" fillId="0" borderId="60" xfId="91" applyNumberFormat="1" applyFont="1" applyBorder="1" applyAlignment="1" applyProtection="1">
      <alignment horizontal="right"/>
      <protection hidden="1"/>
    </xf>
    <xf numFmtId="2" fontId="9" fillId="0" borderId="61" xfId="91" applyNumberFormat="1" applyFont="1" applyBorder="1" applyProtection="1">
      <protection hidden="1"/>
    </xf>
    <xf numFmtId="12" fontId="9" fillId="0" borderId="63" xfId="91" applyNumberFormat="1" applyFont="1" applyBorder="1" applyAlignment="1" applyProtection="1">
      <alignment horizontal="right"/>
      <protection hidden="1"/>
    </xf>
    <xf numFmtId="0" fontId="9" fillId="0" borderId="64" xfId="91" applyFont="1" applyBorder="1" applyProtection="1">
      <protection hidden="1"/>
    </xf>
    <xf numFmtId="0" fontId="9" fillId="0" borderId="65" xfId="91" applyFont="1" applyBorder="1" applyAlignment="1" applyProtection="1">
      <alignment horizontal="right"/>
      <protection hidden="1"/>
    </xf>
    <xf numFmtId="0" fontId="9" fillId="0" borderId="61" xfId="0" applyFont="1" applyBorder="1" applyProtection="1"/>
    <xf numFmtId="0" fontId="9" fillId="0" borderId="20" xfId="0" applyFont="1" applyBorder="1" applyProtection="1"/>
    <xf numFmtId="0" fontId="9" fillId="0" borderId="62" xfId="0" applyFont="1" applyBorder="1" applyProtection="1"/>
    <xf numFmtId="12" fontId="9" fillId="0" borderId="66" xfId="91" applyNumberFormat="1" applyFont="1" applyBorder="1" applyAlignment="1" applyProtection="1">
      <alignment horizontal="right"/>
      <protection hidden="1"/>
    </xf>
    <xf numFmtId="0" fontId="9" fillId="0" borderId="67" xfId="91" applyFont="1" applyBorder="1" applyProtection="1">
      <protection hidden="1"/>
    </xf>
    <xf numFmtId="0" fontId="9" fillId="0" borderId="68" xfId="91" applyFont="1" applyBorder="1" applyAlignment="1" applyProtection="1">
      <alignment horizontal="right"/>
      <protection hidden="1"/>
    </xf>
    <xf numFmtId="0" fontId="9" fillId="0" borderId="69" xfId="0" applyFont="1" applyBorder="1" applyProtection="1"/>
    <xf numFmtId="0" fontId="9" fillId="0" borderId="70" xfId="0" applyFont="1" applyBorder="1" applyProtection="1"/>
    <xf numFmtId="0" fontId="9" fillId="0" borderId="71" xfId="0" applyFont="1" applyBorder="1" applyProtection="1"/>
    <xf numFmtId="12" fontId="9" fillId="0" borderId="52" xfId="91" quotePrefix="1" applyNumberFormat="1" applyFont="1" applyBorder="1" applyAlignment="1" applyProtection="1">
      <alignment horizontal="center"/>
      <protection hidden="1"/>
    </xf>
    <xf numFmtId="12" fontId="9" fillId="0" borderId="58" xfId="91" quotePrefix="1" applyNumberFormat="1" applyFont="1" applyBorder="1" applyAlignment="1" applyProtection="1">
      <protection hidden="1"/>
    </xf>
    <xf numFmtId="12" fontId="9" fillId="0" borderId="58" xfId="91" applyNumberFormat="1" applyFont="1" applyBorder="1" applyAlignment="1" applyProtection="1">
      <protection hidden="1"/>
    </xf>
    <xf numFmtId="12" fontId="60" fillId="0" borderId="58" xfId="91" quotePrefix="1" applyNumberFormat="1" applyFont="1" applyBorder="1" applyAlignment="1" applyProtection="1">
      <alignment horizontal="center"/>
      <protection hidden="1"/>
    </xf>
    <xf numFmtId="12" fontId="9" fillId="0" borderId="58" xfId="91" quotePrefix="1" applyNumberFormat="1" applyFont="1" applyBorder="1" applyAlignment="1" applyProtection="1">
      <alignment horizontal="center"/>
      <protection hidden="1"/>
    </xf>
    <xf numFmtId="12" fontId="9" fillId="0" borderId="58" xfId="91" applyNumberFormat="1" applyFont="1" applyBorder="1" applyAlignment="1" applyProtection="1">
      <alignment horizontal="center"/>
      <protection hidden="1"/>
    </xf>
    <xf numFmtId="0" fontId="0" fillId="0" borderId="0" xfId="0" applyNumberFormat="1"/>
    <xf numFmtId="0" fontId="9" fillId="0" borderId="1" xfId="91" applyNumberFormat="1" applyFont="1" applyFill="1" applyBorder="1" applyProtection="1">
      <protection hidden="1"/>
    </xf>
    <xf numFmtId="0" fontId="0" fillId="0" borderId="0" xfId="0" applyNumberFormat="1" applyAlignment="1">
      <alignment horizontal="right"/>
    </xf>
    <xf numFmtId="0" fontId="0" fillId="0" borderId="72" xfId="0" applyBorder="1"/>
    <xf numFmtId="0" fontId="0" fillId="0" borderId="73" xfId="0" applyBorder="1"/>
    <xf numFmtId="0" fontId="0" fillId="0" borderId="74" xfId="0" applyBorder="1"/>
    <xf numFmtId="0" fontId="0" fillId="0" borderId="75" xfId="0" applyBorder="1"/>
    <xf numFmtId="0" fontId="0" fillId="0" borderId="76" xfId="0" applyBorder="1"/>
    <xf numFmtId="0" fontId="0" fillId="0" borderId="77" xfId="0" applyBorder="1"/>
    <xf numFmtId="0" fontId="0" fillId="0" borderId="78" xfId="0" applyBorder="1"/>
    <xf numFmtId="0" fontId="0" fillId="0" borderId="79" xfId="0" applyBorder="1"/>
    <xf numFmtId="0" fontId="0" fillId="0" borderId="80" xfId="0" applyBorder="1"/>
    <xf numFmtId="0" fontId="0" fillId="0" borderId="81" xfId="0" applyBorder="1"/>
    <xf numFmtId="0" fontId="0" fillId="0" borderId="83" xfId="0" applyBorder="1"/>
    <xf numFmtId="0" fontId="0" fillId="0" borderId="82" xfId="0" applyBorder="1"/>
    <xf numFmtId="0" fontId="52" fillId="0" borderId="82" xfId="0" applyFont="1" applyBorder="1"/>
    <xf numFmtId="0" fontId="52" fillId="0" borderId="82" xfId="0" applyFont="1" applyBorder="1" applyAlignment="1">
      <alignment horizontal="right" indent="1"/>
    </xf>
    <xf numFmtId="0" fontId="0" fillId="0" borderId="82" xfId="0" applyBorder="1" applyAlignment="1">
      <alignment horizontal="center"/>
    </xf>
    <xf numFmtId="0" fontId="0" fillId="0" borderId="82" xfId="0" applyBorder="1" applyAlignment="1">
      <alignment horizontal="left" indent="1"/>
    </xf>
    <xf numFmtId="0" fontId="0" fillId="0" borderId="82" xfId="0" applyBorder="1" applyAlignment="1">
      <alignment horizontal="right" indent="1"/>
    </xf>
    <xf numFmtId="0" fontId="55" fillId="0" borderId="82" xfId="0" applyFont="1" applyBorder="1"/>
    <xf numFmtId="0" fontId="0" fillId="0" borderId="82" xfId="0" applyFont="1" applyBorder="1"/>
    <xf numFmtId="0" fontId="0" fillId="0" borderId="82" xfId="0" applyBorder="1" applyAlignment="1">
      <alignment horizontal="right"/>
    </xf>
    <xf numFmtId="0" fontId="54" fillId="0" borderId="82" xfId="0" applyFont="1" applyBorder="1"/>
    <xf numFmtId="0" fontId="55" fillId="0" borderId="82" xfId="0" applyFont="1" applyBorder="1" applyAlignment="1">
      <alignment horizontal="right"/>
    </xf>
    <xf numFmtId="0" fontId="0" fillId="0" borderId="84" xfId="0" applyBorder="1"/>
    <xf numFmtId="0" fontId="0" fillId="0" borderId="85" xfId="0" applyBorder="1"/>
    <xf numFmtId="0" fontId="0" fillId="0" borderId="86" xfId="0" applyBorder="1"/>
    <xf numFmtId="0" fontId="0" fillId="0" borderId="87" xfId="0" applyBorder="1"/>
    <xf numFmtId="0" fontId="0" fillId="0" borderId="88" xfId="0" applyBorder="1"/>
    <xf numFmtId="0" fontId="0" fillId="0" borderId="89" xfId="0" applyBorder="1"/>
    <xf numFmtId="0" fontId="0" fillId="0" borderId="90" xfId="0" applyBorder="1"/>
    <xf numFmtId="0" fontId="0" fillId="0" borderId="91" xfId="0" applyBorder="1"/>
    <xf numFmtId="0" fontId="0" fillId="0" borderId="92" xfId="0" applyBorder="1"/>
    <xf numFmtId="0" fontId="0" fillId="0" borderId="82" xfId="0" applyBorder="1" applyAlignment="1">
      <alignment horizontal="left"/>
    </xf>
    <xf numFmtId="0" fontId="69" fillId="0" borderId="0" xfId="92" applyFont="1" applyProtection="1">
      <protection hidden="1"/>
    </xf>
    <xf numFmtId="0" fontId="69" fillId="9" borderId="0" xfId="94" applyFont="1" applyFill="1" applyProtection="1">
      <protection hidden="1"/>
    </xf>
    <xf numFmtId="0" fontId="69" fillId="9" borderId="0" xfId="92" applyFont="1" applyFill="1" applyProtection="1">
      <protection hidden="1"/>
    </xf>
    <xf numFmtId="0" fontId="69" fillId="9" borderId="0" xfId="95" applyFont="1" applyFill="1" applyProtection="1">
      <protection hidden="1"/>
    </xf>
    <xf numFmtId="0" fontId="69" fillId="0" borderId="0" xfId="96" applyFont="1" applyProtection="1">
      <protection hidden="1"/>
    </xf>
    <xf numFmtId="0" fontId="69" fillId="9" borderId="0" xfId="89" applyFont="1" applyFill="1" applyProtection="1">
      <protection hidden="1"/>
    </xf>
    <xf numFmtId="0" fontId="0" fillId="0" borderId="0" xfId="0" applyProtection="1">
      <protection hidden="1"/>
    </xf>
    <xf numFmtId="0" fontId="50" fillId="0" borderId="0" xfId="0" applyFont="1" applyProtection="1">
      <protection hidden="1"/>
    </xf>
    <xf numFmtId="0" fontId="55" fillId="0" borderId="0" xfId="0" applyFont="1" applyProtection="1">
      <protection hidden="1"/>
    </xf>
    <xf numFmtId="0" fontId="55" fillId="0" borderId="0" xfId="0" applyFont="1" applyAlignment="1" applyProtection="1">
      <protection hidden="1"/>
    </xf>
    <xf numFmtId="0" fontId="55" fillId="0" borderId="0" xfId="0" applyFont="1" applyBorder="1" applyAlignment="1" applyProtection="1">
      <protection hidden="1"/>
    </xf>
    <xf numFmtId="0" fontId="55" fillId="0" borderId="0" xfId="0" applyFont="1" applyAlignment="1" applyProtection="1">
      <alignment horizontal="right"/>
      <protection hidden="1"/>
    </xf>
    <xf numFmtId="0" fontId="55" fillId="0" borderId="0" xfId="0" applyFont="1" applyAlignment="1" applyProtection="1">
      <alignment horizontal="left"/>
      <protection hidden="1"/>
    </xf>
    <xf numFmtId="0" fontId="48" fillId="0" borderId="21" xfId="30" applyFont="1" applyBorder="1" applyAlignment="1" applyProtection="1">
      <alignment vertical="center"/>
      <protection hidden="1"/>
    </xf>
    <xf numFmtId="0" fontId="48" fillId="0" borderId="23" xfId="30" applyFont="1" applyBorder="1" applyAlignment="1" applyProtection="1">
      <alignment vertical="center"/>
      <protection hidden="1"/>
    </xf>
    <xf numFmtId="0" fontId="48" fillId="0" borderId="22" xfId="0" applyFont="1" applyBorder="1" applyAlignment="1" applyProtection="1">
      <alignment vertical="center"/>
      <protection hidden="1"/>
    </xf>
    <xf numFmtId="0" fontId="49" fillId="0" borderId="22" xfId="1" applyFont="1" applyBorder="1" applyAlignment="1" applyProtection="1">
      <alignment vertical="center"/>
      <protection hidden="1"/>
    </xf>
    <xf numFmtId="0" fontId="48" fillId="0" borderId="27" xfId="30" applyFont="1" applyBorder="1" applyAlignment="1" applyProtection="1">
      <alignment vertical="center"/>
      <protection hidden="1"/>
    </xf>
    <xf numFmtId="0" fontId="48" fillId="0" borderId="21" xfId="30" applyFont="1" applyBorder="1" applyAlignment="1" applyProtection="1">
      <alignment horizontal="left" vertical="center"/>
      <protection hidden="1"/>
    </xf>
    <xf numFmtId="0" fontId="48" fillId="0" borderId="22" xfId="30" applyFont="1" applyBorder="1" applyAlignment="1" applyProtection="1">
      <alignment horizontal="left" vertical="center"/>
      <protection hidden="1"/>
    </xf>
    <xf numFmtId="0" fontId="48" fillId="0" borderId="23" xfId="0" applyFont="1" applyBorder="1" applyAlignment="1" applyProtection="1">
      <alignment vertical="center"/>
      <protection hidden="1"/>
    </xf>
    <xf numFmtId="0" fontId="48" fillId="0" borderId="22" xfId="30" applyFont="1" applyBorder="1" applyAlignment="1" applyProtection="1">
      <alignment vertical="center"/>
      <protection hidden="1"/>
    </xf>
    <xf numFmtId="0" fontId="55" fillId="0" borderId="41" xfId="0" applyFont="1" applyBorder="1" applyAlignment="1" applyProtection="1">
      <protection hidden="1"/>
    </xf>
    <xf numFmtId="0" fontId="55" fillId="0" borderId="38" xfId="0" applyFont="1" applyBorder="1" applyAlignment="1" applyProtection="1">
      <protection hidden="1"/>
    </xf>
    <xf numFmtId="0" fontId="55" fillId="0" borderId="38" xfId="0" applyFont="1" applyBorder="1" applyAlignment="1" applyProtection="1">
      <alignment horizontal="right" indent="1"/>
      <protection hidden="1"/>
    </xf>
    <xf numFmtId="0" fontId="55" fillId="0" borderId="116" xfId="0" applyFont="1" applyBorder="1" applyProtection="1">
      <protection hidden="1"/>
    </xf>
    <xf numFmtId="0" fontId="55" fillId="0" borderId="111" xfId="0" applyFont="1" applyBorder="1" applyProtection="1">
      <protection hidden="1"/>
    </xf>
    <xf numFmtId="0" fontId="55" fillId="0" borderId="109" xfId="0" applyFont="1" applyBorder="1" applyProtection="1">
      <protection hidden="1"/>
    </xf>
    <xf numFmtId="0" fontId="55" fillId="0" borderId="43" xfId="0" applyFont="1" applyBorder="1" applyProtection="1">
      <protection hidden="1"/>
    </xf>
    <xf numFmtId="0" fontId="55" fillId="0" borderId="43" xfId="0" applyFont="1" applyBorder="1" applyAlignment="1" applyProtection="1">
      <alignment horizontal="right"/>
      <protection hidden="1"/>
    </xf>
    <xf numFmtId="0" fontId="55" fillId="0" borderId="111" xfId="0" applyFont="1" applyBorder="1" applyAlignment="1" applyProtection="1">
      <alignment horizontal="right"/>
      <protection hidden="1"/>
    </xf>
    <xf numFmtId="0" fontId="55" fillId="0" borderId="117" xfId="0" applyFont="1" applyBorder="1" applyProtection="1">
      <protection hidden="1"/>
    </xf>
    <xf numFmtId="0" fontId="55" fillId="0" borderId="16" xfId="0" applyFont="1" applyBorder="1" applyProtection="1">
      <protection hidden="1"/>
    </xf>
    <xf numFmtId="0" fontId="55" fillId="0" borderId="110" xfId="0" applyFont="1" applyBorder="1" applyProtection="1">
      <protection hidden="1"/>
    </xf>
    <xf numFmtId="0" fontId="55" fillId="0" borderId="1" xfId="0" applyFont="1" applyBorder="1" applyProtection="1">
      <protection hidden="1"/>
    </xf>
    <xf numFmtId="0" fontId="62" fillId="0" borderId="0" xfId="0" applyFont="1" applyBorder="1" applyProtection="1">
      <protection hidden="1"/>
    </xf>
    <xf numFmtId="0" fontId="55" fillId="0" borderId="0" xfId="0" applyFont="1" applyBorder="1" applyProtection="1">
      <protection hidden="1"/>
    </xf>
    <xf numFmtId="0" fontId="55" fillId="0" borderId="6" xfId="0" applyFont="1" applyBorder="1" applyProtection="1">
      <protection hidden="1"/>
    </xf>
    <xf numFmtId="0" fontId="55" fillId="0" borderId="0" xfId="0" applyFont="1" applyBorder="1" applyAlignment="1" applyProtection="1">
      <alignment horizontal="right"/>
      <protection hidden="1"/>
    </xf>
    <xf numFmtId="0" fontId="55" fillId="0" borderId="0" xfId="0" applyFont="1" applyBorder="1" applyAlignment="1" applyProtection="1">
      <alignment horizontal="center"/>
      <protection hidden="1"/>
    </xf>
    <xf numFmtId="182" fontId="55" fillId="0" borderId="0" xfId="0" applyNumberFormat="1" applyFont="1" applyBorder="1" applyAlignment="1" applyProtection="1">
      <alignment horizontal="center"/>
      <protection hidden="1"/>
    </xf>
    <xf numFmtId="0" fontId="55" fillId="0" borderId="110" xfId="0" applyFont="1" applyBorder="1" applyAlignment="1" applyProtection="1">
      <alignment horizontal="center"/>
      <protection hidden="1"/>
    </xf>
    <xf numFmtId="0" fontId="55" fillId="0" borderId="0" xfId="0" applyNumberFormat="1" applyFont="1" applyBorder="1" applyAlignment="1" applyProtection="1">
      <alignment horizontal="center"/>
      <protection hidden="1"/>
    </xf>
    <xf numFmtId="0" fontId="55" fillId="0" borderId="18" xfId="0" applyFont="1" applyBorder="1" applyProtection="1">
      <protection hidden="1"/>
    </xf>
    <xf numFmtId="0" fontId="55" fillId="0" borderId="10" xfId="0" applyFont="1" applyBorder="1" applyProtection="1">
      <protection hidden="1"/>
    </xf>
    <xf numFmtId="0" fontId="55" fillId="0" borderId="10" xfId="0" applyFont="1" applyBorder="1" applyAlignment="1" applyProtection="1">
      <alignment horizontal="right"/>
      <protection hidden="1"/>
    </xf>
    <xf numFmtId="0" fontId="55" fillId="0" borderId="10" xfId="0" applyFont="1" applyBorder="1" applyAlignment="1" applyProtection="1">
      <alignment horizontal="center"/>
      <protection hidden="1"/>
    </xf>
    <xf numFmtId="0" fontId="55" fillId="0" borderId="100" xfId="0" applyFont="1" applyBorder="1" applyAlignment="1" applyProtection="1">
      <alignment horizontal="right"/>
      <protection hidden="1"/>
    </xf>
    <xf numFmtId="0" fontId="55" fillId="0" borderId="10" xfId="0" applyFont="1" applyBorder="1" applyAlignment="1" applyProtection="1">
      <protection hidden="1"/>
    </xf>
    <xf numFmtId="0" fontId="55" fillId="0" borderId="102" xfId="0" applyFont="1" applyBorder="1" applyProtection="1">
      <protection hidden="1"/>
    </xf>
    <xf numFmtId="0" fontId="55" fillId="0" borderId="103" xfId="0" applyFont="1" applyBorder="1" applyProtection="1">
      <protection hidden="1"/>
    </xf>
    <xf numFmtId="0" fontId="55" fillId="0" borderId="103" xfId="0" applyFont="1" applyBorder="1" applyAlignment="1" applyProtection="1">
      <protection hidden="1"/>
    </xf>
    <xf numFmtId="0" fontId="55" fillId="0" borderId="103" xfId="0" applyFont="1" applyBorder="1" applyAlignment="1" applyProtection="1">
      <alignment horizontal="right"/>
      <protection hidden="1"/>
    </xf>
    <xf numFmtId="0" fontId="55" fillId="0" borderId="103" xfId="0" applyFont="1" applyBorder="1" applyAlignment="1" applyProtection="1">
      <alignment horizontal="center"/>
      <protection hidden="1"/>
    </xf>
    <xf numFmtId="0" fontId="55" fillId="0" borderId="104" xfId="0" applyFont="1" applyBorder="1" applyAlignment="1" applyProtection="1">
      <alignment horizontal="right"/>
      <protection hidden="1"/>
    </xf>
    <xf numFmtId="0" fontId="63" fillId="0" borderId="18" xfId="0" applyFont="1" applyBorder="1" applyProtection="1">
      <protection hidden="1"/>
    </xf>
    <xf numFmtId="0" fontId="55" fillId="0" borderId="101" xfId="0" applyFont="1" applyBorder="1" applyProtection="1">
      <protection hidden="1"/>
    </xf>
    <xf numFmtId="0" fontId="55" fillId="0" borderId="101" xfId="0" applyFont="1" applyBorder="1" applyAlignment="1" applyProtection="1">
      <alignment horizontal="right"/>
      <protection hidden="1"/>
    </xf>
    <xf numFmtId="0" fontId="55" fillId="0" borderId="113" xfId="0" applyFont="1" applyBorder="1" applyAlignment="1" applyProtection="1">
      <alignment horizontal="right"/>
      <protection hidden="1"/>
    </xf>
    <xf numFmtId="0" fontId="55" fillId="0" borderId="98" xfId="0" applyFont="1" applyBorder="1" applyProtection="1">
      <protection hidden="1"/>
    </xf>
    <xf numFmtId="0" fontId="55" fillId="0" borderId="99" xfId="0" applyFont="1" applyBorder="1" applyProtection="1">
      <protection hidden="1"/>
    </xf>
    <xf numFmtId="0" fontId="55" fillId="0" borderId="99" xfId="0" applyFont="1" applyBorder="1" applyAlignment="1" applyProtection="1">
      <alignment horizontal="center"/>
      <protection hidden="1"/>
    </xf>
    <xf numFmtId="0" fontId="55" fillId="0" borderId="108" xfId="0" applyFont="1" applyBorder="1" applyAlignment="1" applyProtection="1">
      <protection hidden="1"/>
    </xf>
    <xf numFmtId="0" fontId="55" fillId="0" borderId="24" xfId="0" applyFont="1" applyBorder="1" applyProtection="1">
      <protection hidden="1"/>
    </xf>
    <xf numFmtId="0" fontId="55" fillId="0" borderId="115" xfId="0" applyFont="1" applyBorder="1" applyProtection="1">
      <protection hidden="1"/>
    </xf>
    <xf numFmtId="0" fontId="55" fillId="0" borderId="118" xfId="0" applyFont="1" applyBorder="1" applyProtection="1">
      <protection hidden="1"/>
    </xf>
    <xf numFmtId="0" fontId="55" fillId="0" borderId="26" xfId="0" applyFont="1" applyBorder="1" applyProtection="1">
      <protection hidden="1"/>
    </xf>
    <xf numFmtId="0" fontId="55" fillId="0" borderId="26" xfId="0" applyFont="1" applyBorder="1" applyAlignment="1" applyProtection="1">
      <alignment horizontal="center"/>
      <protection hidden="1"/>
    </xf>
    <xf numFmtId="0" fontId="55" fillId="0" borderId="25" xfId="0" applyFont="1" applyBorder="1" applyProtection="1">
      <protection hidden="1"/>
    </xf>
    <xf numFmtId="0" fontId="69" fillId="0" borderId="0" xfId="93" applyFont="1" applyProtection="1">
      <protection locked="0" hidden="1"/>
    </xf>
    <xf numFmtId="0" fontId="49" fillId="0" borderId="0" xfId="93" applyFont="1" applyProtection="1">
      <protection locked="0" hidden="1"/>
    </xf>
    <xf numFmtId="0" fontId="69" fillId="0" borderId="0" xfId="89" applyFont="1" applyProtection="1">
      <protection locked="0" hidden="1"/>
    </xf>
    <xf numFmtId="0" fontId="69" fillId="0" borderId="0" xfId="96" applyFont="1" applyProtection="1">
      <protection locked="0" hidden="1"/>
    </xf>
    <xf numFmtId="0" fontId="0" fillId="0" borderId="0" xfId="0" applyProtection="1">
      <protection locked="0"/>
    </xf>
    <xf numFmtId="0" fontId="67" fillId="0" borderId="0" xfId="93" applyFont="1" applyProtection="1">
      <protection locked="0"/>
    </xf>
    <xf numFmtId="0" fontId="28" fillId="0" borderId="0" xfId="89" applyFont="1" applyProtection="1">
      <protection locked="0"/>
    </xf>
    <xf numFmtId="0" fontId="6" fillId="0" borderId="0" xfId="0" applyFont="1" applyBorder="1" applyAlignment="1" applyProtection="1">
      <alignment horizontal="right"/>
      <protection hidden="1"/>
    </xf>
    <xf numFmtId="0" fontId="5" fillId="0" borderId="0" xfId="0" applyFont="1" applyBorder="1" applyAlignment="1" applyProtection="1">
      <alignment horizontal="right"/>
      <protection hidden="1"/>
    </xf>
    <xf numFmtId="0" fontId="63" fillId="0" borderId="96" xfId="0" applyFont="1" applyBorder="1" applyProtection="1">
      <protection hidden="1"/>
    </xf>
    <xf numFmtId="0" fontId="55" fillId="0" borderId="97" xfId="0" applyFont="1" applyBorder="1" applyProtection="1">
      <protection hidden="1"/>
    </xf>
    <xf numFmtId="0" fontId="55" fillId="0" borderId="97" xfId="0" applyFont="1" applyBorder="1" applyAlignment="1" applyProtection="1">
      <alignment horizontal="right"/>
      <protection hidden="1"/>
    </xf>
    <xf numFmtId="0" fontId="4" fillId="0" borderId="10" xfId="0" applyFont="1" applyBorder="1" applyAlignment="1" applyProtection="1">
      <alignment horizontal="right"/>
      <protection hidden="1"/>
    </xf>
    <xf numFmtId="0" fontId="4" fillId="0" borderId="97" xfId="0" applyFont="1" applyBorder="1" applyAlignment="1" applyProtection="1">
      <alignment horizontal="right"/>
      <protection hidden="1"/>
    </xf>
    <xf numFmtId="0" fontId="3" fillId="0" borderId="10" xfId="0" applyFont="1" applyBorder="1" applyAlignment="1" applyProtection="1">
      <alignment horizontal="right"/>
      <protection hidden="1"/>
    </xf>
    <xf numFmtId="0" fontId="0" fillId="0" borderId="41" xfId="0" applyBorder="1" applyAlignment="1">
      <alignment horizontal="center"/>
    </xf>
    <xf numFmtId="0" fontId="0" fillId="0" borderId="40" xfId="0" applyBorder="1" applyAlignment="1">
      <alignment horizontal="center"/>
    </xf>
    <xf numFmtId="14" fontId="8" fillId="0" borderId="24" xfId="30" applyNumberFormat="1" applyFont="1" applyBorder="1" applyAlignment="1">
      <alignment horizontal="center" vertical="center"/>
    </xf>
    <xf numFmtId="14" fontId="8" fillId="0" borderId="26" xfId="30" applyNumberFormat="1" applyFont="1" applyBorder="1" applyAlignment="1">
      <alignment horizontal="center" vertical="center"/>
    </xf>
    <xf numFmtId="14" fontId="8" fillId="0" borderId="25" xfId="30" applyNumberFormat="1" applyFont="1" applyBorder="1" applyAlignment="1">
      <alignment horizontal="center" vertical="center"/>
    </xf>
    <xf numFmtId="181" fontId="8" fillId="0" borderId="24" xfId="30" applyNumberFormat="1" applyFont="1" applyBorder="1" applyAlignment="1">
      <alignment horizontal="center" vertical="center" shrinkToFit="1"/>
    </xf>
    <xf numFmtId="181" fontId="8" fillId="0" borderId="26" xfId="30" applyNumberFormat="1" applyFont="1" applyBorder="1" applyAlignment="1">
      <alignment horizontal="center" vertical="center" shrinkToFit="1"/>
    </xf>
    <xf numFmtId="181" fontId="8" fillId="0" borderId="25" xfId="30" applyNumberFormat="1" applyFont="1" applyBorder="1" applyAlignment="1">
      <alignment horizontal="center" vertical="center" shrinkToFit="1"/>
    </xf>
    <xf numFmtId="0" fontId="8" fillId="0" borderId="24" xfId="30" applyFont="1" applyBorder="1" applyAlignment="1">
      <alignment horizontal="center" vertical="center"/>
    </xf>
    <xf numFmtId="0" fontId="8" fillId="0" borderId="26" xfId="30" applyFont="1" applyBorder="1" applyAlignment="1">
      <alignment horizontal="center" vertical="center"/>
    </xf>
    <xf numFmtId="0" fontId="8" fillId="0" borderId="25" xfId="30" applyFont="1" applyBorder="1" applyAlignment="1">
      <alignment horizontal="center" vertical="center"/>
    </xf>
    <xf numFmtId="0" fontId="8" fillId="0" borderId="24" xfId="30" applyFont="1" applyBorder="1" applyAlignment="1">
      <alignment horizontal="center" vertical="center" wrapText="1"/>
    </xf>
    <xf numFmtId="0" fontId="8" fillId="0" borderId="26" xfId="30" applyFont="1" applyBorder="1" applyAlignment="1">
      <alignment horizontal="center" vertical="center" wrapText="1"/>
    </xf>
    <xf numFmtId="0" fontId="8" fillId="0" borderId="25" xfId="30" applyFont="1" applyBorder="1" applyAlignment="1">
      <alignment horizontal="center" vertical="center" wrapText="1"/>
    </xf>
    <xf numFmtId="0" fontId="0" fillId="0" borderId="38" xfId="0" applyBorder="1" applyAlignment="1">
      <alignment horizontal="center"/>
    </xf>
    <xf numFmtId="0" fontId="0" fillId="0" borderId="42" xfId="0" applyBorder="1" applyAlignment="1">
      <alignment horizontal="center"/>
    </xf>
    <xf numFmtId="0" fontId="52" fillId="0" borderId="82" xfId="0" applyFont="1" applyBorder="1" applyAlignment="1">
      <alignment wrapText="1"/>
    </xf>
    <xf numFmtId="0" fontId="0" fillId="0" borderId="82" xfId="0" applyBorder="1" applyAlignment="1">
      <alignment wrapText="1"/>
    </xf>
    <xf numFmtId="0" fontId="7" fillId="0" borderId="21" xfId="30" applyFont="1" applyBorder="1" applyAlignment="1">
      <alignment horizontal="center"/>
    </xf>
    <xf numFmtId="0" fontId="7" fillId="0" borderId="22" xfId="30" applyFont="1" applyBorder="1" applyAlignment="1">
      <alignment horizontal="center"/>
    </xf>
    <xf numFmtId="0" fontId="0" fillId="0" borderId="22" xfId="0" applyBorder="1" applyAlignment="1"/>
    <xf numFmtId="0" fontId="0" fillId="0" borderId="23" xfId="0" applyBorder="1" applyAlignment="1"/>
    <xf numFmtId="0" fontId="7" fillId="0" borderId="16" xfId="30" applyFont="1" applyBorder="1" applyAlignment="1">
      <alignment horizontal="center"/>
    </xf>
    <xf numFmtId="0" fontId="7" fillId="0" borderId="0" xfId="30" applyFont="1" applyBorder="1" applyAlignment="1">
      <alignment horizontal="center"/>
    </xf>
    <xf numFmtId="0" fontId="0" fillId="0" borderId="0" xfId="0" applyBorder="1" applyAlignment="1"/>
    <xf numFmtId="0" fontId="0" fillId="0" borderId="6" xfId="0" applyBorder="1" applyAlignment="1"/>
    <xf numFmtId="0" fontId="7" fillId="0" borderId="24" xfId="30" applyFont="1" applyBorder="1" applyAlignment="1">
      <alignment horizontal="center"/>
    </xf>
    <xf numFmtId="0" fontId="7" fillId="0" borderId="26" xfId="30" applyFont="1" applyBorder="1" applyAlignment="1">
      <alignment horizontal="center"/>
    </xf>
    <xf numFmtId="0" fontId="0" fillId="0" borderId="26" xfId="0" applyBorder="1" applyAlignment="1"/>
    <xf numFmtId="0" fontId="0" fillId="0" borderId="25" xfId="0" applyBorder="1" applyAlignment="1"/>
    <xf numFmtId="0" fontId="0" fillId="0" borderId="39" xfId="0" applyBorder="1" applyAlignment="1">
      <alignment horizontal="center"/>
    </xf>
    <xf numFmtId="0" fontId="7" fillId="0" borderId="26" xfId="0" applyFont="1" applyBorder="1" applyAlignment="1">
      <alignment horizontal="center" vertical="center" wrapText="1"/>
    </xf>
    <xf numFmtId="0" fontId="7" fillId="0" borderId="25" xfId="0" applyFont="1" applyBorder="1" applyAlignment="1">
      <alignment horizontal="center" vertical="center" wrapText="1"/>
    </xf>
    <xf numFmtId="49" fontId="8" fillId="0" borderId="24" xfId="30" applyNumberFormat="1" applyFont="1" applyBorder="1" applyAlignment="1">
      <alignment horizontal="center" vertical="center"/>
    </xf>
    <xf numFmtId="49" fontId="8" fillId="0" borderId="26" xfId="30" applyNumberFormat="1" applyFont="1" applyBorder="1" applyAlignment="1">
      <alignment horizontal="center" vertical="center"/>
    </xf>
    <xf numFmtId="49" fontId="8" fillId="0" borderId="25" xfId="30" applyNumberFormat="1" applyFont="1" applyBorder="1" applyAlignment="1">
      <alignment horizontal="center" vertical="center"/>
    </xf>
    <xf numFmtId="0" fontId="2" fillId="0" borderId="41" xfId="0" applyFont="1" applyBorder="1" applyAlignment="1" applyProtection="1">
      <alignment horizontal="center"/>
      <protection locked="0"/>
    </xf>
    <xf numFmtId="0" fontId="55" fillId="0" borderId="38" xfId="0" applyFont="1" applyBorder="1" applyAlignment="1" applyProtection="1">
      <alignment horizontal="center"/>
      <protection locked="0"/>
    </xf>
    <xf numFmtId="0" fontId="55" fillId="0" borderId="42" xfId="0" applyFont="1" applyBorder="1" applyAlignment="1" applyProtection="1">
      <alignment horizontal="center"/>
      <protection locked="0"/>
    </xf>
    <xf numFmtId="0" fontId="55" fillId="8" borderId="18" xfId="0" applyFont="1" applyFill="1" applyBorder="1" applyAlignment="1" applyProtection="1">
      <alignment horizontal="center"/>
      <protection locked="0" hidden="1"/>
    </xf>
    <xf numFmtId="0" fontId="55" fillId="8" borderId="10" xfId="0" applyFont="1" applyFill="1" applyBorder="1" applyAlignment="1" applyProtection="1">
      <alignment horizontal="center"/>
      <protection locked="0" hidden="1"/>
    </xf>
    <xf numFmtId="0" fontId="55" fillId="8" borderId="101" xfId="0" applyFont="1" applyFill="1" applyBorder="1" applyAlignment="1" applyProtection="1">
      <alignment horizontal="center"/>
      <protection locked="0" hidden="1"/>
    </xf>
    <xf numFmtId="0" fontId="55" fillId="0" borderId="0" xfId="0" applyFont="1" applyAlignment="1" applyProtection="1">
      <alignment horizontal="center"/>
      <protection hidden="1"/>
    </xf>
    <xf numFmtId="9" fontId="55" fillId="0" borderId="120" xfId="0" applyNumberFormat="1" applyFont="1" applyBorder="1" applyAlignment="1" applyProtection="1">
      <alignment horizontal="center"/>
      <protection locked="0" hidden="1"/>
    </xf>
    <xf numFmtId="0" fontId="55" fillId="0" borderId="120" xfId="0" applyFont="1" applyBorder="1" applyAlignment="1" applyProtection="1">
      <alignment horizontal="center"/>
      <protection locked="0" hidden="1"/>
    </xf>
    <xf numFmtId="0" fontId="69" fillId="0" borderId="1" xfId="0" applyFont="1" applyBorder="1" applyAlignment="1" applyProtection="1">
      <alignment horizontal="center"/>
      <protection locked="0" hidden="1"/>
    </xf>
    <xf numFmtId="0" fontId="69" fillId="0" borderId="0" xfId="0" applyFont="1" applyBorder="1" applyAlignment="1" applyProtection="1">
      <alignment horizontal="center"/>
      <protection locked="0" hidden="1"/>
    </xf>
    <xf numFmtId="183" fontId="69" fillId="0" borderId="0" xfId="0" applyNumberFormat="1" applyFont="1" applyBorder="1" applyAlignment="1" applyProtection="1">
      <alignment horizontal="center"/>
      <protection locked="0" hidden="1"/>
    </xf>
    <xf numFmtId="184" fontId="69" fillId="0" borderId="0" xfId="0" applyNumberFormat="1" applyFont="1" applyBorder="1" applyAlignment="1" applyProtection="1">
      <alignment horizontal="center"/>
      <protection locked="0" hidden="1"/>
    </xf>
    <xf numFmtId="185" fontId="69" fillId="0" borderId="0" xfId="0" applyNumberFormat="1" applyFont="1" applyBorder="1" applyAlignment="1" applyProtection="1">
      <alignment horizontal="center"/>
      <protection locked="0" hidden="1"/>
    </xf>
    <xf numFmtId="0" fontId="69" fillId="0" borderId="110" xfId="0" applyFont="1" applyBorder="1" applyAlignment="1" applyProtection="1">
      <alignment horizontal="center"/>
      <protection locked="0" hidden="1"/>
    </xf>
    <xf numFmtId="0" fontId="55" fillId="0" borderId="41" xfId="0" applyFont="1" applyBorder="1" applyAlignment="1" applyProtection="1">
      <alignment horizontal="right" indent="1"/>
      <protection hidden="1"/>
    </xf>
    <xf numFmtId="0" fontId="55" fillId="0" borderId="38" xfId="0" applyFont="1" applyBorder="1" applyAlignment="1" applyProtection="1">
      <alignment horizontal="right" indent="1"/>
      <protection hidden="1"/>
    </xf>
    <xf numFmtId="0" fontId="55" fillId="0" borderId="42" xfId="0" applyFont="1" applyBorder="1" applyAlignment="1" applyProtection="1">
      <alignment horizontal="right" indent="1"/>
      <protection hidden="1"/>
    </xf>
    <xf numFmtId="0" fontId="55" fillId="0" borderId="18" xfId="0" applyFont="1" applyBorder="1" applyAlignment="1" applyProtection="1">
      <alignment horizontal="center"/>
      <protection locked="0" hidden="1"/>
    </xf>
    <xf numFmtId="0" fontId="55" fillId="0" borderId="10" xfId="0" applyFont="1" applyBorder="1" applyAlignment="1" applyProtection="1">
      <alignment horizontal="center"/>
      <protection locked="0" hidden="1"/>
    </xf>
    <xf numFmtId="0" fontId="55" fillId="0" borderId="101" xfId="0" applyFont="1" applyBorder="1" applyAlignment="1" applyProtection="1">
      <alignment horizontal="center"/>
      <protection locked="0" hidden="1"/>
    </xf>
    <xf numFmtId="0" fontId="69" fillId="0" borderId="119" xfId="0" applyFont="1" applyBorder="1" applyAlignment="1" applyProtection="1">
      <alignment horizontal="center" vertical="center" wrapText="1"/>
      <protection hidden="1"/>
    </xf>
    <xf numFmtId="0" fontId="55" fillId="0" borderId="120" xfId="0" applyFont="1" applyBorder="1" applyAlignment="1" applyProtection="1">
      <alignment vertical="center" wrapText="1"/>
      <protection hidden="1"/>
    </xf>
    <xf numFmtId="0" fontId="55" fillId="0" borderId="5" xfId="0" applyFont="1" applyBorder="1" applyAlignment="1" applyProtection="1">
      <alignment vertical="center" wrapText="1"/>
      <protection hidden="1"/>
    </xf>
    <xf numFmtId="0" fontId="55" fillId="0" borderId="122" xfId="0" applyFont="1" applyBorder="1" applyAlignment="1" applyProtection="1">
      <alignment vertical="center" wrapText="1"/>
      <protection hidden="1"/>
    </xf>
    <xf numFmtId="0" fontId="69" fillId="0" borderId="120" xfId="0" applyFont="1" applyBorder="1" applyAlignment="1" applyProtection="1">
      <alignment horizontal="center" vertical="center" wrapText="1"/>
      <protection hidden="1"/>
    </xf>
    <xf numFmtId="0" fontId="0" fillId="0" borderId="120" xfId="0" applyFont="1" applyBorder="1" applyAlignment="1" applyProtection="1">
      <alignment vertical="center" wrapText="1"/>
      <protection hidden="1"/>
    </xf>
    <xf numFmtId="0" fontId="0" fillId="0" borderId="122" xfId="0" applyFont="1" applyBorder="1" applyAlignment="1" applyProtection="1">
      <alignment vertical="center" wrapText="1"/>
      <protection hidden="1"/>
    </xf>
    <xf numFmtId="0" fontId="0" fillId="0" borderId="121" xfId="0" applyFont="1" applyBorder="1" applyAlignment="1" applyProtection="1">
      <alignment vertical="center" wrapText="1"/>
      <protection hidden="1"/>
    </xf>
    <xf numFmtId="0" fontId="0" fillId="0" borderId="55" xfId="0" applyFont="1" applyBorder="1" applyAlignment="1" applyProtection="1">
      <alignment vertical="center" wrapText="1"/>
      <protection hidden="1"/>
    </xf>
    <xf numFmtId="0" fontId="8" fillId="0" borderId="24" xfId="30" applyFont="1" applyBorder="1" applyAlignment="1" applyProtection="1">
      <alignment horizontal="center" vertical="center"/>
      <protection hidden="1"/>
    </xf>
    <xf numFmtId="0" fontId="8" fillId="0" borderId="26" xfId="30" applyFont="1" applyBorder="1" applyAlignment="1" applyProtection="1">
      <alignment horizontal="center" vertical="center"/>
      <protection hidden="1"/>
    </xf>
    <xf numFmtId="0" fontId="8" fillId="0" borderId="25" xfId="30" applyFont="1" applyBorder="1" applyAlignment="1" applyProtection="1">
      <alignment horizontal="center" vertical="center"/>
      <protection hidden="1"/>
    </xf>
    <xf numFmtId="0" fontId="8" fillId="0" borderId="24" xfId="30" applyFont="1" applyBorder="1" applyAlignment="1" applyProtection="1">
      <alignment horizontal="center" vertical="center" wrapText="1"/>
      <protection hidden="1"/>
    </xf>
    <xf numFmtId="0" fontId="8" fillId="0" borderId="26" xfId="30" applyFont="1" applyBorder="1" applyAlignment="1" applyProtection="1">
      <alignment horizontal="center" vertical="center" wrapText="1"/>
      <protection hidden="1"/>
    </xf>
    <xf numFmtId="0" fontId="8" fillId="0" borderId="25" xfId="30" applyFont="1" applyBorder="1" applyAlignment="1" applyProtection="1">
      <alignment horizontal="center" vertical="center" wrapText="1"/>
      <protection hidden="1"/>
    </xf>
    <xf numFmtId="181" fontId="8" fillId="0" borderId="24" xfId="30" applyNumberFormat="1" applyFont="1" applyBorder="1" applyAlignment="1" applyProtection="1">
      <alignment horizontal="center" vertical="center" shrinkToFit="1"/>
      <protection hidden="1"/>
    </xf>
    <xf numFmtId="181" fontId="8" fillId="0" borderId="26" xfId="30" applyNumberFormat="1" applyFont="1" applyBorder="1" applyAlignment="1" applyProtection="1">
      <alignment horizontal="center" vertical="center" shrinkToFit="1"/>
      <protection hidden="1"/>
    </xf>
    <xf numFmtId="181" fontId="8" fillId="0" borderId="25" xfId="30" applyNumberFormat="1" applyFont="1" applyBorder="1" applyAlignment="1" applyProtection="1">
      <alignment horizontal="center" vertical="center" shrinkToFit="1"/>
      <protection hidden="1"/>
    </xf>
    <xf numFmtId="14" fontId="8" fillId="0" borderId="24" xfId="30" applyNumberFormat="1" applyFont="1" applyBorder="1" applyAlignment="1" applyProtection="1">
      <alignment horizontal="center" vertical="center"/>
      <protection hidden="1"/>
    </xf>
    <xf numFmtId="14" fontId="8" fillId="0" borderId="26" xfId="30" applyNumberFormat="1" applyFont="1" applyBorder="1" applyAlignment="1" applyProtection="1">
      <alignment horizontal="center" vertical="center"/>
      <protection hidden="1"/>
    </xf>
    <xf numFmtId="14" fontId="8" fillId="0" borderId="25" xfId="30" applyNumberFormat="1" applyFont="1" applyBorder="1" applyAlignment="1" applyProtection="1">
      <alignment horizontal="center" vertical="center"/>
      <protection hidden="1"/>
    </xf>
    <xf numFmtId="0" fontId="7" fillId="0" borderId="21" xfId="30" applyFont="1" applyBorder="1" applyAlignment="1" applyProtection="1">
      <alignment horizontal="center"/>
      <protection hidden="1"/>
    </xf>
    <xf numFmtId="0" fontId="7" fillId="0" borderId="22" xfId="30" applyFont="1" applyBorder="1" applyAlignment="1" applyProtection="1">
      <alignment horizontal="center"/>
      <protection hidden="1"/>
    </xf>
    <xf numFmtId="0" fontId="0" fillId="0" borderId="22" xfId="0" applyBorder="1" applyAlignment="1" applyProtection="1">
      <protection hidden="1"/>
    </xf>
    <xf numFmtId="0" fontId="0" fillId="0" borderId="23" xfId="0" applyBorder="1" applyAlignment="1" applyProtection="1">
      <protection hidden="1"/>
    </xf>
    <xf numFmtId="0" fontId="7" fillId="0" borderId="16" xfId="30" applyFont="1" applyBorder="1" applyAlignment="1" applyProtection="1">
      <alignment horizontal="center"/>
      <protection hidden="1"/>
    </xf>
    <xf numFmtId="0" fontId="7" fillId="0" borderId="0" xfId="30" applyFont="1" applyBorder="1" applyAlignment="1" applyProtection="1">
      <alignment horizontal="center"/>
      <protection hidden="1"/>
    </xf>
    <xf numFmtId="0" fontId="0" fillId="0" borderId="0" xfId="0" applyBorder="1" applyAlignment="1" applyProtection="1">
      <protection hidden="1"/>
    </xf>
    <xf numFmtId="0" fontId="0" fillId="0" borderId="6" xfId="0" applyBorder="1" applyAlignment="1" applyProtection="1">
      <protection hidden="1"/>
    </xf>
    <xf numFmtId="0" fontId="7" fillId="0" borderId="24" xfId="30" applyFont="1" applyBorder="1" applyAlignment="1" applyProtection="1">
      <alignment horizontal="center"/>
      <protection hidden="1"/>
    </xf>
    <xf numFmtId="0" fontId="7" fillId="0" borderId="26" xfId="30" applyFont="1" applyBorder="1" applyAlignment="1" applyProtection="1">
      <alignment horizontal="center"/>
      <protection hidden="1"/>
    </xf>
    <xf numFmtId="0" fontId="0" fillId="0" borderId="26" xfId="0" applyBorder="1" applyAlignment="1" applyProtection="1">
      <protection hidden="1"/>
    </xf>
    <xf numFmtId="0" fontId="0" fillId="0" borderId="25" xfId="0" applyBorder="1" applyAlignment="1" applyProtection="1">
      <protection hidden="1"/>
    </xf>
    <xf numFmtId="0" fontId="7" fillId="0" borderId="26" xfId="0" applyFont="1" applyBorder="1" applyAlignment="1" applyProtection="1">
      <alignment horizontal="center" vertical="center" wrapText="1"/>
      <protection hidden="1"/>
    </xf>
    <xf numFmtId="0" fontId="7" fillId="0" borderId="25" xfId="0" applyFont="1" applyBorder="1" applyAlignment="1" applyProtection="1">
      <alignment horizontal="center" vertical="center" wrapText="1"/>
      <protection hidden="1"/>
    </xf>
    <xf numFmtId="49" fontId="8" fillId="0" borderId="24" xfId="30" applyNumberFormat="1" applyFont="1" applyBorder="1" applyAlignment="1" applyProtection="1">
      <alignment horizontal="center" vertical="center"/>
      <protection hidden="1"/>
    </xf>
    <xf numFmtId="0" fontId="8" fillId="0" borderId="26" xfId="30" applyNumberFormat="1" applyFont="1" applyBorder="1" applyAlignment="1" applyProtection="1">
      <alignment horizontal="center" vertical="center"/>
      <protection hidden="1"/>
    </xf>
    <xf numFmtId="0" fontId="8" fillId="0" borderId="25" xfId="30" applyNumberFormat="1" applyFont="1" applyBorder="1" applyAlignment="1" applyProtection="1">
      <alignment horizontal="center" vertical="center"/>
      <protection hidden="1"/>
    </xf>
    <xf numFmtId="0" fontId="55" fillId="0" borderId="39" xfId="0" applyFont="1" applyBorder="1" applyAlignment="1" applyProtection="1">
      <alignment horizontal="center"/>
      <protection hidden="1"/>
    </xf>
    <xf numFmtId="0" fontId="55" fillId="0" borderId="42" xfId="0" applyFont="1" applyBorder="1" applyAlignment="1" applyProtection="1">
      <alignment horizontal="center"/>
      <protection hidden="1"/>
    </xf>
    <xf numFmtId="0" fontId="55" fillId="8" borderId="96" xfId="0" applyNumberFormat="1" applyFont="1" applyFill="1" applyBorder="1" applyAlignment="1" applyProtection="1">
      <alignment horizontal="center"/>
      <protection locked="0" hidden="1"/>
    </xf>
    <xf numFmtId="0" fontId="55" fillId="8" borderId="97" xfId="0" applyNumberFormat="1" applyFont="1" applyFill="1" applyBorder="1" applyAlignment="1" applyProtection="1">
      <alignment horizontal="center"/>
      <protection locked="0" hidden="1"/>
    </xf>
    <xf numFmtId="0" fontId="55" fillId="8" borderId="112" xfId="0" applyNumberFormat="1" applyFont="1" applyFill="1" applyBorder="1" applyAlignment="1" applyProtection="1">
      <alignment horizontal="center"/>
      <protection locked="0" hidden="1"/>
    </xf>
    <xf numFmtId="0" fontId="55" fillId="8" borderId="18" xfId="0" applyNumberFormat="1" applyFont="1" applyFill="1" applyBorder="1" applyAlignment="1" applyProtection="1">
      <alignment horizontal="center"/>
      <protection locked="0" hidden="1"/>
    </xf>
    <xf numFmtId="0" fontId="55" fillId="8" borderId="10" xfId="0" applyNumberFormat="1" applyFont="1" applyFill="1" applyBorder="1" applyAlignment="1" applyProtection="1">
      <alignment horizontal="center"/>
      <protection locked="0" hidden="1"/>
    </xf>
    <xf numFmtId="0" fontId="55" fillId="0" borderId="18" xfId="0" applyNumberFormat="1" applyFont="1" applyFill="1" applyBorder="1" applyAlignment="1" applyProtection="1">
      <alignment horizontal="center"/>
      <protection locked="0" hidden="1"/>
    </xf>
    <xf numFmtId="0" fontId="55" fillId="0" borderId="10" xfId="0" applyNumberFormat="1" applyFont="1" applyFill="1" applyBorder="1" applyAlignment="1" applyProtection="1">
      <alignment horizontal="center"/>
      <protection locked="0" hidden="1"/>
    </xf>
    <xf numFmtId="0" fontId="55" fillId="0" borderId="101" xfId="0" applyNumberFormat="1" applyFont="1" applyFill="1" applyBorder="1" applyAlignment="1" applyProtection="1">
      <alignment horizontal="center"/>
      <protection locked="0" hidden="1"/>
    </xf>
    <xf numFmtId="0" fontId="55" fillId="0" borderId="98" xfId="0" applyNumberFormat="1" applyFont="1" applyFill="1" applyBorder="1" applyAlignment="1" applyProtection="1">
      <alignment horizontal="center"/>
      <protection locked="0" hidden="1"/>
    </xf>
    <xf numFmtId="0" fontId="55" fillId="0" borderId="99" xfId="0" applyNumberFormat="1" applyFont="1" applyFill="1" applyBorder="1" applyAlignment="1" applyProtection="1">
      <alignment horizontal="center"/>
      <protection locked="0" hidden="1"/>
    </xf>
    <xf numFmtId="0" fontId="55" fillId="0" borderId="108" xfId="0" applyNumberFormat="1" applyFont="1" applyFill="1" applyBorder="1" applyAlignment="1" applyProtection="1">
      <alignment horizontal="center"/>
      <protection locked="0" hidden="1"/>
    </xf>
    <xf numFmtId="0" fontId="5" fillId="8" borderId="96" xfId="0" applyFont="1" applyFill="1" applyBorder="1" applyAlignment="1" applyProtection="1">
      <alignment horizontal="center"/>
      <protection locked="0" hidden="1"/>
    </xf>
    <xf numFmtId="0" fontId="55" fillId="8" borderId="97" xfId="0" applyFont="1" applyFill="1" applyBorder="1" applyAlignment="1" applyProtection="1">
      <alignment horizontal="center"/>
      <protection locked="0" hidden="1"/>
    </xf>
    <xf numFmtId="0" fontId="55" fillId="8" borderId="112" xfId="0" applyFont="1" applyFill="1" applyBorder="1" applyAlignment="1" applyProtection="1">
      <alignment horizontal="center"/>
      <protection locked="0" hidden="1"/>
    </xf>
    <xf numFmtId="10" fontId="55" fillId="8" borderId="18" xfId="0" applyNumberFormat="1" applyFont="1" applyFill="1" applyBorder="1" applyAlignment="1" applyProtection="1">
      <alignment horizontal="center"/>
      <protection locked="0" hidden="1"/>
    </xf>
    <xf numFmtId="10" fontId="55" fillId="8" borderId="10" xfId="0" applyNumberFormat="1" applyFont="1" applyFill="1" applyBorder="1" applyAlignment="1" applyProtection="1">
      <alignment horizontal="center"/>
      <protection locked="0" hidden="1"/>
    </xf>
    <xf numFmtId="10" fontId="55" fillId="8" borderId="101" xfId="0" applyNumberFormat="1" applyFont="1" applyFill="1" applyBorder="1" applyAlignment="1" applyProtection="1">
      <alignment horizontal="center"/>
      <protection locked="0" hidden="1"/>
    </xf>
    <xf numFmtId="0" fontId="55" fillId="0" borderId="105" xfId="0" applyFont="1" applyBorder="1" applyAlignment="1" applyProtection="1">
      <alignment horizontal="center"/>
      <protection hidden="1"/>
    </xf>
    <xf numFmtId="0" fontId="55" fillId="0" borderId="106" xfId="0" applyFont="1" applyBorder="1" applyAlignment="1" applyProtection="1">
      <alignment horizontal="center"/>
      <protection hidden="1"/>
    </xf>
    <xf numFmtId="0" fontId="55" fillId="0" borderId="107" xfId="0" applyFont="1" applyBorder="1" applyAlignment="1" applyProtection="1">
      <alignment horizontal="center"/>
      <protection hidden="1"/>
    </xf>
    <xf numFmtId="0" fontId="55" fillId="0" borderId="41" xfId="0" applyFont="1" applyBorder="1" applyAlignment="1" applyProtection="1">
      <alignment horizontal="center"/>
      <protection hidden="1"/>
    </xf>
    <xf numFmtId="0" fontId="55" fillId="0" borderId="40" xfId="0" applyFont="1" applyBorder="1" applyAlignment="1" applyProtection="1">
      <alignment horizontal="center"/>
      <protection hidden="1"/>
    </xf>
    <xf numFmtId="182" fontId="55" fillId="8" borderId="96" xfId="0" applyNumberFormat="1" applyFont="1" applyFill="1" applyBorder="1" applyAlignment="1" applyProtection="1">
      <alignment horizontal="center"/>
      <protection locked="0" hidden="1"/>
    </xf>
    <xf numFmtId="182" fontId="55" fillId="8" borderId="97" xfId="0" applyNumberFormat="1" applyFont="1" applyFill="1" applyBorder="1" applyAlignment="1" applyProtection="1">
      <alignment horizontal="center"/>
      <protection locked="0" hidden="1"/>
    </xf>
    <xf numFmtId="182" fontId="55" fillId="8" borderId="112" xfId="0" applyNumberFormat="1" applyFont="1" applyFill="1" applyBorder="1" applyAlignment="1" applyProtection="1">
      <alignment horizontal="center"/>
      <protection locked="0" hidden="1"/>
    </xf>
    <xf numFmtId="0" fontId="55" fillId="0" borderId="18" xfId="0" applyFont="1" applyFill="1" applyBorder="1" applyAlignment="1" applyProtection="1">
      <alignment horizontal="center"/>
      <protection locked="0" hidden="1"/>
    </xf>
    <xf numFmtId="0" fontId="55" fillId="0" borderId="10" xfId="0" applyFont="1" applyFill="1" applyBorder="1" applyAlignment="1" applyProtection="1">
      <alignment horizontal="center"/>
      <protection locked="0" hidden="1"/>
    </xf>
    <xf numFmtId="0" fontId="55" fillId="0" borderId="101" xfId="0" applyFont="1" applyFill="1" applyBorder="1" applyAlignment="1" applyProtection="1">
      <alignment horizontal="center"/>
      <protection locked="0" hidden="1"/>
    </xf>
    <xf numFmtId="0" fontId="55" fillId="8" borderId="98" xfId="0" applyNumberFormat="1" applyFont="1" applyFill="1" applyBorder="1" applyAlignment="1" applyProtection="1">
      <alignment horizontal="center"/>
      <protection locked="0" hidden="1"/>
    </xf>
    <xf numFmtId="0" fontId="55" fillId="8" borderId="99" xfId="0" applyNumberFormat="1" applyFont="1" applyFill="1" applyBorder="1" applyAlignment="1" applyProtection="1">
      <alignment horizontal="center"/>
      <protection locked="0" hidden="1"/>
    </xf>
    <xf numFmtId="0" fontId="55" fillId="8" borderId="108" xfId="0" applyNumberFormat="1" applyFont="1" applyFill="1" applyBorder="1" applyAlignment="1" applyProtection="1">
      <alignment horizontal="center"/>
      <protection locked="0" hidden="1"/>
    </xf>
    <xf numFmtId="0" fontId="55" fillId="0" borderId="18" xfId="0" applyFont="1" applyBorder="1" applyAlignment="1" applyProtection="1">
      <alignment horizontal="center"/>
      <protection hidden="1"/>
    </xf>
    <xf numFmtId="0" fontId="55" fillId="0" borderId="10" xfId="0" applyFont="1" applyBorder="1" applyAlignment="1" applyProtection="1">
      <alignment horizontal="center"/>
      <protection hidden="1"/>
    </xf>
    <xf numFmtId="0" fontId="55" fillId="0" borderId="101" xfId="0" applyFont="1" applyBorder="1" applyAlignment="1" applyProtection="1">
      <alignment horizontal="center"/>
      <protection hidden="1"/>
    </xf>
    <xf numFmtId="0" fontId="55" fillId="8" borderId="101" xfId="0" applyNumberFormat="1" applyFont="1" applyFill="1" applyBorder="1" applyAlignment="1" applyProtection="1">
      <alignment horizontal="center"/>
      <protection locked="0" hidden="1"/>
    </xf>
    <xf numFmtId="0" fontId="55" fillId="0" borderId="98" xfId="0" applyFont="1" applyBorder="1" applyAlignment="1" applyProtection="1">
      <alignment horizontal="center"/>
      <protection hidden="1"/>
    </xf>
    <xf numFmtId="0" fontId="55" fillId="0" borderId="99" xfId="0" applyFont="1" applyBorder="1" applyAlignment="1" applyProtection="1">
      <alignment horizontal="center"/>
      <protection hidden="1"/>
    </xf>
    <xf numFmtId="0" fontId="55" fillId="0" borderId="108" xfId="0" applyFont="1" applyBorder="1" applyAlignment="1" applyProtection="1">
      <alignment horizontal="center"/>
      <protection hidden="1"/>
    </xf>
    <xf numFmtId="0" fontId="55" fillId="0" borderId="93" xfId="0" applyFont="1" applyBorder="1" applyAlignment="1" applyProtection="1">
      <alignment horizontal="center"/>
      <protection hidden="1"/>
    </xf>
    <xf numFmtId="0" fontId="55" fillId="0" borderId="94" xfId="0" applyFont="1" applyBorder="1" applyAlignment="1" applyProtection="1">
      <alignment horizontal="center"/>
      <protection hidden="1"/>
    </xf>
    <xf numFmtId="0" fontId="55" fillId="0" borderId="95" xfId="0" applyFont="1" applyBorder="1" applyAlignment="1" applyProtection="1">
      <alignment horizontal="center"/>
      <protection hidden="1"/>
    </xf>
    <xf numFmtId="0" fontId="55" fillId="0" borderId="103" xfId="0" applyFont="1" applyBorder="1" applyAlignment="1" applyProtection="1">
      <alignment horizontal="center"/>
      <protection hidden="1"/>
    </xf>
    <xf numFmtId="0" fontId="55" fillId="0" borderId="114" xfId="0" applyFont="1" applyBorder="1" applyAlignment="1" applyProtection="1">
      <alignment horizontal="center"/>
      <protection hidden="1"/>
    </xf>
    <xf numFmtId="0" fontId="64" fillId="0" borderId="10" xfId="0" applyFont="1" applyBorder="1" applyAlignment="1" applyProtection="1">
      <alignment horizontal="left" shrinkToFit="1"/>
      <protection hidden="1"/>
    </xf>
    <xf numFmtId="0" fontId="55" fillId="8" borderId="114" xfId="0" applyFont="1" applyFill="1" applyBorder="1" applyAlignment="1" applyProtection="1">
      <alignment horizontal="center"/>
      <protection locked="0" hidden="1"/>
    </xf>
    <xf numFmtId="0" fontId="55" fillId="8" borderId="109" xfId="0" applyFont="1" applyFill="1" applyBorder="1" applyAlignment="1" applyProtection="1">
      <protection locked="0" hidden="1"/>
    </xf>
    <xf numFmtId="0" fontId="55" fillId="8" borderId="43" xfId="0" applyFont="1" applyFill="1" applyBorder="1" applyAlignment="1" applyProtection="1">
      <protection locked="0" hidden="1"/>
    </xf>
    <xf numFmtId="0" fontId="55" fillId="8" borderId="17" xfId="0" applyFont="1" applyFill="1" applyBorder="1" applyAlignment="1" applyProtection="1">
      <protection locked="0" hidden="1"/>
    </xf>
    <xf numFmtId="0" fontId="55" fillId="8" borderId="61" xfId="0" applyFont="1" applyFill="1" applyBorder="1" applyAlignment="1" applyProtection="1">
      <protection locked="0" hidden="1"/>
    </xf>
    <xf numFmtId="0" fontId="55" fillId="0" borderId="10" xfId="0" applyFont="1" applyBorder="1" applyAlignment="1" applyProtection="1">
      <alignment horizontal="right" shrinkToFit="1"/>
      <protection hidden="1"/>
    </xf>
    <xf numFmtId="0" fontId="55" fillId="0" borderId="101" xfId="0" applyFont="1" applyBorder="1" applyAlignment="1" applyProtection="1">
      <alignment horizontal="right" shrinkToFit="1"/>
      <protection hidden="1"/>
    </xf>
    <xf numFmtId="0" fontId="55" fillId="0" borderId="103" xfId="0" applyFont="1" applyBorder="1" applyAlignment="1" applyProtection="1">
      <alignment horizontal="right" shrinkToFit="1"/>
      <protection hidden="1"/>
    </xf>
    <xf numFmtId="0" fontId="55" fillId="0" borderId="113" xfId="0" applyFont="1" applyBorder="1" applyAlignment="1" applyProtection="1">
      <alignment horizontal="right" shrinkToFit="1"/>
      <protection hidden="1"/>
    </xf>
    <xf numFmtId="0" fontId="69" fillId="0" borderId="5" xfId="0" applyFont="1" applyBorder="1" applyAlignment="1" applyProtection="1">
      <alignment horizontal="center"/>
      <protection locked="0" hidden="1"/>
    </xf>
    <xf numFmtId="0" fontId="69" fillId="0" borderId="122" xfId="0" applyFont="1" applyBorder="1" applyAlignment="1" applyProtection="1">
      <alignment horizontal="center"/>
      <protection locked="0" hidden="1"/>
    </xf>
    <xf numFmtId="183" fontId="69" fillId="0" borderId="122" xfId="0" applyNumberFormat="1" applyFont="1" applyBorder="1" applyAlignment="1" applyProtection="1">
      <alignment horizontal="center"/>
      <protection locked="0" hidden="1"/>
    </xf>
    <xf numFmtId="184" fontId="69" fillId="0" borderId="122" xfId="0" applyNumberFormat="1" applyFont="1" applyBorder="1" applyAlignment="1" applyProtection="1">
      <alignment horizontal="center"/>
      <protection locked="0" hidden="1"/>
    </xf>
    <xf numFmtId="185" fontId="69" fillId="0" borderId="122" xfId="0" applyNumberFormat="1" applyFont="1" applyBorder="1" applyAlignment="1" applyProtection="1">
      <alignment horizontal="center"/>
      <protection locked="0" hidden="1"/>
    </xf>
    <xf numFmtId="0" fontId="69" fillId="0" borderId="55" xfId="0" applyFont="1" applyBorder="1" applyAlignment="1" applyProtection="1">
      <alignment horizontal="center"/>
      <protection locked="0" hidden="1"/>
    </xf>
    <xf numFmtId="0" fontId="55" fillId="0" borderId="0" xfId="0" applyFont="1" applyBorder="1" applyAlignment="1" applyProtection="1">
      <alignment horizontal="center"/>
      <protection hidden="1"/>
    </xf>
    <xf numFmtId="0" fontId="55" fillId="0" borderId="0" xfId="0" applyFont="1" applyAlignment="1" applyProtection="1">
      <alignment horizontal="left"/>
      <protection hidden="1"/>
    </xf>
    <xf numFmtId="0" fontId="55" fillId="8" borderId="123" xfId="0" applyNumberFormat="1" applyFont="1" applyFill="1" applyBorder="1" applyAlignment="1" applyProtection="1">
      <alignment horizontal="center"/>
      <protection locked="0" hidden="1"/>
    </xf>
    <xf numFmtId="0" fontId="55" fillId="8" borderId="17" xfId="0" applyNumberFormat="1" applyFont="1" applyFill="1" applyBorder="1" applyAlignment="1" applyProtection="1">
      <alignment horizontal="center"/>
      <protection locked="0" hidden="1"/>
    </xf>
    <xf numFmtId="0" fontId="55" fillId="8" borderId="61" xfId="0" applyNumberFormat="1" applyFont="1" applyFill="1" applyBorder="1" applyAlignment="1" applyProtection="1">
      <alignment horizontal="center"/>
      <protection locked="0" hidden="1"/>
    </xf>
    <xf numFmtId="0" fontId="19" fillId="0" borderId="0" xfId="0" applyFont="1" applyAlignment="1" applyProtection="1">
      <alignment horizontal="center" vertical="center" wrapText="1"/>
    </xf>
    <xf numFmtId="0" fontId="57" fillId="0" borderId="44" xfId="91" applyFont="1" applyBorder="1" applyAlignment="1" applyProtection="1">
      <alignment horizontal="center" vertical="center" wrapText="1"/>
      <protection hidden="1"/>
    </xf>
    <xf numFmtId="0" fontId="58" fillId="0" borderId="13" xfId="0" applyFont="1" applyBorder="1" applyAlignment="1" applyProtection="1">
      <alignment horizontal="center" vertical="center" wrapText="1"/>
    </xf>
    <xf numFmtId="0" fontId="58" fillId="0" borderId="45" xfId="0" applyFont="1" applyBorder="1" applyAlignment="1" applyProtection="1">
      <alignment horizontal="center" vertical="center" wrapText="1"/>
    </xf>
    <xf numFmtId="0" fontId="55" fillId="0" borderId="102" xfId="0" applyFont="1" applyBorder="1" applyAlignment="1" applyProtection="1">
      <alignment horizontal="center"/>
      <protection hidden="1"/>
    </xf>
    <xf numFmtId="0" fontId="55" fillId="0" borderId="113" xfId="0" applyFont="1" applyBorder="1" applyAlignment="1" applyProtection="1">
      <alignment horizontal="center"/>
      <protection hidden="1"/>
    </xf>
  </cellXfs>
  <cellStyles count="97">
    <cellStyle name="2decimal" xfId="32"/>
    <cellStyle name="args.style" xfId="33"/>
    <cellStyle name="ARIAL" xfId="34"/>
    <cellStyle name="Arial10" xfId="35"/>
    <cellStyle name="BOTT" xfId="2"/>
    <cellStyle name="Calc Currency (0)" xfId="36"/>
    <cellStyle name="Comma  - Style1" xfId="37"/>
    <cellStyle name="Comma  - Style2" xfId="38"/>
    <cellStyle name="Comma  - Style3" xfId="39"/>
    <cellStyle name="Comma  - Style4" xfId="40"/>
    <cellStyle name="Comma  - Style5" xfId="41"/>
    <cellStyle name="Comma  - Style6" xfId="42"/>
    <cellStyle name="Comma  - Style7" xfId="43"/>
    <cellStyle name="Comma  - Style8" xfId="44"/>
    <cellStyle name="CONSIGNEE" xfId="3"/>
    <cellStyle name="Copied" xfId="45"/>
    <cellStyle name="COST1" xfId="46"/>
    <cellStyle name="Cover Sheet" xfId="47"/>
    <cellStyle name="Currency [0]b" xfId="48"/>
    <cellStyle name="currency(2)" xfId="49"/>
    <cellStyle name="Data Labels" xfId="4"/>
    <cellStyle name="DATA_ENTRY" xfId="5"/>
    <cellStyle name="DataLabels" xfId="6"/>
    <cellStyle name="DataLabelsForUPS" xfId="50"/>
    <cellStyle name="DATE" xfId="7"/>
    <cellStyle name="dcDataSheetHeadings" xfId="51"/>
    <cellStyle name="dcDataSheetLabels" xfId="52"/>
    <cellStyle name="Dollars" xfId="53"/>
    <cellStyle name="Dollars(0)" xfId="54"/>
    <cellStyle name="Entered" xfId="55"/>
    <cellStyle name="FORM" xfId="8"/>
    <cellStyle name="Grey" xfId="56"/>
    <cellStyle name="Header1" xfId="57"/>
    <cellStyle name="Header2" xfId="58"/>
    <cellStyle name="header3" xfId="59"/>
    <cellStyle name="HEADINGS" xfId="9"/>
    <cellStyle name="Index Sheet" xfId="60"/>
    <cellStyle name="Input [yellow]" xfId="61"/>
    <cellStyle name="Input Cells" xfId="62"/>
    <cellStyle name="JOB_DATA" xfId="10"/>
    <cellStyle name="LABEL" xfId="11"/>
    <cellStyle name="Link to Cover" xfId="63"/>
    <cellStyle name="Linked Cells" xfId="64"/>
    <cellStyle name="Linked data" xfId="65"/>
    <cellStyle name="Links to Cover" xfId="12"/>
    <cellStyle name="LOOKUP" xfId="66"/>
    <cellStyle name="MainHeading" xfId="13"/>
    <cellStyle name="MainHeadingTwo" xfId="14"/>
    <cellStyle name="Migliaia (0)_COVER - SH. 1" xfId="15"/>
    <cellStyle name="Migliaia_COVER - SH. 1" xfId="16"/>
    <cellStyle name="Milliers [0]_!!!GO" xfId="67"/>
    <cellStyle name="Milliers_!!!GO" xfId="68"/>
    <cellStyle name="Monétaire [0]_!!!GO" xfId="69"/>
    <cellStyle name="Monétaire_!!!GO" xfId="70"/>
    <cellStyle name="NewKw" xfId="71"/>
    <cellStyle name="Normal" xfId="0" builtinId="0"/>
    <cellStyle name="Normal - Style1" xfId="72"/>
    <cellStyle name="Normal 10" xfId="93"/>
    <cellStyle name="Normal 2" xfId="27"/>
    <cellStyle name="Normal 2 2" xfId="89"/>
    <cellStyle name="Normal 3" xfId="28"/>
    <cellStyle name="Normal 3 2" xfId="88"/>
    <cellStyle name="Normal 4" xfId="29"/>
    <cellStyle name="Normal 4 2" xfId="31"/>
    <cellStyle name="Normal 4 3" xfId="87"/>
    <cellStyle name="Normal 5" xfId="73"/>
    <cellStyle name="Normal 6" xfId="30"/>
    <cellStyle name="Normal 7" xfId="86"/>
    <cellStyle name="Normal 8" xfId="90"/>
    <cellStyle name="Normal 9" xfId="1"/>
    <cellStyle name="Normal_Case 1" xfId="95"/>
    <cellStyle name="Normal_Master-PipeSpan-Stress-Defl" xfId="91"/>
    <cellStyle name="Normal_SARC-0020.R3.02.Techlok Loading Check" xfId="92"/>
    <cellStyle name="Normal_WB000 000.Equivalent Pressure Check" xfId="94"/>
    <cellStyle name="Normal_WB000 000.Equivalent Pressure Check 2" xfId="96"/>
    <cellStyle name="Normale_COVER - SH. 1" xfId="17"/>
    <cellStyle name="Œ…‹æØ‚è [0.00]_Region Orders (2)" xfId="74"/>
    <cellStyle name="Œ…‹æØ‚è_Region Orders (2)" xfId="75"/>
    <cellStyle name="ParameterLabelsForUPS" xfId="76"/>
    <cellStyle name="per.style" xfId="77"/>
    <cellStyle name="Percent [2]" xfId="78"/>
    <cellStyle name="pricing" xfId="79"/>
    <cellStyle name="PRICIPAL" xfId="18"/>
    <cellStyle name="PROJECT TITLE" xfId="19"/>
    <cellStyle name="PROTECTED CELLS" xfId="20"/>
    <cellStyle name="PSChar" xfId="80"/>
    <cellStyle name="REMARKS" xfId="21"/>
    <cellStyle name="RevList" xfId="81"/>
    <cellStyle name="STANDARD" xfId="82"/>
    <cellStyle name="Subtotal" xfId="83"/>
    <cellStyle name="SUBTOTALS" xfId="84"/>
    <cellStyle name="TitleBlock" xfId="22"/>
    <cellStyle name="TOP" xfId="23"/>
    <cellStyle name="Units" xfId="24"/>
    <cellStyle name="Valuta (0)_COVER - SH. 1" xfId="25"/>
    <cellStyle name="Valuta_COVER - SH. 1" xfId="26"/>
    <cellStyle name="VendorParametersForUPS" xfId="85"/>
  </cellStyles>
  <dxfs count="550">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fill>
        <patternFill>
          <bgColor theme="8" tint="0.59996337778862885"/>
        </patternFill>
      </fill>
    </dxf>
    <dxf>
      <fill>
        <patternFill>
          <bgColor theme="8" tint="0.59996337778862885"/>
        </patternFill>
      </fill>
    </dxf>
    <dxf>
      <fill>
        <patternFill>
          <bgColor rgb="FFB1A0C7"/>
        </patternFill>
      </fill>
    </dxf>
    <dxf>
      <fill>
        <patternFill>
          <bgColor theme="8" tint="0.59996337778862885"/>
        </patternFill>
      </fill>
    </dxf>
    <dxf>
      <fill>
        <patternFill>
          <bgColor theme="8" tint="0.59996337778862885"/>
        </patternFill>
      </fill>
    </dxf>
    <dxf>
      <fill>
        <patternFill>
          <bgColor rgb="FFB1A0C7"/>
        </patternFill>
      </fill>
    </dxf>
    <dxf>
      <fill>
        <patternFill>
          <bgColor theme="8" tint="0.59996337778862885"/>
        </patternFill>
      </fill>
    </dxf>
    <dxf>
      <fill>
        <patternFill>
          <bgColor theme="8" tint="0.59996337778862885"/>
        </patternFill>
      </fill>
    </dxf>
    <dxf>
      <fill>
        <patternFill>
          <bgColor rgb="FFB1A0C7"/>
        </patternFill>
      </fill>
    </dxf>
    <dxf>
      <fill>
        <patternFill>
          <bgColor theme="8" tint="0.59996337778862885"/>
        </patternFill>
      </fill>
    </dxf>
    <dxf>
      <fill>
        <patternFill>
          <bgColor theme="8" tint="0.59996337778862885"/>
        </patternFill>
      </fill>
    </dxf>
    <dxf>
      <fill>
        <patternFill>
          <bgColor rgb="FFB1A0C7"/>
        </patternFill>
      </fill>
    </dxf>
    <dxf>
      <fill>
        <patternFill>
          <bgColor theme="8" tint="0.59996337778862885"/>
        </patternFill>
      </fill>
    </dxf>
    <dxf>
      <fill>
        <patternFill>
          <bgColor theme="8" tint="0.59996337778862885"/>
        </patternFill>
      </fill>
    </dxf>
    <dxf>
      <fill>
        <patternFill>
          <bgColor rgb="FFB1A0C7"/>
        </patternFill>
      </fill>
    </dxf>
    <dxf>
      <fill>
        <patternFill>
          <bgColor theme="8" tint="0.59996337778862885"/>
        </patternFill>
      </fill>
    </dxf>
    <dxf>
      <fill>
        <patternFill>
          <bgColor theme="8" tint="0.59996337778862885"/>
        </patternFill>
      </fill>
    </dxf>
    <dxf>
      <fill>
        <patternFill>
          <bgColor rgb="FFB1A0C7"/>
        </patternFill>
      </fill>
    </dxf>
    <dxf>
      <fill>
        <patternFill>
          <bgColor theme="8" tint="0.59996337778862885"/>
        </patternFill>
      </fill>
    </dxf>
    <dxf>
      <fill>
        <patternFill>
          <bgColor theme="8" tint="0.59996337778862885"/>
        </patternFill>
      </fill>
    </dxf>
    <dxf>
      <fill>
        <patternFill>
          <bgColor rgb="FFB1A0C7"/>
        </patternFill>
      </fill>
    </dxf>
    <dxf>
      <fill>
        <patternFill>
          <bgColor theme="8" tint="0.59996337778862885"/>
        </patternFill>
      </fill>
    </dxf>
    <dxf>
      <fill>
        <patternFill>
          <bgColor theme="8" tint="0.59996337778862885"/>
        </patternFill>
      </fill>
    </dxf>
    <dxf>
      <fill>
        <patternFill>
          <bgColor rgb="FFB1A0C7"/>
        </patternFill>
      </fill>
    </dxf>
    <dxf>
      <fill>
        <patternFill>
          <bgColor rgb="FFB1A0C7"/>
        </patternFill>
      </fill>
    </dxf>
    <dxf>
      <fill>
        <patternFill>
          <bgColor theme="8" tint="0.59996337778862885"/>
        </patternFill>
      </fill>
    </dxf>
    <dxf>
      <fill>
        <patternFill>
          <bgColor theme="8" tint="0.59996337778862885"/>
        </patternFill>
      </fill>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fill>
        <patternFill>
          <bgColor rgb="FF92D050"/>
        </patternFill>
      </fill>
    </dxf>
    <dxf>
      <numFmt numFmtId="186" formatCode="0.000"/>
    </dxf>
    <dxf>
      <numFmt numFmtId="2" formatCode="0.00"/>
    </dxf>
    <dxf>
      <numFmt numFmtId="176" formatCode="0.0"/>
    </dxf>
    <dxf>
      <numFmt numFmtId="1" formatCode="0"/>
    </dxf>
    <dxf>
      <fill>
        <patternFill>
          <bgColor rgb="FF92D050"/>
        </patternFill>
      </fill>
    </dxf>
    <dxf>
      <numFmt numFmtId="186" formatCode="0.000"/>
    </dxf>
    <dxf>
      <numFmt numFmtId="2" formatCode="0.00"/>
    </dxf>
    <dxf>
      <numFmt numFmtId="176" formatCode="0.0"/>
    </dxf>
    <dxf>
      <numFmt numFmtId="1" formatCode="0"/>
    </dxf>
    <dxf>
      <fill>
        <patternFill>
          <bgColor rgb="FF92D050"/>
        </patternFill>
      </fill>
    </dxf>
    <dxf>
      <numFmt numFmtId="186" formatCode="0.000"/>
    </dxf>
    <dxf>
      <numFmt numFmtId="2" formatCode="0.00"/>
    </dxf>
    <dxf>
      <numFmt numFmtId="176" formatCode="0.0"/>
    </dxf>
    <dxf>
      <numFmt numFmtId="1" formatCode="0"/>
    </dxf>
    <dxf>
      <fill>
        <patternFill>
          <bgColor rgb="FF92D050"/>
        </patternFill>
      </fill>
    </dxf>
    <dxf>
      <numFmt numFmtId="186" formatCode="0.000"/>
    </dxf>
    <dxf>
      <numFmt numFmtId="2" formatCode="0.00"/>
    </dxf>
    <dxf>
      <numFmt numFmtId="176" formatCode="0.0"/>
    </dxf>
    <dxf>
      <numFmt numFmtId="1" formatCode="0"/>
    </dxf>
    <dxf>
      <fill>
        <patternFill>
          <bgColor rgb="FF92D050"/>
        </patternFill>
      </fill>
    </dxf>
    <dxf>
      <numFmt numFmtId="186" formatCode="0.000"/>
    </dxf>
    <dxf>
      <numFmt numFmtId="2" formatCode="0.00"/>
    </dxf>
    <dxf>
      <numFmt numFmtId="176" formatCode="0.0"/>
    </dxf>
    <dxf>
      <numFmt numFmtId="1" formatCode="0"/>
    </dxf>
    <dxf>
      <fill>
        <patternFill>
          <bgColor rgb="FF92D050"/>
        </patternFill>
      </fill>
    </dxf>
    <dxf>
      <numFmt numFmtId="186" formatCode="0.000"/>
    </dxf>
    <dxf>
      <numFmt numFmtId="2" formatCode="0.00"/>
    </dxf>
    <dxf>
      <numFmt numFmtId="176" formatCode="0.0"/>
    </dxf>
    <dxf>
      <numFmt numFmtId="1" formatCode="0"/>
    </dxf>
    <dxf>
      <fill>
        <patternFill>
          <bgColor rgb="FF92D050"/>
        </patternFill>
      </fill>
    </dxf>
    <dxf>
      <numFmt numFmtId="186" formatCode="0.000"/>
    </dxf>
    <dxf>
      <numFmt numFmtId="2" formatCode="0.00"/>
    </dxf>
    <dxf>
      <numFmt numFmtId="176" formatCode="0.0"/>
    </dxf>
    <dxf>
      <numFmt numFmtId="1" formatCode="0"/>
    </dxf>
    <dxf>
      <fill>
        <patternFill>
          <bgColor rgb="FF92D050"/>
        </patternFill>
      </fill>
    </dxf>
    <dxf>
      <numFmt numFmtId="186" formatCode="0.000"/>
    </dxf>
    <dxf>
      <numFmt numFmtId="2" formatCode="0.00"/>
    </dxf>
    <dxf>
      <numFmt numFmtId="176" formatCode="0.0"/>
    </dxf>
    <dxf>
      <numFmt numFmtId="1" formatCode="0"/>
    </dxf>
    <dxf>
      <fill>
        <patternFill>
          <bgColor rgb="FF92D050"/>
        </patternFill>
      </fill>
    </dxf>
    <dxf>
      <numFmt numFmtId="186" formatCode="0.000"/>
    </dxf>
    <dxf>
      <numFmt numFmtId="2" formatCode="0.00"/>
    </dxf>
    <dxf>
      <numFmt numFmtId="176" formatCode="0.0"/>
    </dxf>
    <dxf>
      <numFmt numFmtId="1" formatCode="0"/>
    </dxf>
    <dxf>
      <fill>
        <patternFill>
          <bgColor rgb="FF92D050"/>
        </patternFill>
      </fill>
    </dxf>
    <dxf>
      <numFmt numFmtId="186" formatCode="0.000"/>
    </dxf>
    <dxf>
      <numFmt numFmtId="2" formatCode="0.00"/>
    </dxf>
    <dxf>
      <numFmt numFmtId="176" formatCode="0.0"/>
    </dxf>
    <dxf>
      <numFmt numFmtId="1" formatCode="0"/>
    </dxf>
    <dxf>
      <fill>
        <patternFill>
          <bgColor rgb="FF92D050"/>
        </patternFill>
      </fill>
    </dxf>
    <dxf>
      <numFmt numFmtId="186" formatCode="0.000"/>
    </dxf>
    <dxf>
      <numFmt numFmtId="2" formatCode="0.00"/>
    </dxf>
    <dxf>
      <numFmt numFmtId="176" formatCode="0.0"/>
    </dxf>
    <dxf>
      <numFmt numFmtId="1" formatCode="0"/>
    </dxf>
    <dxf>
      <fill>
        <patternFill>
          <bgColor rgb="FF92D050"/>
        </patternFill>
      </fill>
    </dxf>
    <dxf>
      <numFmt numFmtId="186" formatCode="0.000"/>
    </dxf>
    <dxf>
      <numFmt numFmtId="2" formatCode="0.00"/>
    </dxf>
    <dxf>
      <numFmt numFmtId="176" formatCode="0.0"/>
    </dxf>
    <dxf>
      <numFmt numFmtId="1" formatCode="0"/>
    </dxf>
    <dxf>
      <fill>
        <patternFill>
          <bgColor rgb="FF92D050"/>
        </patternFill>
      </fill>
    </dxf>
    <dxf>
      <numFmt numFmtId="186" formatCode="0.000"/>
    </dxf>
    <dxf>
      <numFmt numFmtId="2" formatCode="0.00"/>
    </dxf>
    <dxf>
      <numFmt numFmtId="176" formatCode="0.0"/>
    </dxf>
    <dxf>
      <numFmt numFmtId="1" formatCode="0"/>
    </dxf>
    <dxf>
      <fill>
        <patternFill>
          <bgColor rgb="FF92D050"/>
        </patternFill>
      </fill>
    </dxf>
    <dxf>
      <numFmt numFmtId="186" formatCode="0.000"/>
    </dxf>
    <dxf>
      <numFmt numFmtId="2" formatCode="0.00"/>
    </dxf>
    <dxf>
      <numFmt numFmtId="176" formatCode="0.0"/>
    </dxf>
    <dxf>
      <numFmt numFmtId="1" formatCode="0"/>
    </dxf>
    <dxf>
      <fill>
        <patternFill>
          <bgColor rgb="FF92D050"/>
        </patternFill>
      </fill>
    </dxf>
    <dxf>
      <numFmt numFmtId="186" formatCode="0.000"/>
    </dxf>
    <dxf>
      <numFmt numFmtId="2" formatCode="0.00"/>
    </dxf>
    <dxf>
      <numFmt numFmtId="176" formatCode="0.0"/>
    </dxf>
    <dxf>
      <numFmt numFmtId="1" formatCode="0"/>
    </dxf>
    <dxf>
      <fill>
        <patternFill>
          <bgColor rgb="FF92D050"/>
        </patternFill>
      </fill>
    </dxf>
    <dxf>
      <numFmt numFmtId="186" formatCode="0.000"/>
    </dxf>
    <dxf>
      <numFmt numFmtId="2" formatCode="0.00"/>
    </dxf>
    <dxf>
      <numFmt numFmtId="176" formatCode="0.0"/>
    </dxf>
    <dxf>
      <numFmt numFmtId="1" formatCode="0"/>
    </dxf>
    <dxf>
      <fill>
        <patternFill>
          <bgColor rgb="FF92D050"/>
        </patternFill>
      </fill>
    </dxf>
    <dxf>
      <numFmt numFmtId="186" formatCode="0.000"/>
    </dxf>
    <dxf>
      <numFmt numFmtId="2" formatCode="0.00"/>
    </dxf>
    <dxf>
      <numFmt numFmtId="176" formatCode="0.0"/>
    </dxf>
    <dxf>
      <numFmt numFmtId="1" formatCode="0"/>
    </dxf>
    <dxf>
      <fill>
        <patternFill>
          <bgColor rgb="FF92D050"/>
        </patternFill>
      </fill>
    </dxf>
    <dxf>
      <numFmt numFmtId="186" formatCode="0.000"/>
    </dxf>
    <dxf>
      <numFmt numFmtId="2" formatCode="0.00"/>
    </dxf>
    <dxf>
      <numFmt numFmtId="176" formatCode="0.0"/>
    </dxf>
    <dxf>
      <numFmt numFmtId="1" formatCode="0"/>
    </dxf>
    <dxf>
      <fill>
        <patternFill>
          <bgColor rgb="FF92D050"/>
        </patternFill>
      </fill>
    </dxf>
    <dxf>
      <numFmt numFmtId="186" formatCode="0.000"/>
    </dxf>
    <dxf>
      <numFmt numFmtId="2" formatCode="0.00"/>
    </dxf>
    <dxf>
      <numFmt numFmtId="176" formatCode="0.0"/>
    </dxf>
    <dxf>
      <numFmt numFmtId="1" formatCode="0"/>
    </dxf>
    <dxf>
      <fill>
        <patternFill>
          <bgColor rgb="FF92D050"/>
        </patternFill>
      </fill>
    </dxf>
    <dxf>
      <numFmt numFmtId="186" formatCode="0.000"/>
    </dxf>
    <dxf>
      <numFmt numFmtId="2" formatCode="0.00"/>
    </dxf>
    <dxf>
      <numFmt numFmtId="176" formatCode="0.0"/>
    </dxf>
    <dxf>
      <numFmt numFmtId="1" formatCode="0"/>
    </dxf>
    <dxf>
      <fill>
        <patternFill>
          <bgColor rgb="FF92D050"/>
        </patternFill>
      </fill>
    </dxf>
    <dxf>
      <numFmt numFmtId="186" formatCode="0.000"/>
    </dxf>
    <dxf>
      <numFmt numFmtId="2" formatCode="0.00"/>
    </dxf>
    <dxf>
      <numFmt numFmtId="176" formatCode="0.0"/>
    </dxf>
    <dxf>
      <numFmt numFmtId="1" formatCode="0"/>
    </dxf>
    <dxf>
      <fill>
        <patternFill>
          <bgColor rgb="FF92D050"/>
        </patternFill>
      </fill>
    </dxf>
    <dxf>
      <numFmt numFmtId="186" formatCode="0.000"/>
    </dxf>
    <dxf>
      <numFmt numFmtId="2" formatCode="0.00"/>
    </dxf>
    <dxf>
      <numFmt numFmtId="176" formatCode="0.0"/>
    </dxf>
    <dxf>
      <numFmt numFmtId="1" formatCode="0"/>
    </dxf>
    <dxf>
      <fill>
        <patternFill>
          <bgColor rgb="FF92D050"/>
        </patternFill>
      </fill>
    </dxf>
    <dxf>
      <numFmt numFmtId="186" formatCode="0.000"/>
    </dxf>
    <dxf>
      <numFmt numFmtId="2" formatCode="0.00"/>
    </dxf>
    <dxf>
      <numFmt numFmtId="176" formatCode="0.0"/>
    </dxf>
    <dxf>
      <numFmt numFmtId="1" formatCode="0"/>
    </dxf>
    <dxf>
      <fill>
        <patternFill>
          <bgColor rgb="FF92D050"/>
        </patternFill>
      </fill>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fill>
        <patternFill>
          <bgColor rgb="FF92D050"/>
        </patternFill>
      </fill>
    </dxf>
    <dxf>
      <numFmt numFmtId="186" formatCode="0.000"/>
    </dxf>
    <dxf>
      <numFmt numFmtId="2" formatCode="0.00"/>
    </dxf>
    <dxf>
      <numFmt numFmtId="176" formatCode="0.0"/>
    </dxf>
    <dxf>
      <numFmt numFmtId="1" formatCode="0"/>
    </dxf>
    <dxf>
      <fill>
        <patternFill>
          <bgColor rgb="FF92D050"/>
        </patternFill>
      </fill>
    </dxf>
    <dxf>
      <font>
        <b/>
        <i val="0"/>
        <color rgb="FFFF0000"/>
      </font>
    </dxf>
    <dxf>
      <numFmt numFmtId="186" formatCode="0.000"/>
    </dxf>
    <dxf>
      <numFmt numFmtId="2" formatCode="0.00"/>
    </dxf>
    <dxf>
      <numFmt numFmtId="176" formatCode="0.0"/>
    </dxf>
    <dxf>
      <numFmt numFmtId="1" formatCode="0"/>
    </dxf>
    <dxf>
      <fill>
        <patternFill>
          <bgColor rgb="FF92D050"/>
        </patternFill>
      </fill>
    </dxf>
    <dxf>
      <font>
        <b/>
        <i val="0"/>
        <color rgb="FFFF0000"/>
      </font>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fill>
        <patternFill>
          <bgColor rgb="FF92D050"/>
        </patternFill>
      </fill>
    </dxf>
    <dxf>
      <numFmt numFmtId="186" formatCode="0.000"/>
    </dxf>
    <dxf>
      <numFmt numFmtId="2" formatCode="0.00"/>
    </dxf>
    <dxf>
      <numFmt numFmtId="176" formatCode="0.0"/>
    </dxf>
    <dxf>
      <numFmt numFmtId="1" formatCode="0"/>
    </dxf>
    <dxf>
      <fill>
        <patternFill>
          <bgColor rgb="FF92D050"/>
        </patternFill>
      </fill>
    </dxf>
    <dxf>
      <numFmt numFmtId="186" formatCode="0.000"/>
    </dxf>
    <dxf>
      <numFmt numFmtId="2" formatCode="0.00"/>
    </dxf>
    <dxf>
      <numFmt numFmtId="176" formatCode="0.0"/>
    </dxf>
    <dxf>
      <numFmt numFmtId="1" formatCode="0"/>
    </dxf>
    <dxf>
      <fill>
        <patternFill>
          <bgColor rgb="FF92D050"/>
        </patternFill>
      </fill>
    </dxf>
    <dxf>
      <font>
        <b/>
        <i val="0"/>
        <color rgb="FFFF0000"/>
      </font>
    </dxf>
    <dxf>
      <fill>
        <patternFill>
          <bgColor rgb="FF92D050"/>
        </patternFill>
      </fill>
    </dxf>
    <dxf>
      <font>
        <b/>
        <i val="0"/>
        <color rgb="FFFF0000"/>
      </font>
    </dxf>
    <dxf>
      <fill>
        <patternFill>
          <bgColor rgb="FF92D050"/>
        </patternFill>
      </fill>
    </dxf>
    <dxf>
      <font>
        <b/>
        <i val="0"/>
        <color rgb="FFFF0000"/>
      </font>
    </dxf>
    <dxf>
      <fill>
        <patternFill>
          <bgColor rgb="FF92D050"/>
        </patternFill>
      </fill>
    </dxf>
    <dxf>
      <font>
        <b/>
        <i val="0"/>
        <color rgb="FFFF0000"/>
      </font>
    </dxf>
    <dxf>
      <fill>
        <patternFill>
          <bgColor rgb="FF92D050"/>
        </patternFill>
      </fill>
    </dxf>
    <dxf>
      <font>
        <b/>
        <i val="0"/>
        <color rgb="FFFF0000"/>
      </font>
    </dxf>
    <dxf>
      <fill>
        <patternFill>
          <bgColor rgb="FF92D050"/>
        </patternFill>
      </fill>
    </dxf>
    <dxf>
      <font>
        <b/>
        <i val="0"/>
        <color rgb="FFFF0000"/>
      </font>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fill>
        <patternFill>
          <bgColor rgb="FF92D050"/>
        </patternFill>
      </fill>
    </dxf>
    <dxf>
      <font>
        <b/>
        <i val="0"/>
        <color rgb="FFFF0000"/>
      </font>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fill>
        <patternFill>
          <bgColor rgb="FFFFFFCC"/>
        </patternFill>
      </fill>
      <border>
        <left style="thin">
          <color auto="1"/>
        </left>
        <right style="thin">
          <color auto="1"/>
        </right>
        <top style="hair">
          <color auto="1"/>
        </top>
        <bottom style="thin">
          <color auto="1"/>
        </bottom>
        <vertical/>
        <horizontal/>
      </border>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
      <numFmt numFmtId="186" formatCode="0.000"/>
    </dxf>
    <dxf>
      <numFmt numFmtId="2" formatCode="0.00"/>
    </dxf>
    <dxf>
      <numFmt numFmtId="176" formatCode="0.0"/>
    </dxf>
    <dxf>
      <numFmt numFmtId="1" formatCode="0"/>
    </dxf>
  </dxfs>
  <tableStyles count="0" defaultTableStyle="TableStyleMedium2" defaultPivotStyle="PivotStyleLight16"/>
  <colors>
    <mruColors>
      <color rgb="FFFFFFCC"/>
      <color rgb="FFB1A0C7"/>
      <color rgb="FF99CCFF"/>
      <color rgb="FF66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314325</xdr:colOff>
      <xdr:row>1</xdr:row>
      <xdr:rowOff>358865</xdr:rowOff>
    </xdr:from>
    <xdr:to>
      <xdr:col>0</xdr:col>
      <xdr:colOff>506001</xdr:colOff>
      <xdr:row>3</xdr:row>
      <xdr:rowOff>114300</xdr:rowOff>
    </xdr:to>
    <xdr:pic>
      <xdr:nvPicPr>
        <xdr:cNvPr id="8" name="Picture 12"/>
        <xdr:cNvPicPr>
          <a:picLocks noChangeAspect="1" noChangeArrowheads="1"/>
        </xdr:cNvPicPr>
      </xdr:nvPicPr>
      <xdr:blipFill>
        <a:blip xmlns:r="http://schemas.openxmlformats.org/officeDocument/2006/relationships" r:embed="rId1" cstate="print"/>
        <a:srcRect/>
        <a:stretch>
          <a:fillRect/>
        </a:stretch>
      </xdr:blipFill>
      <xdr:spPr bwMode="auto">
        <a:xfrm>
          <a:off x="314325" y="595085"/>
          <a:ext cx="191676" cy="486955"/>
        </a:xfrm>
        <a:prstGeom prst="rect">
          <a:avLst/>
        </a:prstGeom>
        <a:noFill/>
        <a:ln w="9525">
          <a:noFill/>
          <a:miter lim="800000"/>
          <a:headEnd/>
          <a:tailEnd/>
        </a:ln>
      </xdr:spPr>
    </xdr:pic>
    <xdr:clientData/>
  </xdr:twoCellAnchor>
  <xdr:twoCellAnchor editAs="oneCell">
    <xdr:from>
      <xdr:col>0</xdr:col>
      <xdr:colOff>167640</xdr:colOff>
      <xdr:row>0</xdr:row>
      <xdr:rowOff>121920</xdr:rowOff>
    </xdr:from>
    <xdr:to>
      <xdr:col>5</xdr:col>
      <xdr:colOff>21109</xdr:colOff>
      <xdr:row>1</xdr:row>
      <xdr:rowOff>85291</xdr:rowOff>
    </xdr:to>
    <xdr:pic>
      <xdr:nvPicPr>
        <xdr:cNvPr id="9" name="Picture 8" descr="ithaca_energy"/>
        <xdr:cNvPicPr/>
      </xdr:nvPicPr>
      <xdr:blipFill>
        <a:blip xmlns:r="http://schemas.openxmlformats.org/officeDocument/2006/relationships" r:embed="rId2" cstate="print"/>
        <a:srcRect/>
        <a:stretch>
          <a:fillRect/>
        </a:stretch>
      </xdr:blipFill>
      <xdr:spPr bwMode="auto">
        <a:xfrm>
          <a:off x="167640" y="121920"/>
          <a:ext cx="767869" cy="199591"/>
        </a:xfrm>
        <a:prstGeom prst="rect">
          <a:avLst/>
        </a:prstGeom>
        <a:noFill/>
        <a:ln w="9525">
          <a:noFill/>
          <a:miter lim="800000"/>
          <a:headEnd/>
          <a:tailEnd/>
        </a:ln>
      </xdr:spPr>
    </xdr:pic>
    <xdr:clientData/>
  </xdr:twoCellAnchor>
  <xdr:twoCellAnchor editAs="oneCell">
    <xdr:from>
      <xdr:col>0</xdr:col>
      <xdr:colOff>129540</xdr:colOff>
      <xdr:row>1</xdr:row>
      <xdr:rowOff>198120</xdr:rowOff>
    </xdr:from>
    <xdr:to>
      <xdr:col>5</xdr:col>
      <xdr:colOff>57437</xdr:colOff>
      <xdr:row>1</xdr:row>
      <xdr:rowOff>484376</xdr:rowOff>
    </xdr:to>
    <xdr:pic>
      <xdr:nvPicPr>
        <xdr:cNvPr id="10" name="Picture 9" descr="Stella_logo"/>
        <xdr:cNvPicPr/>
      </xdr:nvPicPr>
      <xdr:blipFill>
        <a:blip xmlns:r="http://schemas.openxmlformats.org/officeDocument/2006/relationships" r:embed="rId3" cstate="print"/>
        <a:srcRect/>
        <a:stretch>
          <a:fillRect/>
        </a:stretch>
      </xdr:blipFill>
      <xdr:spPr bwMode="auto">
        <a:xfrm>
          <a:off x="129540" y="434340"/>
          <a:ext cx="842297" cy="286256"/>
        </a:xfrm>
        <a:prstGeom prst="rect">
          <a:avLst/>
        </a:prstGeom>
        <a:noFill/>
        <a:ln w="9525">
          <a:noFill/>
          <a:miter lim="800000"/>
          <a:headEnd/>
          <a:tailEnd/>
        </a:ln>
      </xdr:spPr>
    </xdr:pic>
    <xdr:clientData/>
  </xdr:twoCellAnchor>
  <xdr:twoCellAnchor>
    <xdr:from>
      <xdr:col>2</xdr:col>
      <xdr:colOff>7619</xdr:colOff>
      <xdr:row>2</xdr:row>
      <xdr:rowOff>45720</xdr:rowOff>
    </xdr:from>
    <xdr:to>
      <xdr:col>3</xdr:col>
      <xdr:colOff>169734</xdr:colOff>
      <xdr:row>3</xdr:row>
      <xdr:rowOff>296455</xdr:rowOff>
    </xdr:to>
    <xdr:pic>
      <xdr:nvPicPr>
        <xdr:cNvPr id="14" name="Picture 12"/>
        <xdr:cNvPicPr>
          <a:picLocks noChangeAspect="1" noChangeArrowheads="1"/>
        </xdr:cNvPicPr>
      </xdr:nvPicPr>
      <xdr:blipFill>
        <a:blip xmlns:r="http://schemas.openxmlformats.org/officeDocument/2006/relationships" r:embed="rId1" cstate="print"/>
        <a:srcRect/>
        <a:stretch>
          <a:fillRect/>
        </a:stretch>
      </xdr:blipFill>
      <xdr:spPr bwMode="auto">
        <a:xfrm>
          <a:off x="373379" y="777240"/>
          <a:ext cx="344995" cy="48695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314325</xdr:colOff>
      <xdr:row>1</xdr:row>
      <xdr:rowOff>358865</xdr:rowOff>
    </xdr:from>
    <xdr:to>
      <xdr:col>0</xdr:col>
      <xdr:colOff>506001</xdr:colOff>
      <xdr:row>3</xdr:row>
      <xdr:rowOff>114300</xdr:rowOff>
    </xdr:to>
    <xdr:pic>
      <xdr:nvPicPr>
        <xdr:cNvPr id="2" name="Picture 12"/>
        <xdr:cNvPicPr>
          <a:picLocks noChangeAspect="1" noChangeArrowheads="1"/>
        </xdr:cNvPicPr>
      </xdr:nvPicPr>
      <xdr:blipFill>
        <a:blip xmlns:r="http://schemas.openxmlformats.org/officeDocument/2006/relationships" r:embed="rId1" cstate="print"/>
        <a:srcRect/>
        <a:stretch>
          <a:fillRect/>
        </a:stretch>
      </xdr:blipFill>
      <xdr:spPr bwMode="auto">
        <a:xfrm>
          <a:off x="184785" y="595085"/>
          <a:ext cx="1176" cy="486955"/>
        </a:xfrm>
        <a:prstGeom prst="rect">
          <a:avLst/>
        </a:prstGeom>
        <a:noFill/>
        <a:ln w="9525">
          <a:noFill/>
          <a:miter lim="800000"/>
          <a:headEnd/>
          <a:tailEnd/>
        </a:ln>
      </xdr:spPr>
    </xdr:pic>
    <xdr:clientData/>
  </xdr:twoCellAnchor>
  <xdr:twoCellAnchor editAs="oneCell">
    <xdr:from>
      <xdr:col>0</xdr:col>
      <xdr:colOff>167640</xdr:colOff>
      <xdr:row>0</xdr:row>
      <xdr:rowOff>121920</xdr:rowOff>
    </xdr:from>
    <xdr:to>
      <xdr:col>6</xdr:col>
      <xdr:colOff>120169</xdr:colOff>
      <xdr:row>1</xdr:row>
      <xdr:rowOff>85291</xdr:rowOff>
    </xdr:to>
    <xdr:pic>
      <xdr:nvPicPr>
        <xdr:cNvPr id="3" name="Picture 2" descr="ithaca_energy"/>
        <xdr:cNvPicPr/>
      </xdr:nvPicPr>
      <xdr:blipFill>
        <a:blip xmlns:r="http://schemas.openxmlformats.org/officeDocument/2006/relationships" r:embed="rId2" cstate="print"/>
        <a:srcRect/>
        <a:stretch>
          <a:fillRect/>
        </a:stretch>
      </xdr:blipFill>
      <xdr:spPr bwMode="auto">
        <a:xfrm>
          <a:off x="167640" y="121920"/>
          <a:ext cx="767869" cy="199591"/>
        </a:xfrm>
        <a:prstGeom prst="rect">
          <a:avLst/>
        </a:prstGeom>
        <a:noFill/>
        <a:ln w="9525">
          <a:noFill/>
          <a:miter lim="800000"/>
          <a:headEnd/>
          <a:tailEnd/>
        </a:ln>
      </xdr:spPr>
    </xdr:pic>
    <xdr:clientData/>
  </xdr:twoCellAnchor>
  <xdr:twoCellAnchor editAs="oneCell">
    <xdr:from>
      <xdr:col>0</xdr:col>
      <xdr:colOff>129540</xdr:colOff>
      <xdr:row>1</xdr:row>
      <xdr:rowOff>198120</xdr:rowOff>
    </xdr:from>
    <xdr:to>
      <xdr:col>7</xdr:col>
      <xdr:colOff>65057</xdr:colOff>
      <xdr:row>1</xdr:row>
      <xdr:rowOff>484376</xdr:rowOff>
    </xdr:to>
    <xdr:pic>
      <xdr:nvPicPr>
        <xdr:cNvPr id="4" name="Picture 3" descr="Stella_logo"/>
        <xdr:cNvPicPr/>
      </xdr:nvPicPr>
      <xdr:blipFill>
        <a:blip xmlns:r="http://schemas.openxmlformats.org/officeDocument/2006/relationships" r:embed="rId3" cstate="print"/>
        <a:srcRect/>
        <a:stretch>
          <a:fillRect/>
        </a:stretch>
      </xdr:blipFill>
      <xdr:spPr bwMode="auto">
        <a:xfrm>
          <a:off x="129540" y="434340"/>
          <a:ext cx="842297" cy="286256"/>
        </a:xfrm>
        <a:prstGeom prst="rect">
          <a:avLst/>
        </a:prstGeom>
        <a:noFill/>
        <a:ln w="9525">
          <a:noFill/>
          <a:miter lim="800000"/>
          <a:headEnd/>
          <a:tailEnd/>
        </a:ln>
      </xdr:spPr>
    </xdr:pic>
    <xdr:clientData/>
  </xdr:twoCellAnchor>
  <xdr:twoCellAnchor>
    <xdr:from>
      <xdr:col>2</xdr:col>
      <xdr:colOff>57150</xdr:colOff>
      <xdr:row>2</xdr:row>
      <xdr:rowOff>45720</xdr:rowOff>
    </xdr:from>
    <xdr:to>
      <xdr:col>5</xdr:col>
      <xdr:colOff>44450</xdr:colOff>
      <xdr:row>3</xdr:row>
      <xdr:rowOff>296455</xdr:rowOff>
    </xdr:to>
    <xdr:pic>
      <xdr:nvPicPr>
        <xdr:cNvPr id="5" name="Picture 12"/>
        <xdr:cNvPicPr>
          <a:picLocks noChangeAspect="1" noChangeArrowheads="1"/>
        </xdr:cNvPicPr>
      </xdr:nvPicPr>
      <xdr:blipFill>
        <a:blip xmlns:r="http://schemas.openxmlformats.org/officeDocument/2006/relationships" r:embed="rId1" cstate="print"/>
        <a:srcRect/>
        <a:stretch>
          <a:fillRect/>
        </a:stretch>
      </xdr:blipFill>
      <xdr:spPr bwMode="auto">
        <a:xfrm>
          <a:off x="311150" y="775970"/>
          <a:ext cx="368300" cy="485685"/>
        </a:xfrm>
        <a:prstGeom prst="rect">
          <a:avLst/>
        </a:prstGeom>
        <a:noFill/>
        <a:ln w="9525">
          <a:noFill/>
          <a:miter lim="800000"/>
          <a:headEnd/>
          <a:tailEnd/>
        </a:ln>
      </xdr:spPr>
    </xdr:pic>
    <xdr:clientData/>
  </xdr:twoCellAnchor>
  <xdr:twoCellAnchor>
    <xdr:from>
      <xdr:col>49</xdr:col>
      <xdr:colOff>6350</xdr:colOff>
      <xdr:row>0</xdr:row>
      <xdr:rowOff>12700</xdr:rowOff>
    </xdr:from>
    <xdr:to>
      <xdr:col>73</xdr:col>
      <xdr:colOff>0</xdr:colOff>
      <xdr:row>7</xdr:row>
      <xdr:rowOff>82550</xdr:rowOff>
    </xdr:to>
    <xdr:sp macro="" textlink="">
      <xdr:nvSpPr>
        <xdr:cNvPr id="85" name="AutoShape 5"/>
        <xdr:cNvSpPr>
          <a:spLocks noChangeArrowheads="1"/>
        </xdr:cNvSpPr>
      </xdr:nvSpPr>
      <xdr:spPr bwMode="auto">
        <a:xfrm>
          <a:off x="6229350" y="12700"/>
          <a:ext cx="3041650" cy="1885950"/>
        </a:xfrm>
        <a:prstGeom prst="wedgeRectCallout">
          <a:avLst>
            <a:gd name="adj1" fmla="val -23213"/>
            <a:gd name="adj2" fmla="val 6042"/>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GB" sz="900" b="1" i="0" u="sng" baseline="0">
              <a:effectLst/>
              <a:latin typeface="+mn-lt"/>
              <a:ea typeface="+mn-ea"/>
              <a:cs typeface="+mn-cs"/>
            </a:rPr>
            <a:t>How to use this spreadsheet</a:t>
          </a:r>
        </a:p>
        <a:p>
          <a:pPr marL="0" marR="0" indent="0" algn="l" defTabSz="914400" rtl="0" eaLnBrk="1" fontAlgn="auto" latinLnBrk="0" hangingPunct="1">
            <a:lnSpc>
              <a:spcPct val="100000"/>
            </a:lnSpc>
            <a:spcBef>
              <a:spcPts val="0"/>
            </a:spcBef>
            <a:spcAft>
              <a:spcPts val="0"/>
            </a:spcAft>
            <a:buClrTx/>
            <a:buSzTx/>
            <a:buFontTx/>
            <a:buNone/>
            <a:tabLst/>
            <a:defRPr sz="1000"/>
          </a:pPr>
          <a:endParaRPr lang="en-GB" sz="800" b="0" i="0" baseline="0">
            <a:effectLst/>
            <a:latin typeface="+mn-lt"/>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GB" sz="800" b="0" i="0" baseline="0">
              <a:effectLst/>
              <a:latin typeface="+mn-lt"/>
              <a:ea typeface="+mn-ea"/>
              <a:cs typeface="+mn-cs"/>
            </a:rPr>
            <a:t>Type the required information into the yellow highlighted cells.</a:t>
          </a:r>
          <a:endParaRPr lang="en-GB" sz="800">
            <a:effectLst/>
            <a:latin typeface="+mn-lt"/>
          </a:endParaRPr>
        </a:p>
        <a:p>
          <a:pPr algn="l" rtl="0">
            <a:defRPr sz="1000"/>
          </a:pPr>
          <a:endParaRPr lang="en-GB" sz="800" b="0" i="0" u="none" strike="noStrike" baseline="0">
            <a:solidFill>
              <a:srgbClr val="000000"/>
            </a:solidFill>
            <a:latin typeface="+mn-lt"/>
            <a:cs typeface="Arial"/>
          </a:endParaRPr>
        </a:p>
        <a:p>
          <a:pPr algn="l" rtl="0">
            <a:defRPr sz="1000"/>
          </a:pPr>
          <a:r>
            <a:rPr lang="en-GB" sz="800" b="0" i="0" u="none" strike="noStrike" baseline="0">
              <a:solidFill>
                <a:srgbClr val="000000"/>
              </a:solidFill>
              <a:latin typeface="+mn-lt"/>
              <a:cs typeface="Arial"/>
            </a:rPr>
            <a:t>Alternatively, if you have several nodes and/or cases to check, you can fill in the various Case Sheets by selecting the requisite case(s) in the '</a:t>
          </a:r>
          <a:r>
            <a:rPr lang="en-GB" sz="800" b="0" i="1" u="none" strike="noStrike" baseline="0">
              <a:solidFill>
                <a:srgbClr val="000000"/>
              </a:solidFill>
              <a:latin typeface="+mn-lt"/>
              <a:cs typeface="Arial"/>
            </a:rPr>
            <a:t>Load Cases Analyzed</a:t>
          </a:r>
          <a:r>
            <a:rPr lang="en-GB" sz="800" b="0" i="0" u="none" strike="noStrike" baseline="0">
              <a:solidFill>
                <a:srgbClr val="000000"/>
              </a:solidFill>
              <a:latin typeface="+mn-lt"/>
              <a:cs typeface="Arial"/>
            </a:rPr>
            <a:t>' in the </a:t>
          </a:r>
          <a:r>
            <a:rPr lang="en-GB" sz="800" b="1" i="0" u="none" strike="noStrike" baseline="0">
              <a:solidFill>
                <a:srgbClr val="000000"/>
              </a:solidFill>
              <a:latin typeface="+mn-lt"/>
              <a:cs typeface="Arial"/>
            </a:rPr>
            <a:t>Caesar Static Output Processor</a:t>
          </a:r>
          <a:r>
            <a:rPr lang="en-GB" sz="800" b="0" i="0" u="none" strike="noStrike" baseline="0">
              <a:solidFill>
                <a:srgbClr val="000000"/>
              </a:solidFill>
              <a:latin typeface="+mn-lt"/>
              <a:cs typeface="Arial"/>
            </a:rPr>
            <a:t>, selecting the '</a:t>
          </a:r>
          <a:r>
            <a:rPr lang="en-GB" sz="800" b="0" i="1" u="none" strike="noStrike" baseline="0">
              <a:solidFill>
                <a:srgbClr val="000000"/>
              </a:solidFill>
              <a:latin typeface="+mn-lt"/>
              <a:cs typeface="Arial"/>
            </a:rPr>
            <a:t>Global Element Forces Extended</a:t>
          </a:r>
          <a:r>
            <a:rPr lang="en-GB" sz="800" b="0" i="0" u="none" strike="noStrike" baseline="0">
              <a:solidFill>
                <a:srgbClr val="000000"/>
              </a:solidFill>
              <a:latin typeface="+mn-lt"/>
              <a:cs typeface="Arial"/>
            </a:rPr>
            <a:t>' in the 'Standard Reports' and then clicking the Excel icon.</a:t>
          </a:r>
        </a:p>
        <a:p>
          <a:pPr algn="l" rtl="0">
            <a:defRPr sz="1000"/>
          </a:pPr>
          <a:endParaRPr lang="en-GB" sz="300" b="0" i="0" u="none" strike="noStrike" baseline="0">
            <a:solidFill>
              <a:srgbClr val="000000"/>
            </a:solidFill>
            <a:latin typeface="+mn-lt"/>
            <a:cs typeface="Arial"/>
          </a:endParaRPr>
        </a:p>
        <a:p>
          <a:pPr algn="l" rtl="0">
            <a:defRPr sz="1000"/>
          </a:pPr>
          <a:r>
            <a:rPr lang="en-GB" sz="800" b="0" i="0" u="none" strike="noStrike" baseline="0">
              <a:solidFill>
                <a:srgbClr val="000000"/>
              </a:solidFill>
              <a:latin typeface="+mn-lt"/>
              <a:cs typeface="Arial"/>
            </a:rPr>
            <a:t>When the new Excel file appears, select Copy and paste into cell P1 on the appropriate Case worksheet.</a:t>
          </a:r>
        </a:p>
        <a:p>
          <a:pPr algn="l" rtl="0">
            <a:defRPr sz="1000"/>
          </a:pPr>
          <a:endParaRPr lang="en-GB" sz="300" b="0" i="0" u="none" strike="noStrike" baseline="0">
            <a:solidFill>
              <a:srgbClr val="000000"/>
            </a:solidFill>
            <a:latin typeface="+mn-lt"/>
            <a:cs typeface="Arial"/>
          </a:endParaRPr>
        </a:p>
        <a:p>
          <a:pPr algn="l" rtl="0">
            <a:defRPr sz="1000"/>
          </a:pPr>
          <a:r>
            <a:rPr lang="en-GB" sz="800" b="0" i="0" u="none" strike="noStrike" baseline="0">
              <a:solidFill>
                <a:srgbClr val="000000"/>
              </a:solidFill>
              <a:latin typeface="+mn-lt"/>
              <a:cs typeface="Arial"/>
            </a:rPr>
            <a:t>Fill in the Nodes, the Axial Axis and the Longitudinal Axis in the table below (and the other information if required) and the table below left will be populated with the forces.</a:t>
          </a:r>
        </a:p>
      </xdr:txBody>
    </xdr:sp>
    <xdr:clientData fPrintsWithSheet="0"/>
  </xdr:twoCellAnchor>
  <xdr:twoCellAnchor>
    <xdr:from>
      <xdr:col>19</xdr:col>
      <xdr:colOff>19055</xdr:colOff>
      <xdr:row>6</xdr:row>
      <xdr:rowOff>38109</xdr:rowOff>
    </xdr:from>
    <xdr:to>
      <xdr:col>30</xdr:col>
      <xdr:colOff>47307</xdr:colOff>
      <xdr:row>19</xdr:row>
      <xdr:rowOff>103494</xdr:rowOff>
    </xdr:to>
    <xdr:grpSp>
      <xdr:nvGrpSpPr>
        <xdr:cNvPr id="230" name="Group 229"/>
        <xdr:cNvGrpSpPr/>
      </xdr:nvGrpSpPr>
      <xdr:grpSpPr>
        <a:xfrm>
          <a:off x="2432055" y="1727209"/>
          <a:ext cx="1425252" cy="1716385"/>
          <a:chOff x="2512488" y="1744142"/>
          <a:chExt cx="1471819" cy="1771419"/>
        </a:xfrm>
      </xdr:grpSpPr>
      <xdr:grpSp>
        <xdr:nvGrpSpPr>
          <xdr:cNvPr id="139" name="Group 138"/>
          <xdr:cNvGrpSpPr/>
        </xdr:nvGrpSpPr>
        <xdr:grpSpPr>
          <a:xfrm>
            <a:off x="2512488" y="2456059"/>
            <a:ext cx="1462388" cy="1059502"/>
            <a:chOff x="2921000" y="2832100"/>
            <a:chExt cx="2216150" cy="1606550"/>
          </a:xfrm>
        </xdr:grpSpPr>
        <xdr:cxnSp macro="">
          <xdr:nvCxnSpPr>
            <xdr:cNvPr id="105" name="Straight Connector 104"/>
            <xdr:cNvCxnSpPr/>
          </xdr:nvCxnSpPr>
          <xdr:spPr>
            <a:xfrm>
              <a:off x="4572000" y="3848100"/>
              <a:ext cx="565150" cy="0"/>
            </a:xfrm>
            <a:prstGeom prst="line">
              <a:avLst/>
            </a:prstGeom>
            <a:ln w="6350"/>
          </xdr:spPr>
          <xdr:style>
            <a:lnRef idx="1">
              <a:schemeClr val="dk1"/>
            </a:lnRef>
            <a:fillRef idx="0">
              <a:schemeClr val="dk1"/>
            </a:fillRef>
            <a:effectRef idx="0">
              <a:schemeClr val="dk1"/>
            </a:effectRef>
            <a:fontRef idx="minor">
              <a:schemeClr val="tx1"/>
            </a:fontRef>
          </xdr:style>
        </xdr:cxnSp>
        <xdr:cxnSp macro="">
          <xdr:nvCxnSpPr>
            <xdr:cNvPr id="107" name="Straight Arrow Connector 106"/>
            <xdr:cNvCxnSpPr/>
          </xdr:nvCxnSpPr>
          <xdr:spPr>
            <a:xfrm flipV="1">
              <a:off x="5080000" y="3092450"/>
              <a:ext cx="0" cy="755650"/>
            </a:xfrm>
            <a:prstGeom prst="straightConnector1">
              <a:avLst/>
            </a:prstGeom>
            <a:ln>
              <a:headEnd type="stealth" w="sm" len="med"/>
              <a:tailEnd type="stealth" w="sm" len="med"/>
            </a:ln>
          </xdr:spPr>
          <xdr:style>
            <a:lnRef idx="1">
              <a:schemeClr val="dk1"/>
            </a:lnRef>
            <a:fillRef idx="0">
              <a:schemeClr val="dk1"/>
            </a:fillRef>
            <a:effectRef idx="0">
              <a:schemeClr val="dk1"/>
            </a:effectRef>
            <a:fontRef idx="minor">
              <a:schemeClr val="tx1"/>
            </a:fontRef>
          </xdr:style>
        </xdr:cxnSp>
        <xdr:cxnSp macro="">
          <xdr:nvCxnSpPr>
            <xdr:cNvPr id="109" name="Straight Connector 108"/>
            <xdr:cNvCxnSpPr/>
          </xdr:nvCxnSpPr>
          <xdr:spPr>
            <a:xfrm flipH="1">
              <a:off x="3136900" y="2889250"/>
              <a:ext cx="342900" cy="0"/>
            </a:xfrm>
            <a:prstGeom prst="line">
              <a:avLst/>
            </a:prstGeom>
            <a:ln w="6350"/>
          </xdr:spPr>
          <xdr:style>
            <a:lnRef idx="1">
              <a:schemeClr val="dk1"/>
            </a:lnRef>
            <a:fillRef idx="0">
              <a:schemeClr val="dk1"/>
            </a:fillRef>
            <a:effectRef idx="0">
              <a:schemeClr val="dk1"/>
            </a:effectRef>
            <a:fontRef idx="minor">
              <a:schemeClr val="tx1"/>
            </a:fontRef>
          </xdr:style>
        </xdr:cxnSp>
        <xdr:cxnSp macro="">
          <xdr:nvCxnSpPr>
            <xdr:cNvPr id="111" name="Straight Connector 110"/>
            <xdr:cNvCxnSpPr/>
          </xdr:nvCxnSpPr>
          <xdr:spPr>
            <a:xfrm flipH="1">
              <a:off x="3130550" y="3276600"/>
              <a:ext cx="349250" cy="0"/>
            </a:xfrm>
            <a:prstGeom prst="line">
              <a:avLst/>
            </a:prstGeom>
            <a:ln w="6350"/>
          </xdr:spPr>
          <xdr:style>
            <a:lnRef idx="1">
              <a:schemeClr val="dk1"/>
            </a:lnRef>
            <a:fillRef idx="0">
              <a:schemeClr val="dk1"/>
            </a:fillRef>
            <a:effectRef idx="0">
              <a:schemeClr val="dk1"/>
            </a:effectRef>
            <a:fontRef idx="minor">
              <a:schemeClr val="tx1"/>
            </a:fontRef>
          </xdr:style>
        </xdr:cxnSp>
        <xdr:cxnSp macro="">
          <xdr:nvCxnSpPr>
            <xdr:cNvPr id="113" name="Straight Arrow Connector 112"/>
            <xdr:cNvCxnSpPr/>
          </xdr:nvCxnSpPr>
          <xdr:spPr>
            <a:xfrm>
              <a:off x="3175000" y="2889250"/>
              <a:ext cx="6350" cy="387350"/>
            </a:xfrm>
            <a:prstGeom prst="straightConnector1">
              <a:avLst/>
            </a:prstGeom>
            <a:ln>
              <a:headEnd type="stealth" w="sm" len="med"/>
              <a:tailEnd type="stealth" w="sm" len="med"/>
            </a:ln>
          </xdr:spPr>
          <xdr:style>
            <a:lnRef idx="1">
              <a:schemeClr val="dk1"/>
            </a:lnRef>
            <a:fillRef idx="0">
              <a:schemeClr val="dk1"/>
            </a:fillRef>
            <a:effectRef idx="0">
              <a:schemeClr val="dk1"/>
            </a:effectRef>
            <a:fontRef idx="minor">
              <a:schemeClr val="tx1"/>
            </a:fontRef>
          </xdr:style>
        </xdr:cxnSp>
        <xdr:sp macro="" textlink="">
          <xdr:nvSpPr>
            <xdr:cNvPr id="114" name="TextBox 113"/>
            <xdr:cNvSpPr txBox="1"/>
          </xdr:nvSpPr>
          <xdr:spPr>
            <a:xfrm>
              <a:off x="4826000" y="3213100"/>
              <a:ext cx="20955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1"/>
            <a:lstStyle/>
            <a:p>
              <a:r>
                <a:rPr lang="en-GB" sz="1100"/>
                <a:t>L</a:t>
              </a:r>
            </a:p>
          </xdr:txBody>
        </xdr:sp>
        <xdr:sp macro="" textlink="">
          <xdr:nvSpPr>
            <xdr:cNvPr id="115" name="TextBox 114"/>
            <xdr:cNvSpPr txBox="1"/>
          </xdr:nvSpPr>
          <xdr:spPr>
            <a:xfrm>
              <a:off x="2921000" y="2832100"/>
              <a:ext cx="20955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1"/>
            <a:lstStyle/>
            <a:p>
              <a:r>
                <a:rPr lang="en-GB" sz="1100"/>
                <a:t>D</a:t>
              </a:r>
            </a:p>
          </xdr:txBody>
        </xdr:sp>
        <xdr:cxnSp macro="">
          <xdr:nvCxnSpPr>
            <xdr:cNvPr id="117" name="Straight Connector 116"/>
            <xdr:cNvCxnSpPr/>
          </xdr:nvCxnSpPr>
          <xdr:spPr>
            <a:xfrm>
              <a:off x="4235450" y="3879850"/>
              <a:ext cx="0" cy="260350"/>
            </a:xfrm>
            <a:prstGeom prst="line">
              <a:avLst/>
            </a:prstGeom>
            <a:ln w="6350"/>
          </xdr:spPr>
          <xdr:style>
            <a:lnRef idx="1">
              <a:schemeClr val="dk1"/>
            </a:lnRef>
            <a:fillRef idx="0">
              <a:schemeClr val="dk1"/>
            </a:fillRef>
            <a:effectRef idx="0">
              <a:schemeClr val="dk1"/>
            </a:effectRef>
            <a:fontRef idx="minor">
              <a:schemeClr val="tx1"/>
            </a:fontRef>
          </xdr:style>
        </xdr:cxnSp>
        <xdr:cxnSp macro="">
          <xdr:nvCxnSpPr>
            <xdr:cNvPr id="119" name="Straight Connector 118"/>
            <xdr:cNvCxnSpPr/>
          </xdr:nvCxnSpPr>
          <xdr:spPr>
            <a:xfrm>
              <a:off x="4540250" y="3873500"/>
              <a:ext cx="0" cy="266700"/>
            </a:xfrm>
            <a:prstGeom prst="line">
              <a:avLst/>
            </a:prstGeom>
            <a:ln w="6350"/>
          </xdr:spPr>
          <xdr:style>
            <a:lnRef idx="1">
              <a:schemeClr val="dk1"/>
            </a:lnRef>
            <a:fillRef idx="0">
              <a:schemeClr val="dk1"/>
            </a:fillRef>
            <a:effectRef idx="0">
              <a:schemeClr val="dk1"/>
            </a:effectRef>
            <a:fontRef idx="minor">
              <a:schemeClr val="tx1"/>
            </a:fontRef>
          </xdr:style>
        </xdr:cxnSp>
        <xdr:cxnSp macro="">
          <xdr:nvCxnSpPr>
            <xdr:cNvPr id="121" name="Straight Arrow Connector 120"/>
            <xdr:cNvCxnSpPr/>
          </xdr:nvCxnSpPr>
          <xdr:spPr>
            <a:xfrm>
              <a:off x="4235450" y="4102100"/>
              <a:ext cx="304800" cy="6350"/>
            </a:xfrm>
            <a:prstGeom prst="straightConnector1">
              <a:avLst/>
            </a:prstGeom>
            <a:ln>
              <a:headEnd type="stealth" w="sm" len="med"/>
              <a:tailEnd type="stealth" w="sm" len="med"/>
            </a:ln>
          </xdr:spPr>
          <xdr:style>
            <a:lnRef idx="1">
              <a:schemeClr val="dk1"/>
            </a:lnRef>
            <a:fillRef idx="0">
              <a:schemeClr val="dk1"/>
            </a:fillRef>
            <a:effectRef idx="0">
              <a:schemeClr val="dk1"/>
            </a:effectRef>
            <a:fontRef idx="minor">
              <a:schemeClr val="tx1"/>
            </a:fontRef>
          </xdr:style>
        </xdr:cxnSp>
        <xdr:cxnSp macro="">
          <xdr:nvCxnSpPr>
            <xdr:cNvPr id="123" name="Straight Connector 122"/>
            <xdr:cNvCxnSpPr/>
          </xdr:nvCxnSpPr>
          <xdr:spPr>
            <a:xfrm flipH="1">
              <a:off x="3860800" y="4102100"/>
              <a:ext cx="381000" cy="0"/>
            </a:xfrm>
            <a:prstGeom prst="line">
              <a:avLst/>
            </a:prstGeom>
          </xdr:spPr>
          <xdr:style>
            <a:lnRef idx="1">
              <a:schemeClr val="dk1"/>
            </a:lnRef>
            <a:fillRef idx="0">
              <a:schemeClr val="dk1"/>
            </a:fillRef>
            <a:effectRef idx="0">
              <a:schemeClr val="dk1"/>
            </a:effectRef>
            <a:fontRef idx="minor">
              <a:schemeClr val="tx1"/>
            </a:fontRef>
          </xdr:style>
        </xdr:cxnSp>
        <xdr:sp macro="" textlink="">
          <xdr:nvSpPr>
            <xdr:cNvPr id="126" name="TextBox 125"/>
            <xdr:cNvSpPr txBox="1"/>
          </xdr:nvSpPr>
          <xdr:spPr>
            <a:xfrm rot="5400000">
              <a:off x="3925887" y="3779837"/>
              <a:ext cx="209550" cy="377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1"/>
            <a:lstStyle/>
            <a:p>
              <a:r>
                <a:rPr lang="en-GB" sz="1100"/>
                <a:t>d</a:t>
              </a:r>
            </a:p>
          </xdr:txBody>
        </xdr:sp>
        <xdr:cxnSp macro="">
          <xdr:nvCxnSpPr>
            <xdr:cNvPr id="128" name="Straight Arrow Connector 127"/>
            <xdr:cNvCxnSpPr/>
          </xdr:nvCxnSpPr>
          <xdr:spPr>
            <a:xfrm>
              <a:off x="4483100" y="4229100"/>
              <a:ext cx="476250" cy="0"/>
            </a:xfrm>
            <a:prstGeom prst="straightConnector1">
              <a:avLst/>
            </a:prstGeom>
            <a:ln>
              <a:headEnd type="stealth" w="sm" len="med"/>
              <a:tailEnd type="none" w="sm" len="lg"/>
            </a:ln>
          </xdr:spPr>
          <xdr:style>
            <a:lnRef idx="1">
              <a:schemeClr val="dk1"/>
            </a:lnRef>
            <a:fillRef idx="0">
              <a:schemeClr val="dk1"/>
            </a:fillRef>
            <a:effectRef idx="0">
              <a:schemeClr val="dk1"/>
            </a:effectRef>
            <a:fontRef idx="minor">
              <a:schemeClr val="tx1"/>
            </a:fontRef>
          </xdr:style>
        </xdr:cxnSp>
        <xdr:cxnSp macro="">
          <xdr:nvCxnSpPr>
            <xdr:cNvPr id="134" name="Straight Arrow Connector 133"/>
            <xdr:cNvCxnSpPr/>
          </xdr:nvCxnSpPr>
          <xdr:spPr>
            <a:xfrm>
              <a:off x="4191000" y="4229100"/>
              <a:ext cx="203200" cy="0"/>
            </a:xfrm>
            <a:prstGeom prst="straightConnector1">
              <a:avLst/>
            </a:prstGeom>
            <a:ln>
              <a:tailEnd type="stealth" w="sm" len="med"/>
            </a:ln>
          </xdr:spPr>
          <xdr:style>
            <a:lnRef idx="1">
              <a:schemeClr val="dk1"/>
            </a:lnRef>
            <a:fillRef idx="0">
              <a:schemeClr val="dk1"/>
            </a:fillRef>
            <a:effectRef idx="0">
              <a:schemeClr val="dk1"/>
            </a:effectRef>
            <a:fontRef idx="minor">
              <a:schemeClr val="tx1"/>
            </a:fontRef>
          </xdr:style>
        </xdr:cxnSp>
        <xdr:sp macro="" textlink="">
          <xdr:nvSpPr>
            <xdr:cNvPr id="135" name="TextBox 134"/>
            <xdr:cNvSpPr txBox="1"/>
          </xdr:nvSpPr>
          <xdr:spPr>
            <a:xfrm rot="5400000">
              <a:off x="4656138" y="3890962"/>
              <a:ext cx="209550" cy="377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1"/>
            <a:lstStyle/>
            <a:p>
              <a:r>
                <a:rPr lang="en-GB" sz="1100"/>
                <a:t>O</a:t>
              </a:r>
            </a:p>
          </xdr:txBody>
        </xdr:sp>
        <xdr:sp macro="" textlink="">
          <xdr:nvSpPr>
            <xdr:cNvPr id="136" name="TextBox 135"/>
            <xdr:cNvSpPr txBox="1"/>
          </xdr:nvSpPr>
          <xdr:spPr>
            <a:xfrm rot="5400000">
              <a:off x="4656138" y="4144962"/>
              <a:ext cx="209550" cy="377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1"/>
            <a:lstStyle/>
            <a:p>
              <a:r>
                <a:rPr lang="en-GB" sz="800"/>
                <a:t>+ve</a:t>
              </a:r>
            </a:p>
          </xdr:txBody>
        </xdr:sp>
        <xdr:cxnSp macro="">
          <xdr:nvCxnSpPr>
            <xdr:cNvPr id="138" name="Straight Arrow Connector 137"/>
            <xdr:cNvCxnSpPr/>
          </xdr:nvCxnSpPr>
          <xdr:spPr>
            <a:xfrm>
              <a:off x="4565650" y="4413250"/>
              <a:ext cx="400050" cy="0"/>
            </a:xfrm>
            <a:prstGeom prst="straightConnector1">
              <a:avLst/>
            </a:prstGeom>
            <a:ln>
              <a:tailEnd type="stealth" w="sm" len="med"/>
            </a:ln>
          </xdr:spPr>
          <xdr:style>
            <a:lnRef idx="1">
              <a:schemeClr val="dk1"/>
            </a:lnRef>
            <a:fillRef idx="0">
              <a:schemeClr val="dk1"/>
            </a:fillRef>
            <a:effectRef idx="0">
              <a:schemeClr val="dk1"/>
            </a:effectRef>
            <a:fontRef idx="minor">
              <a:schemeClr val="tx1"/>
            </a:fontRef>
          </xdr:style>
        </xdr:cxnSp>
      </xdr:grpSp>
      <xdr:grpSp>
        <xdr:nvGrpSpPr>
          <xdr:cNvPr id="229" name="Group 228"/>
          <xdr:cNvGrpSpPr/>
        </xdr:nvGrpSpPr>
        <xdr:grpSpPr>
          <a:xfrm>
            <a:off x="2667530" y="1744142"/>
            <a:ext cx="1316777" cy="1696041"/>
            <a:chOff x="2667530" y="1744142"/>
            <a:chExt cx="1316777" cy="1696041"/>
          </a:xfrm>
        </xdr:grpSpPr>
        <xdr:cxnSp macro="">
          <xdr:nvCxnSpPr>
            <xdr:cNvPr id="14" name="Straight Connector 13"/>
            <xdr:cNvCxnSpPr>
              <a:stCxn id="11" idx="0"/>
              <a:endCxn id="12" idx="0"/>
            </xdr:cNvCxnSpPr>
          </xdr:nvCxnSpPr>
          <xdr:spPr>
            <a:xfrm flipV="1">
              <a:off x="3420199" y="2248243"/>
              <a:ext cx="252984" cy="1"/>
            </a:xfrm>
            <a:prstGeom prst="line">
              <a:avLst/>
            </a:prstGeom>
          </xdr:spPr>
          <xdr:style>
            <a:lnRef idx="1">
              <a:schemeClr val="dk1"/>
            </a:lnRef>
            <a:fillRef idx="0">
              <a:schemeClr val="dk1"/>
            </a:fillRef>
            <a:effectRef idx="0">
              <a:schemeClr val="dk1"/>
            </a:effectRef>
            <a:fontRef idx="minor">
              <a:schemeClr val="tx1"/>
            </a:fontRef>
          </xdr:style>
        </xdr:cxnSp>
        <xdr:sp macro="" textlink="">
          <xdr:nvSpPr>
            <xdr:cNvPr id="12" name="Arc 11"/>
            <xdr:cNvSpPr/>
          </xdr:nvSpPr>
          <xdr:spPr>
            <a:xfrm rot="5400000">
              <a:off x="2666256" y="1745416"/>
              <a:ext cx="1008202" cy="1005653"/>
            </a:xfrm>
            <a:prstGeom prst="arc">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GB" sz="1100"/>
            </a:p>
          </xdr:txBody>
        </xdr:sp>
        <xdr:sp macro="" textlink="">
          <xdr:nvSpPr>
            <xdr:cNvPr id="54" name="Rectangle 53"/>
            <xdr:cNvSpPr/>
          </xdr:nvSpPr>
          <xdr:spPr>
            <a:xfrm>
              <a:off x="3377772" y="2497938"/>
              <a:ext cx="204274" cy="22928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xnSp macro="">
          <xdr:nvCxnSpPr>
            <xdr:cNvPr id="8" name="Straight Connector 7"/>
            <xdr:cNvCxnSpPr/>
          </xdr:nvCxnSpPr>
          <xdr:spPr>
            <a:xfrm>
              <a:off x="2839326" y="2623570"/>
              <a:ext cx="1144981" cy="1"/>
            </a:xfrm>
            <a:prstGeom prst="line">
              <a:avLst/>
            </a:prstGeom>
            <a:ln w="6350">
              <a:prstDash val="lgDashDot"/>
            </a:ln>
          </xdr:spPr>
          <xdr:style>
            <a:lnRef idx="1">
              <a:schemeClr val="dk1"/>
            </a:lnRef>
            <a:fillRef idx="0">
              <a:schemeClr val="dk1"/>
            </a:fillRef>
            <a:effectRef idx="0">
              <a:schemeClr val="dk1"/>
            </a:effectRef>
            <a:fontRef idx="minor">
              <a:schemeClr val="tx1"/>
            </a:fontRef>
          </xdr:style>
        </xdr:cxnSp>
        <xdr:cxnSp macro="">
          <xdr:nvCxnSpPr>
            <xdr:cNvPr id="10" name="Straight Connector 9"/>
            <xdr:cNvCxnSpPr/>
          </xdr:nvCxnSpPr>
          <xdr:spPr>
            <a:xfrm>
              <a:off x="3544334" y="1932592"/>
              <a:ext cx="0" cy="1507591"/>
            </a:xfrm>
            <a:prstGeom prst="line">
              <a:avLst/>
            </a:prstGeom>
            <a:ln w="6350">
              <a:prstDash val="lgDashDot"/>
            </a:ln>
          </xdr:spPr>
          <xdr:style>
            <a:lnRef idx="1">
              <a:schemeClr val="dk1"/>
            </a:lnRef>
            <a:fillRef idx="0">
              <a:schemeClr val="dk1"/>
            </a:fillRef>
            <a:effectRef idx="0">
              <a:schemeClr val="dk1"/>
            </a:effectRef>
            <a:fontRef idx="minor">
              <a:schemeClr val="tx1"/>
            </a:fontRef>
          </xdr:style>
        </xdr:cxnSp>
        <xdr:sp macro="" textlink="">
          <xdr:nvSpPr>
            <xdr:cNvPr id="11" name="Arc 10"/>
            <xdr:cNvSpPr/>
          </xdr:nvSpPr>
          <xdr:spPr>
            <a:xfrm rot="5400000">
              <a:off x="2915949" y="1995259"/>
              <a:ext cx="502530" cy="505969"/>
            </a:xfrm>
            <a:prstGeom prst="arc">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GB" sz="1100"/>
            </a:p>
          </xdr:txBody>
        </xdr:sp>
        <xdr:cxnSp macro="">
          <xdr:nvCxnSpPr>
            <xdr:cNvPr id="17" name="Straight Connector 16"/>
            <xdr:cNvCxnSpPr>
              <a:stCxn id="11" idx="2"/>
              <a:endCxn id="12" idx="2"/>
            </xdr:cNvCxnSpPr>
          </xdr:nvCxnSpPr>
          <xdr:spPr>
            <a:xfrm>
              <a:off x="3167214" y="2499508"/>
              <a:ext cx="3143" cy="252835"/>
            </a:xfrm>
            <a:prstGeom prst="line">
              <a:avLst/>
            </a:prstGeom>
          </xdr:spPr>
          <xdr:style>
            <a:lnRef idx="1">
              <a:schemeClr val="dk1"/>
            </a:lnRef>
            <a:fillRef idx="0">
              <a:schemeClr val="dk1"/>
            </a:fillRef>
            <a:effectRef idx="0">
              <a:schemeClr val="dk1"/>
            </a:effectRef>
            <a:fontRef idx="minor">
              <a:schemeClr val="tx1"/>
            </a:fontRef>
          </xdr:style>
        </xdr:cxnSp>
        <xdr:sp macro="" textlink="">
          <xdr:nvSpPr>
            <xdr:cNvPr id="20" name="Arc 19"/>
            <xdr:cNvSpPr/>
          </xdr:nvSpPr>
          <xdr:spPr>
            <a:xfrm rot="5400000">
              <a:off x="2790317" y="1869553"/>
              <a:ext cx="756937" cy="757383"/>
            </a:xfrm>
            <a:prstGeom prst="arc">
              <a:avLst/>
            </a:prstGeom>
            <a:ln w="6350">
              <a:prstDash val="lgDashDot"/>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GB" sz="1100"/>
            </a:p>
          </xdr:txBody>
        </xdr:sp>
        <xdr:cxnSp macro="">
          <xdr:nvCxnSpPr>
            <xdr:cNvPr id="22" name="Straight Connector 21"/>
            <xdr:cNvCxnSpPr>
              <a:stCxn id="11" idx="2"/>
            </xdr:cNvCxnSpPr>
          </xdr:nvCxnSpPr>
          <xdr:spPr>
            <a:xfrm flipH="1">
              <a:off x="2912657" y="2499508"/>
              <a:ext cx="254557" cy="0"/>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25" name="Straight Connector 24"/>
            <xdr:cNvCxnSpPr>
              <a:endCxn id="12" idx="2"/>
            </xdr:cNvCxnSpPr>
          </xdr:nvCxnSpPr>
          <xdr:spPr>
            <a:xfrm>
              <a:off x="2912657" y="2752345"/>
              <a:ext cx="257699" cy="0"/>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30" name="Straight Connector 29"/>
            <xdr:cNvCxnSpPr>
              <a:endCxn id="11" idx="0"/>
            </xdr:cNvCxnSpPr>
          </xdr:nvCxnSpPr>
          <xdr:spPr>
            <a:xfrm>
              <a:off x="3418627" y="1995408"/>
              <a:ext cx="1572" cy="252835"/>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32" name="Straight Connector 31"/>
            <xdr:cNvCxnSpPr>
              <a:endCxn id="12" idx="0"/>
            </xdr:cNvCxnSpPr>
          </xdr:nvCxnSpPr>
          <xdr:spPr>
            <a:xfrm>
              <a:off x="3670041" y="1995408"/>
              <a:ext cx="3143" cy="252835"/>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40" name="Straight Connector 39"/>
            <xdr:cNvCxnSpPr>
              <a:stCxn id="55" idx="0"/>
            </xdr:cNvCxnSpPr>
          </xdr:nvCxnSpPr>
          <xdr:spPr>
            <a:xfrm>
              <a:off x="3377772" y="2711514"/>
              <a:ext cx="3143" cy="414587"/>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42" name="Straight Connector 41"/>
            <xdr:cNvCxnSpPr/>
          </xdr:nvCxnSpPr>
          <xdr:spPr>
            <a:xfrm>
              <a:off x="3578903" y="2532488"/>
              <a:ext cx="3143" cy="593614"/>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47" name="Straight Connector 46"/>
            <xdr:cNvCxnSpPr/>
          </xdr:nvCxnSpPr>
          <xdr:spPr>
            <a:xfrm>
              <a:off x="3481480" y="2560755"/>
              <a:ext cx="0" cy="879428"/>
            </a:xfrm>
            <a:prstGeom prst="line">
              <a:avLst/>
            </a:prstGeom>
            <a:ln w="6350">
              <a:prstDash val="lgDashDot"/>
            </a:ln>
          </xdr:spPr>
          <xdr:style>
            <a:lnRef idx="1">
              <a:schemeClr val="dk1"/>
            </a:lnRef>
            <a:fillRef idx="0">
              <a:schemeClr val="dk1"/>
            </a:fillRef>
            <a:effectRef idx="0">
              <a:schemeClr val="dk1"/>
            </a:effectRef>
            <a:fontRef idx="minor">
              <a:schemeClr val="tx1"/>
            </a:fontRef>
          </xdr:style>
        </xdr:cxnSp>
        <xdr:cxnSp macro="">
          <xdr:nvCxnSpPr>
            <xdr:cNvPr id="50" name="Straight Connector 49"/>
            <xdr:cNvCxnSpPr/>
          </xdr:nvCxnSpPr>
          <xdr:spPr>
            <a:xfrm>
              <a:off x="3380915" y="3126101"/>
              <a:ext cx="201131" cy="0"/>
            </a:xfrm>
            <a:prstGeom prst="line">
              <a:avLst/>
            </a:prstGeom>
          </xdr:spPr>
          <xdr:style>
            <a:lnRef idx="1">
              <a:schemeClr val="dk1"/>
            </a:lnRef>
            <a:fillRef idx="0">
              <a:schemeClr val="dk1"/>
            </a:fillRef>
            <a:effectRef idx="0">
              <a:schemeClr val="dk1"/>
            </a:effectRef>
            <a:fontRef idx="minor">
              <a:schemeClr val="tx1"/>
            </a:fontRef>
          </xdr:style>
        </xdr:cxnSp>
        <xdr:sp macro="" textlink="">
          <xdr:nvSpPr>
            <xdr:cNvPr id="52" name="Freeform 51"/>
            <xdr:cNvSpPr/>
          </xdr:nvSpPr>
          <xdr:spPr>
            <a:xfrm>
              <a:off x="2895880" y="2497938"/>
              <a:ext cx="35634" cy="251265"/>
            </a:xfrm>
            <a:custGeom>
              <a:avLst/>
              <a:gdLst>
                <a:gd name="connsiteX0" fmla="*/ 120767 w 260477"/>
                <a:gd name="connsiteY0" fmla="*/ 0 h 508000"/>
                <a:gd name="connsiteX1" fmla="*/ 117 w 260477"/>
                <a:gd name="connsiteY1" fmla="*/ 127000 h 508000"/>
                <a:gd name="connsiteX2" fmla="*/ 139817 w 260477"/>
                <a:gd name="connsiteY2" fmla="*/ 254000 h 508000"/>
                <a:gd name="connsiteX3" fmla="*/ 260467 w 260477"/>
                <a:gd name="connsiteY3" fmla="*/ 381000 h 508000"/>
                <a:gd name="connsiteX4" fmla="*/ 133467 w 260477"/>
                <a:gd name="connsiteY4" fmla="*/ 508000 h 508000"/>
                <a:gd name="connsiteX5" fmla="*/ 6467 w 260477"/>
                <a:gd name="connsiteY5" fmla="*/ 381000 h 508000"/>
                <a:gd name="connsiteX6" fmla="*/ 133467 w 260477"/>
                <a:gd name="connsiteY6" fmla="*/ 260350 h 508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60477" h="508000">
                  <a:moveTo>
                    <a:pt x="120767" y="0"/>
                  </a:moveTo>
                  <a:cubicBezTo>
                    <a:pt x="58854" y="42333"/>
                    <a:pt x="-3058" y="84667"/>
                    <a:pt x="117" y="127000"/>
                  </a:cubicBezTo>
                  <a:cubicBezTo>
                    <a:pt x="3292" y="169333"/>
                    <a:pt x="96425" y="211667"/>
                    <a:pt x="139817" y="254000"/>
                  </a:cubicBezTo>
                  <a:cubicBezTo>
                    <a:pt x="183209" y="296333"/>
                    <a:pt x="261525" y="338667"/>
                    <a:pt x="260467" y="381000"/>
                  </a:cubicBezTo>
                  <a:cubicBezTo>
                    <a:pt x="259409" y="423333"/>
                    <a:pt x="175800" y="508000"/>
                    <a:pt x="133467" y="508000"/>
                  </a:cubicBezTo>
                  <a:cubicBezTo>
                    <a:pt x="91134" y="508000"/>
                    <a:pt x="6467" y="422275"/>
                    <a:pt x="6467" y="381000"/>
                  </a:cubicBezTo>
                  <a:cubicBezTo>
                    <a:pt x="6467" y="339725"/>
                    <a:pt x="83725" y="226483"/>
                    <a:pt x="133467" y="260350"/>
                  </a:cubicBezTo>
                </a:path>
              </a:pathLst>
            </a:cu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GB" sz="1100"/>
            </a:p>
          </xdr:txBody>
        </xdr:sp>
        <xdr:sp macro="" textlink="">
          <xdr:nvSpPr>
            <xdr:cNvPr id="53" name="Freeform 52"/>
            <xdr:cNvSpPr/>
          </xdr:nvSpPr>
          <xdr:spPr>
            <a:xfrm rot="5400000">
              <a:off x="3527567" y="1869701"/>
              <a:ext cx="35612" cy="251413"/>
            </a:xfrm>
            <a:custGeom>
              <a:avLst/>
              <a:gdLst>
                <a:gd name="connsiteX0" fmla="*/ 120767 w 260477"/>
                <a:gd name="connsiteY0" fmla="*/ 0 h 508000"/>
                <a:gd name="connsiteX1" fmla="*/ 117 w 260477"/>
                <a:gd name="connsiteY1" fmla="*/ 127000 h 508000"/>
                <a:gd name="connsiteX2" fmla="*/ 139817 w 260477"/>
                <a:gd name="connsiteY2" fmla="*/ 254000 h 508000"/>
                <a:gd name="connsiteX3" fmla="*/ 260467 w 260477"/>
                <a:gd name="connsiteY3" fmla="*/ 381000 h 508000"/>
                <a:gd name="connsiteX4" fmla="*/ 133467 w 260477"/>
                <a:gd name="connsiteY4" fmla="*/ 508000 h 508000"/>
                <a:gd name="connsiteX5" fmla="*/ 6467 w 260477"/>
                <a:gd name="connsiteY5" fmla="*/ 381000 h 508000"/>
                <a:gd name="connsiteX6" fmla="*/ 133467 w 260477"/>
                <a:gd name="connsiteY6" fmla="*/ 260350 h 508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60477" h="508000">
                  <a:moveTo>
                    <a:pt x="120767" y="0"/>
                  </a:moveTo>
                  <a:cubicBezTo>
                    <a:pt x="58854" y="42333"/>
                    <a:pt x="-3058" y="84667"/>
                    <a:pt x="117" y="127000"/>
                  </a:cubicBezTo>
                  <a:cubicBezTo>
                    <a:pt x="3292" y="169333"/>
                    <a:pt x="96425" y="211667"/>
                    <a:pt x="139817" y="254000"/>
                  </a:cubicBezTo>
                  <a:cubicBezTo>
                    <a:pt x="183209" y="296333"/>
                    <a:pt x="261525" y="338667"/>
                    <a:pt x="260467" y="381000"/>
                  </a:cubicBezTo>
                  <a:cubicBezTo>
                    <a:pt x="259409" y="423333"/>
                    <a:pt x="175800" y="508000"/>
                    <a:pt x="133467" y="508000"/>
                  </a:cubicBezTo>
                  <a:cubicBezTo>
                    <a:pt x="91134" y="508000"/>
                    <a:pt x="6467" y="422275"/>
                    <a:pt x="6467" y="381000"/>
                  </a:cubicBezTo>
                  <a:cubicBezTo>
                    <a:pt x="6467" y="339725"/>
                    <a:pt x="83725" y="226483"/>
                    <a:pt x="133467" y="260350"/>
                  </a:cubicBezTo>
                </a:path>
              </a:pathLst>
            </a:cu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GB" sz="1100"/>
            </a:p>
          </xdr:txBody>
        </xdr:sp>
        <xdr:sp macro="" textlink="">
          <xdr:nvSpPr>
            <xdr:cNvPr id="55" name="Freeform 54"/>
            <xdr:cNvSpPr/>
          </xdr:nvSpPr>
          <xdr:spPr>
            <a:xfrm>
              <a:off x="3377772" y="2532488"/>
              <a:ext cx="207416" cy="179027"/>
            </a:xfrm>
            <a:custGeom>
              <a:avLst/>
              <a:gdLst>
                <a:gd name="connsiteX0" fmla="*/ 0 w 514350"/>
                <a:gd name="connsiteY0" fmla="*/ 425450 h 425450"/>
                <a:gd name="connsiteX1" fmla="*/ 234950 w 514350"/>
                <a:gd name="connsiteY1" fmla="*/ 101600 h 425450"/>
                <a:gd name="connsiteX2" fmla="*/ 514350 w 514350"/>
                <a:gd name="connsiteY2" fmla="*/ 0 h 425450"/>
              </a:gdLst>
              <a:ahLst/>
              <a:cxnLst>
                <a:cxn ang="0">
                  <a:pos x="connsiteX0" y="connsiteY0"/>
                </a:cxn>
                <a:cxn ang="0">
                  <a:pos x="connsiteX1" y="connsiteY1"/>
                </a:cxn>
                <a:cxn ang="0">
                  <a:pos x="connsiteX2" y="connsiteY2"/>
                </a:cxn>
              </a:cxnLst>
              <a:rect l="l" t="t" r="r" b="b"/>
              <a:pathLst>
                <a:path w="514350" h="425450">
                  <a:moveTo>
                    <a:pt x="0" y="425450"/>
                  </a:moveTo>
                  <a:cubicBezTo>
                    <a:pt x="74612" y="298979"/>
                    <a:pt x="149225" y="172508"/>
                    <a:pt x="234950" y="101600"/>
                  </a:cubicBezTo>
                  <a:cubicBezTo>
                    <a:pt x="320675" y="30692"/>
                    <a:pt x="446617" y="8467"/>
                    <a:pt x="514350" y="0"/>
                  </a:cubicBezTo>
                </a:path>
              </a:pathLst>
            </a:cu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GB" sz="1100"/>
            </a:p>
          </xdr:txBody>
        </xdr:sp>
        <xdr:sp macro="" textlink="">
          <xdr:nvSpPr>
            <xdr:cNvPr id="75" name="Rectangle 74"/>
            <xdr:cNvSpPr/>
          </xdr:nvSpPr>
          <xdr:spPr>
            <a:xfrm>
              <a:off x="3330278" y="3079980"/>
              <a:ext cx="303138" cy="46141"/>
            </a:xfrm>
            <a:prstGeom prst="rect">
              <a:avLst/>
            </a:prstGeom>
            <a:solidFill>
              <a:schemeClr val="bg1"/>
            </a:solidFill>
            <a:ln w="9525" cap="sq">
              <a:solidFill>
                <a:schemeClr val="tx1"/>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grpSp>
    <xdr:clientData/>
  </xdr:twoCellAnchor>
  <xdr:twoCellAnchor>
    <xdr:from>
      <xdr:col>31</xdr:col>
      <xdr:colOff>32550</xdr:colOff>
      <xdr:row>8</xdr:row>
      <xdr:rowOff>98681</xdr:rowOff>
    </xdr:from>
    <xdr:to>
      <xdr:col>45</xdr:col>
      <xdr:colOff>104842</xdr:colOff>
      <xdr:row>19</xdr:row>
      <xdr:rowOff>89394</xdr:rowOff>
    </xdr:to>
    <xdr:grpSp>
      <xdr:nvGrpSpPr>
        <xdr:cNvPr id="227" name="Group 226"/>
        <xdr:cNvGrpSpPr/>
      </xdr:nvGrpSpPr>
      <xdr:grpSpPr>
        <a:xfrm>
          <a:off x="3969550" y="2041781"/>
          <a:ext cx="1850292" cy="1387713"/>
          <a:chOff x="4062185" y="2057469"/>
          <a:chExt cx="1892128" cy="1420584"/>
        </a:xfrm>
      </xdr:grpSpPr>
      <xdr:grpSp>
        <xdr:nvGrpSpPr>
          <xdr:cNvPr id="142" name="Group 141"/>
          <xdr:cNvGrpSpPr/>
        </xdr:nvGrpSpPr>
        <xdr:grpSpPr>
          <a:xfrm rot="16200000">
            <a:off x="4386711" y="1985138"/>
            <a:ext cx="1305320" cy="1680509"/>
            <a:chOff x="3155955" y="1752601"/>
            <a:chExt cx="1995487" cy="2571751"/>
          </a:xfrm>
        </xdr:grpSpPr>
        <xdr:cxnSp macro="">
          <xdr:nvCxnSpPr>
            <xdr:cNvPr id="161" name="Straight Connector 160"/>
            <xdr:cNvCxnSpPr>
              <a:stCxn id="166" idx="0"/>
              <a:endCxn id="162" idx="0"/>
            </xdr:cNvCxnSpPr>
          </xdr:nvCxnSpPr>
          <xdr:spPr>
            <a:xfrm flipV="1">
              <a:off x="4296574" y="2516983"/>
              <a:ext cx="383381" cy="1"/>
            </a:xfrm>
            <a:prstGeom prst="line">
              <a:avLst/>
            </a:prstGeom>
          </xdr:spPr>
          <xdr:style>
            <a:lnRef idx="1">
              <a:schemeClr val="dk1"/>
            </a:lnRef>
            <a:fillRef idx="0">
              <a:schemeClr val="dk1"/>
            </a:fillRef>
            <a:effectRef idx="0">
              <a:schemeClr val="dk1"/>
            </a:effectRef>
            <a:fontRef idx="minor">
              <a:schemeClr val="tx1"/>
            </a:fontRef>
          </xdr:style>
        </xdr:cxnSp>
        <xdr:sp macro="" textlink="">
          <xdr:nvSpPr>
            <xdr:cNvPr id="162" name="Arc 161"/>
            <xdr:cNvSpPr/>
          </xdr:nvSpPr>
          <xdr:spPr>
            <a:xfrm rot="5400000">
              <a:off x="3153573" y="1754983"/>
              <a:ext cx="1528763" cy="1524000"/>
            </a:xfrm>
            <a:prstGeom prst="arc">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GB" sz="1100"/>
            </a:p>
          </xdr:txBody>
        </xdr:sp>
        <xdr:sp macro="" textlink="">
          <xdr:nvSpPr>
            <xdr:cNvPr id="163" name="Rectangle 162"/>
            <xdr:cNvSpPr/>
          </xdr:nvSpPr>
          <xdr:spPr>
            <a:xfrm>
              <a:off x="4232279" y="2895602"/>
              <a:ext cx="309563" cy="34766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xnSp macro="">
          <xdr:nvCxnSpPr>
            <xdr:cNvPr id="164" name="Straight Connector 163"/>
            <xdr:cNvCxnSpPr/>
          </xdr:nvCxnSpPr>
          <xdr:spPr>
            <a:xfrm>
              <a:off x="3416300" y="3086100"/>
              <a:ext cx="1735142" cy="2"/>
            </a:xfrm>
            <a:prstGeom prst="line">
              <a:avLst/>
            </a:prstGeom>
            <a:ln w="6350">
              <a:prstDash val="lgDashDot"/>
            </a:ln>
          </xdr:spPr>
          <xdr:style>
            <a:lnRef idx="1">
              <a:schemeClr val="dk1"/>
            </a:lnRef>
            <a:fillRef idx="0">
              <a:schemeClr val="dk1"/>
            </a:fillRef>
            <a:effectRef idx="0">
              <a:schemeClr val="dk1"/>
            </a:effectRef>
            <a:fontRef idx="minor">
              <a:schemeClr val="tx1"/>
            </a:fontRef>
          </xdr:style>
        </xdr:cxnSp>
        <xdr:cxnSp macro="">
          <xdr:nvCxnSpPr>
            <xdr:cNvPr id="165" name="Straight Connector 164"/>
            <xdr:cNvCxnSpPr/>
          </xdr:nvCxnSpPr>
          <xdr:spPr>
            <a:xfrm>
              <a:off x="4484692" y="2038352"/>
              <a:ext cx="0" cy="2286000"/>
            </a:xfrm>
            <a:prstGeom prst="line">
              <a:avLst/>
            </a:prstGeom>
            <a:ln w="6350">
              <a:prstDash val="lgDashDot"/>
            </a:ln>
          </xdr:spPr>
          <xdr:style>
            <a:lnRef idx="1">
              <a:schemeClr val="dk1"/>
            </a:lnRef>
            <a:fillRef idx="0">
              <a:schemeClr val="dk1"/>
            </a:fillRef>
            <a:effectRef idx="0">
              <a:schemeClr val="dk1"/>
            </a:effectRef>
            <a:fontRef idx="minor">
              <a:schemeClr val="tx1"/>
            </a:fontRef>
          </xdr:style>
        </xdr:cxnSp>
        <xdr:sp macro="" textlink="">
          <xdr:nvSpPr>
            <xdr:cNvPr id="166" name="Arc 165"/>
            <xdr:cNvSpPr/>
          </xdr:nvSpPr>
          <xdr:spPr>
            <a:xfrm rot="5400000">
              <a:off x="3532192" y="2133602"/>
              <a:ext cx="762000" cy="766763"/>
            </a:xfrm>
            <a:prstGeom prst="arc">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GB" sz="1100"/>
            </a:p>
          </xdr:txBody>
        </xdr:sp>
        <xdr:cxnSp macro="">
          <xdr:nvCxnSpPr>
            <xdr:cNvPr id="167" name="Straight Connector 166"/>
            <xdr:cNvCxnSpPr>
              <a:stCxn id="166" idx="2"/>
              <a:endCxn id="162" idx="2"/>
            </xdr:cNvCxnSpPr>
          </xdr:nvCxnSpPr>
          <xdr:spPr>
            <a:xfrm>
              <a:off x="3913192" y="2897983"/>
              <a:ext cx="4763" cy="383381"/>
            </a:xfrm>
            <a:prstGeom prst="line">
              <a:avLst/>
            </a:prstGeom>
          </xdr:spPr>
          <xdr:style>
            <a:lnRef idx="1">
              <a:schemeClr val="dk1"/>
            </a:lnRef>
            <a:fillRef idx="0">
              <a:schemeClr val="dk1"/>
            </a:fillRef>
            <a:effectRef idx="0">
              <a:schemeClr val="dk1"/>
            </a:effectRef>
            <a:fontRef idx="minor">
              <a:schemeClr val="tx1"/>
            </a:fontRef>
          </xdr:style>
        </xdr:cxnSp>
        <xdr:sp macro="" textlink="">
          <xdr:nvSpPr>
            <xdr:cNvPr id="168" name="Arc 167"/>
            <xdr:cNvSpPr/>
          </xdr:nvSpPr>
          <xdr:spPr>
            <a:xfrm rot="5400000">
              <a:off x="3341692" y="1943102"/>
              <a:ext cx="1147763" cy="1147763"/>
            </a:xfrm>
            <a:prstGeom prst="arc">
              <a:avLst/>
            </a:prstGeom>
            <a:ln w="6350">
              <a:prstDash val="lgDashDot"/>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GB" sz="1100"/>
            </a:p>
          </xdr:txBody>
        </xdr:sp>
        <xdr:cxnSp macro="">
          <xdr:nvCxnSpPr>
            <xdr:cNvPr id="169" name="Straight Connector 168"/>
            <xdr:cNvCxnSpPr>
              <a:stCxn id="166" idx="2"/>
            </xdr:cNvCxnSpPr>
          </xdr:nvCxnSpPr>
          <xdr:spPr>
            <a:xfrm flipH="1">
              <a:off x="3527429" y="2897983"/>
              <a:ext cx="385763" cy="0"/>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170" name="Straight Connector 169"/>
            <xdr:cNvCxnSpPr>
              <a:endCxn id="162" idx="2"/>
            </xdr:cNvCxnSpPr>
          </xdr:nvCxnSpPr>
          <xdr:spPr>
            <a:xfrm>
              <a:off x="3527429" y="3281365"/>
              <a:ext cx="390525" cy="0"/>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171" name="Straight Connector 170"/>
            <xdr:cNvCxnSpPr>
              <a:endCxn id="166" idx="0"/>
            </xdr:cNvCxnSpPr>
          </xdr:nvCxnSpPr>
          <xdr:spPr>
            <a:xfrm>
              <a:off x="4294192" y="2133602"/>
              <a:ext cx="2381" cy="383381"/>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172" name="Straight Connector 171"/>
            <xdr:cNvCxnSpPr>
              <a:endCxn id="162" idx="0"/>
            </xdr:cNvCxnSpPr>
          </xdr:nvCxnSpPr>
          <xdr:spPr>
            <a:xfrm>
              <a:off x="4675192" y="2133602"/>
              <a:ext cx="4763" cy="383381"/>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173" name="Straight Connector 172"/>
            <xdr:cNvCxnSpPr>
              <a:stCxn id="179" idx="0"/>
            </xdr:cNvCxnSpPr>
          </xdr:nvCxnSpPr>
          <xdr:spPr>
            <a:xfrm>
              <a:off x="4232279" y="3219452"/>
              <a:ext cx="4763" cy="628650"/>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174" name="Straight Connector 173"/>
            <xdr:cNvCxnSpPr/>
          </xdr:nvCxnSpPr>
          <xdr:spPr>
            <a:xfrm>
              <a:off x="4537079" y="2947990"/>
              <a:ext cx="4763" cy="900113"/>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175" name="Straight Connector 174"/>
            <xdr:cNvCxnSpPr/>
          </xdr:nvCxnSpPr>
          <xdr:spPr>
            <a:xfrm>
              <a:off x="4389442" y="2990852"/>
              <a:ext cx="0" cy="1333500"/>
            </a:xfrm>
            <a:prstGeom prst="line">
              <a:avLst/>
            </a:prstGeom>
            <a:ln w="6350">
              <a:prstDash val="lgDashDot"/>
            </a:ln>
          </xdr:spPr>
          <xdr:style>
            <a:lnRef idx="1">
              <a:schemeClr val="dk1"/>
            </a:lnRef>
            <a:fillRef idx="0">
              <a:schemeClr val="dk1"/>
            </a:fillRef>
            <a:effectRef idx="0">
              <a:schemeClr val="dk1"/>
            </a:effectRef>
            <a:fontRef idx="minor">
              <a:schemeClr val="tx1"/>
            </a:fontRef>
          </xdr:style>
        </xdr:cxnSp>
        <xdr:cxnSp macro="">
          <xdr:nvCxnSpPr>
            <xdr:cNvPr id="176" name="Straight Connector 175"/>
            <xdr:cNvCxnSpPr/>
          </xdr:nvCxnSpPr>
          <xdr:spPr>
            <a:xfrm>
              <a:off x="4237042" y="3848102"/>
              <a:ext cx="304800" cy="0"/>
            </a:xfrm>
            <a:prstGeom prst="line">
              <a:avLst/>
            </a:prstGeom>
          </xdr:spPr>
          <xdr:style>
            <a:lnRef idx="1">
              <a:schemeClr val="dk1"/>
            </a:lnRef>
            <a:fillRef idx="0">
              <a:schemeClr val="dk1"/>
            </a:fillRef>
            <a:effectRef idx="0">
              <a:schemeClr val="dk1"/>
            </a:effectRef>
            <a:fontRef idx="minor">
              <a:schemeClr val="tx1"/>
            </a:fontRef>
          </xdr:style>
        </xdr:cxnSp>
        <xdr:sp macro="" textlink="">
          <xdr:nvSpPr>
            <xdr:cNvPr id="177" name="Freeform 176"/>
            <xdr:cNvSpPr/>
          </xdr:nvSpPr>
          <xdr:spPr>
            <a:xfrm>
              <a:off x="3502004" y="2895602"/>
              <a:ext cx="54000" cy="381000"/>
            </a:xfrm>
            <a:custGeom>
              <a:avLst/>
              <a:gdLst>
                <a:gd name="connsiteX0" fmla="*/ 120767 w 260477"/>
                <a:gd name="connsiteY0" fmla="*/ 0 h 508000"/>
                <a:gd name="connsiteX1" fmla="*/ 117 w 260477"/>
                <a:gd name="connsiteY1" fmla="*/ 127000 h 508000"/>
                <a:gd name="connsiteX2" fmla="*/ 139817 w 260477"/>
                <a:gd name="connsiteY2" fmla="*/ 254000 h 508000"/>
                <a:gd name="connsiteX3" fmla="*/ 260467 w 260477"/>
                <a:gd name="connsiteY3" fmla="*/ 381000 h 508000"/>
                <a:gd name="connsiteX4" fmla="*/ 133467 w 260477"/>
                <a:gd name="connsiteY4" fmla="*/ 508000 h 508000"/>
                <a:gd name="connsiteX5" fmla="*/ 6467 w 260477"/>
                <a:gd name="connsiteY5" fmla="*/ 381000 h 508000"/>
                <a:gd name="connsiteX6" fmla="*/ 133467 w 260477"/>
                <a:gd name="connsiteY6" fmla="*/ 260350 h 508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60477" h="508000">
                  <a:moveTo>
                    <a:pt x="120767" y="0"/>
                  </a:moveTo>
                  <a:cubicBezTo>
                    <a:pt x="58854" y="42333"/>
                    <a:pt x="-3058" y="84667"/>
                    <a:pt x="117" y="127000"/>
                  </a:cubicBezTo>
                  <a:cubicBezTo>
                    <a:pt x="3292" y="169333"/>
                    <a:pt x="96425" y="211667"/>
                    <a:pt x="139817" y="254000"/>
                  </a:cubicBezTo>
                  <a:cubicBezTo>
                    <a:pt x="183209" y="296333"/>
                    <a:pt x="261525" y="338667"/>
                    <a:pt x="260467" y="381000"/>
                  </a:cubicBezTo>
                  <a:cubicBezTo>
                    <a:pt x="259409" y="423333"/>
                    <a:pt x="175800" y="508000"/>
                    <a:pt x="133467" y="508000"/>
                  </a:cubicBezTo>
                  <a:cubicBezTo>
                    <a:pt x="91134" y="508000"/>
                    <a:pt x="6467" y="422275"/>
                    <a:pt x="6467" y="381000"/>
                  </a:cubicBezTo>
                  <a:cubicBezTo>
                    <a:pt x="6467" y="339725"/>
                    <a:pt x="83725" y="226483"/>
                    <a:pt x="133467" y="260350"/>
                  </a:cubicBezTo>
                </a:path>
              </a:pathLst>
            </a:cu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GB" sz="1100"/>
            </a:p>
          </xdr:txBody>
        </xdr:sp>
        <xdr:sp macro="" textlink="">
          <xdr:nvSpPr>
            <xdr:cNvPr id="178" name="Freeform 177"/>
            <xdr:cNvSpPr/>
          </xdr:nvSpPr>
          <xdr:spPr>
            <a:xfrm rot="5400000">
              <a:off x="4459267" y="1943102"/>
              <a:ext cx="54000" cy="381000"/>
            </a:xfrm>
            <a:custGeom>
              <a:avLst/>
              <a:gdLst>
                <a:gd name="connsiteX0" fmla="*/ 120767 w 260477"/>
                <a:gd name="connsiteY0" fmla="*/ 0 h 508000"/>
                <a:gd name="connsiteX1" fmla="*/ 117 w 260477"/>
                <a:gd name="connsiteY1" fmla="*/ 127000 h 508000"/>
                <a:gd name="connsiteX2" fmla="*/ 139817 w 260477"/>
                <a:gd name="connsiteY2" fmla="*/ 254000 h 508000"/>
                <a:gd name="connsiteX3" fmla="*/ 260467 w 260477"/>
                <a:gd name="connsiteY3" fmla="*/ 381000 h 508000"/>
                <a:gd name="connsiteX4" fmla="*/ 133467 w 260477"/>
                <a:gd name="connsiteY4" fmla="*/ 508000 h 508000"/>
                <a:gd name="connsiteX5" fmla="*/ 6467 w 260477"/>
                <a:gd name="connsiteY5" fmla="*/ 381000 h 508000"/>
                <a:gd name="connsiteX6" fmla="*/ 133467 w 260477"/>
                <a:gd name="connsiteY6" fmla="*/ 260350 h 508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60477" h="508000">
                  <a:moveTo>
                    <a:pt x="120767" y="0"/>
                  </a:moveTo>
                  <a:cubicBezTo>
                    <a:pt x="58854" y="42333"/>
                    <a:pt x="-3058" y="84667"/>
                    <a:pt x="117" y="127000"/>
                  </a:cubicBezTo>
                  <a:cubicBezTo>
                    <a:pt x="3292" y="169333"/>
                    <a:pt x="96425" y="211667"/>
                    <a:pt x="139817" y="254000"/>
                  </a:cubicBezTo>
                  <a:cubicBezTo>
                    <a:pt x="183209" y="296333"/>
                    <a:pt x="261525" y="338667"/>
                    <a:pt x="260467" y="381000"/>
                  </a:cubicBezTo>
                  <a:cubicBezTo>
                    <a:pt x="259409" y="423333"/>
                    <a:pt x="175800" y="508000"/>
                    <a:pt x="133467" y="508000"/>
                  </a:cubicBezTo>
                  <a:cubicBezTo>
                    <a:pt x="91134" y="508000"/>
                    <a:pt x="6467" y="422275"/>
                    <a:pt x="6467" y="381000"/>
                  </a:cubicBezTo>
                  <a:cubicBezTo>
                    <a:pt x="6467" y="339725"/>
                    <a:pt x="83725" y="226483"/>
                    <a:pt x="133467" y="260350"/>
                  </a:cubicBezTo>
                </a:path>
              </a:pathLst>
            </a:cu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GB" sz="1100"/>
            </a:p>
          </xdr:txBody>
        </xdr:sp>
        <xdr:sp macro="" textlink="">
          <xdr:nvSpPr>
            <xdr:cNvPr id="179" name="Freeform 178"/>
            <xdr:cNvSpPr/>
          </xdr:nvSpPr>
          <xdr:spPr>
            <a:xfrm>
              <a:off x="4232279" y="2947990"/>
              <a:ext cx="314325" cy="271463"/>
            </a:xfrm>
            <a:custGeom>
              <a:avLst/>
              <a:gdLst>
                <a:gd name="connsiteX0" fmla="*/ 0 w 514350"/>
                <a:gd name="connsiteY0" fmla="*/ 425450 h 425450"/>
                <a:gd name="connsiteX1" fmla="*/ 234950 w 514350"/>
                <a:gd name="connsiteY1" fmla="*/ 101600 h 425450"/>
                <a:gd name="connsiteX2" fmla="*/ 514350 w 514350"/>
                <a:gd name="connsiteY2" fmla="*/ 0 h 425450"/>
              </a:gdLst>
              <a:ahLst/>
              <a:cxnLst>
                <a:cxn ang="0">
                  <a:pos x="connsiteX0" y="connsiteY0"/>
                </a:cxn>
                <a:cxn ang="0">
                  <a:pos x="connsiteX1" y="connsiteY1"/>
                </a:cxn>
                <a:cxn ang="0">
                  <a:pos x="connsiteX2" y="connsiteY2"/>
                </a:cxn>
              </a:cxnLst>
              <a:rect l="l" t="t" r="r" b="b"/>
              <a:pathLst>
                <a:path w="514350" h="425450">
                  <a:moveTo>
                    <a:pt x="0" y="425450"/>
                  </a:moveTo>
                  <a:cubicBezTo>
                    <a:pt x="74612" y="298979"/>
                    <a:pt x="149225" y="172508"/>
                    <a:pt x="234950" y="101600"/>
                  </a:cubicBezTo>
                  <a:cubicBezTo>
                    <a:pt x="320675" y="30692"/>
                    <a:pt x="446617" y="8467"/>
                    <a:pt x="514350" y="0"/>
                  </a:cubicBezTo>
                </a:path>
              </a:pathLst>
            </a:cu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GB" sz="1100"/>
            </a:p>
          </xdr:txBody>
        </xdr:sp>
      </xdr:grpSp>
      <xdr:grpSp>
        <xdr:nvGrpSpPr>
          <xdr:cNvPr id="226" name="Group 225"/>
          <xdr:cNvGrpSpPr/>
        </xdr:nvGrpSpPr>
        <xdr:grpSpPr>
          <a:xfrm>
            <a:off x="4062185" y="2057469"/>
            <a:ext cx="1892128" cy="1075696"/>
            <a:chOff x="4062185" y="2057469"/>
            <a:chExt cx="1892128" cy="1075696"/>
          </a:xfrm>
        </xdr:grpSpPr>
        <xdr:cxnSp macro="">
          <xdr:nvCxnSpPr>
            <xdr:cNvPr id="144" name="Straight Connector 143"/>
            <xdr:cNvCxnSpPr/>
          </xdr:nvCxnSpPr>
          <xdr:spPr>
            <a:xfrm rot="16200000">
              <a:off x="5276008" y="2366924"/>
              <a:ext cx="369685" cy="0"/>
            </a:xfrm>
            <a:prstGeom prst="line">
              <a:avLst/>
            </a:prstGeom>
            <a:ln w="6350"/>
          </xdr:spPr>
          <xdr:style>
            <a:lnRef idx="1">
              <a:schemeClr val="dk1"/>
            </a:lnRef>
            <a:fillRef idx="0">
              <a:schemeClr val="dk1"/>
            </a:fillRef>
            <a:effectRef idx="0">
              <a:schemeClr val="dk1"/>
            </a:effectRef>
            <a:fontRef idx="minor">
              <a:schemeClr val="tx1"/>
            </a:fontRef>
          </xdr:style>
        </xdr:cxnSp>
        <xdr:cxnSp macro="">
          <xdr:nvCxnSpPr>
            <xdr:cNvPr id="145" name="Straight Arrow Connector 144"/>
            <xdr:cNvCxnSpPr/>
          </xdr:nvCxnSpPr>
          <xdr:spPr>
            <a:xfrm flipH="1">
              <a:off x="5074640" y="2218765"/>
              <a:ext cx="387107" cy="701"/>
            </a:xfrm>
            <a:prstGeom prst="straightConnector1">
              <a:avLst/>
            </a:prstGeom>
            <a:ln>
              <a:headEnd type="stealth" w="sm" len="med"/>
              <a:tailEnd type="stealth" w="sm" len="med"/>
            </a:ln>
          </xdr:spPr>
          <xdr:style>
            <a:lnRef idx="1">
              <a:schemeClr val="dk1"/>
            </a:lnRef>
            <a:fillRef idx="0">
              <a:schemeClr val="dk1"/>
            </a:fillRef>
            <a:effectRef idx="0">
              <a:schemeClr val="dk1"/>
            </a:effectRef>
            <a:fontRef idx="minor">
              <a:schemeClr val="tx1"/>
            </a:fontRef>
          </xdr:style>
        </xdr:cxnSp>
        <xdr:sp macro="" textlink="">
          <xdr:nvSpPr>
            <xdr:cNvPr id="149" name="TextBox 148"/>
            <xdr:cNvSpPr txBox="1"/>
          </xdr:nvSpPr>
          <xdr:spPr>
            <a:xfrm rot="16200000">
              <a:off x="5200470" y="1953436"/>
              <a:ext cx="137074" cy="345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 wrap="square" rtlCol="0" anchor="ctr" anchorCtr="1"/>
            <a:lstStyle/>
            <a:p>
              <a:r>
                <a:rPr lang="en-GB" sz="1100"/>
                <a:t>L</a:t>
              </a:r>
            </a:p>
          </xdr:txBody>
        </xdr:sp>
        <xdr:cxnSp macro="">
          <xdr:nvCxnSpPr>
            <xdr:cNvPr id="146" name="Straight Connector 145"/>
            <xdr:cNvCxnSpPr/>
          </xdr:nvCxnSpPr>
          <xdr:spPr>
            <a:xfrm flipH="1">
              <a:off x="4203265" y="2481153"/>
              <a:ext cx="224068" cy="0"/>
            </a:xfrm>
            <a:prstGeom prst="line">
              <a:avLst/>
            </a:prstGeom>
            <a:ln w="6350"/>
          </xdr:spPr>
          <xdr:style>
            <a:lnRef idx="1">
              <a:schemeClr val="dk1"/>
            </a:lnRef>
            <a:fillRef idx="0">
              <a:schemeClr val="dk1"/>
            </a:fillRef>
            <a:effectRef idx="0">
              <a:schemeClr val="dk1"/>
            </a:effectRef>
            <a:fontRef idx="minor">
              <a:schemeClr val="tx1"/>
            </a:fontRef>
          </xdr:style>
        </xdr:cxnSp>
        <xdr:cxnSp macro="">
          <xdr:nvCxnSpPr>
            <xdr:cNvPr id="147" name="Straight Connector 146"/>
            <xdr:cNvCxnSpPr/>
          </xdr:nvCxnSpPr>
          <xdr:spPr>
            <a:xfrm flipH="1">
              <a:off x="4199115" y="2734533"/>
              <a:ext cx="228217" cy="0"/>
            </a:xfrm>
            <a:prstGeom prst="line">
              <a:avLst/>
            </a:prstGeom>
            <a:ln w="6350"/>
          </xdr:spPr>
          <xdr:style>
            <a:lnRef idx="1">
              <a:schemeClr val="dk1"/>
            </a:lnRef>
            <a:fillRef idx="0">
              <a:schemeClr val="dk1"/>
            </a:fillRef>
            <a:effectRef idx="0">
              <a:schemeClr val="dk1"/>
            </a:effectRef>
            <a:fontRef idx="minor">
              <a:schemeClr val="tx1"/>
            </a:fontRef>
          </xdr:style>
        </xdr:cxnSp>
        <xdr:cxnSp macro="">
          <xdr:nvCxnSpPr>
            <xdr:cNvPr id="148" name="Straight Arrow Connector 147"/>
            <xdr:cNvCxnSpPr/>
          </xdr:nvCxnSpPr>
          <xdr:spPr>
            <a:xfrm>
              <a:off x="4228161" y="2481153"/>
              <a:ext cx="4149" cy="253380"/>
            </a:xfrm>
            <a:prstGeom prst="straightConnector1">
              <a:avLst/>
            </a:prstGeom>
            <a:ln>
              <a:headEnd type="stealth" w="sm" len="med"/>
              <a:tailEnd type="stealth" w="sm" len="med"/>
            </a:ln>
          </xdr:spPr>
          <xdr:style>
            <a:lnRef idx="1">
              <a:schemeClr val="dk1"/>
            </a:lnRef>
            <a:fillRef idx="0">
              <a:schemeClr val="dk1"/>
            </a:fillRef>
            <a:effectRef idx="0">
              <a:schemeClr val="dk1"/>
            </a:effectRef>
            <a:fontRef idx="minor">
              <a:schemeClr val="tx1"/>
            </a:fontRef>
          </xdr:style>
        </xdr:cxnSp>
        <xdr:sp macro="" textlink="">
          <xdr:nvSpPr>
            <xdr:cNvPr id="150" name="TextBox 149"/>
            <xdr:cNvSpPr txBox="1"/>
          </xdr:nvSpPr>
          <xdr:spPr>
            <a:xfrm>
              <a:off x="4062185" y="2443769"/>
              <a:ext cx="136930" cy="332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1"/>
            <a:lstStyle/>
            <a:p>
              <a:r>
                <a:rPr lang="en-GB" sz="1100"/>
                <a:t>D</a:t>
              </a:r>
            </a:p>
          </xdr:txBody>
        </xdr:sp>
        <xdr:cxnSp macro="">
          <xdr:nvCxnSpPr>
            <xdr:cNvPr id="151" name="Straight Connector 150"/>
            <xdr:cNvCxnSpPr/>
          </xdr:nvCxnSpPr>
          <xdr:spPr>
            <a:xfrm rot="16200000">
              <a:off x="5674228" y="2686854"/>
              <a:ext cx="0" cy="170126"/>
            </a:xfrm>
            <a:prstGeom prst="line">
              <a:avLst/>
            </a:prstGeom>
            <a:ln w="6350"/>
          </xdr:spPr>
          <xdr:style>
            <a:lnRef idx="1">
              <a:schemeClr val="dk1"/>
            </a:lnRef>
            <a:fillRef idx="0">
              <a:schemeClr val="dk1"/>
            </a:fillRef>
            <a:effectRef idx="0">
              <a:schemeClr val="dk1"/>
            </a:effectRef>
            <a:fontRef idx="minor">
              <a:schemeClr val="tx1"/>
            </a:fontRef>
          </xdr:style>
        </xdr:cxnSp>
        <xdr:cxnSp macro="">
          <xdr:nvCxnSpPr>
            <xdr:cNvPr id="152" name="Straight Connector 151"/>
            <xdr:cNvCxnSpPr/>
          </xdr:nvCxnSpPr>
          <xdr:spPr>
            <a:xfrm rot="16200000">
              <a:off x="5672154" y="2485398"/>
              <a:ext cx="0" cy="174275"/>
            </a:xfrm>
            <a:prstGeom prst="line">
              <a:avLst/>
            </a:prstGeom>
            <a:ln w="6350"/>
          </xdr:spPr>
          <xdr:style>
            <a:lnRef idx="1">
              <a:schemeClr val="dk1"/>
            </a:lnRef>
            <a:fillRef idx="0">
              <a:schemeClr val="dk1"/>
            </a:fillRef>
            <a:effectRef idx="0">
              <a:schemeClr val="dk1"/>
            </a:effectRef>
            <a:fontRef idx="minor">
              <a:schemeClr val="tx1"/>
            </a:fontRef>
          </xdr:style>
        </xdr:cxnSp>
        <xdr:cxnSp macro="">
          <xdr:nvCxnSpPr>
            <xdr:cNvPr id="153" name="Straight Arrow Connector 152"/>
            <xdr:cNvCxnSpPr/>
          </xdr:nvCxnSpPr>
          <xdr:spPr>
            <a:xfrm rot="16200000">
              <a:off x="5636779" y="2670152"/>
              <a:ext cx="199381" cy="4149"/>
            </a:xfrm>
            <a:prstGeom prst="straightConnector1">
              <a:avLst/>
            </a:prstGeom>
            <a:ln>
              <a:headEnd type="stealth" w="sm" len="med"/>
              <a:tailEnd type="stealth" w="sm" len="med"/>
            </a:ln>
          </xdr:spPr>
          <xdr:style>
            <a:lnRef idx="1">
              <a:schemeClr val="dk1"/>
            </a:lnRef>
            <a:fillRef idx="0">
              <a:schemeClr val="dk1"/>
            </a:fillRef>
            <a:effectRef idx="0">
              <a:schemeClr val="dk1"/>
            </a:effectRef>
            <a:fontRef idx="minor">
              <a:schemeClr val="tx1"/>
            </a:fontRef>
          </xdr:style>
        </xdr:cxnSp>
        <xdr:cxnSp macro="">
          <xdr:nvCxnSpPr>
            <xdr:cNvPr id="154" name="Straight Connector 153"/>
            <xdr:cNvCxnSpPr/>
          </xdr:nvCxnSpPr>
          <xdr:spPr>
            <a:xfrm rot="16200000" flipH="1">
              <a:off x="5609782" y="2892376"/>
              <a:ext cx="249226" cy="0"/>
            </a:xfrm>
            <a:prstGeom prst="line">
              <a:avLst/>
            </a:prstGeom>
          </xdr:spPr>
          <xdr:style>
            <a:lnRef idx="1">
              <a:schemeClr val="dk1"/>
            </a:lnRef>
            <a:fillRef idx="0">
              <a:schemeClr val="dk1"/>
            </a:fillRef>
            <a:effectRef idx="0">
              <a:schemeClr val="dk1"/>
            </a:effectRef>
            <a:fontRef idx="minor">
              <a:schemeClr val="tx1"/>
            </a:fontRef>
          </xdr:style>
        </xdr:cxnSp>
        <xdr:sp macro="" textlink="">
          <xdr:nvSpPr>
            <xdr:cNvPr id="155" name="TextBox 154"/>
            <xdr:cNvSpPr txBox="1"/>
          </xdr:nvSpPr>
          <xdr:spPr>
            <a:xfrm>
              <a:off x="5578792" y="2782301"/>
              <a:ext cx="136930" cy="247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1"/>
            <a:lstStyle/>
            <a:p>
              <a:r>
                <a:rPr lang="en-GB" sz="1100"/>
                <a:t>d</a:t>
              </a:r>
            </a:p>
          </xdr:txBody>
        </xdr:sp>
        <xdr:cxnSp macro="">
          <xdr:nvCxnSpPr>
            <xdr:cNvPr id="156" name="Straight Arrow Connector 155"/>
            <xdr:cNvCxnSpPr/>
          </xdr:nvCxnSpPr>
          <xdr:spPr>
            <a:xfrm rot="16200000">
              <a:off x="5661616" y="2454154"/>
              <a:ext cx="311532" cy="0"/>
            </a:xfrm>
            <a:prstGeom prst="straightConnector1">
              <a:avLst/>
            </a:prstGeom>
            <a:ln>
              <a:headEnd type="stealth" w="sm" len="med"/>
              <a:tailEnd type="none" w="sm" len="lg"/>
            </a:ln>
          </xdr:spPr>
          <xdr:style>
            <a:lnRef idx="1">
              <a:schemeClr val="dk1"/>
            </a:lnRef>
            <a:fillRef idx="0">
              <a:schemeClr val="dk1"/>
            </a:fillRef>
            <a:effectRef idx="0">
              <a:schemeClr val="dk1"/>
            </a:effectRef>
            <a:fontRef idx="minor">
              <a:schemeClr val="tx1"/>
            </a:fontRef>
          </xdr:style>
        </xdr:cxnSp>
        <xdr:cxnSp macro="">
          <xdr:nvCxnSpPr>
            <xdr:cNvPr id="157" name="Straight Arrow Connector 156"/>
            <xdr:cNvCxnSpPr/>
          </xdr:nvCxnSpPr>
          <xdr:spPr>
            <a:xfrm rot="16200000">
              <a:off x="5750922" y="2734533"/>
              <a:ext cx="132920" cy="0"/>
            </a:xfrm>
            <a:prstGeom prst="straightConnector1">
              <a:avLst/>
            </a:prstGeom>
            <a:ln>
              <a:tailEnd type="stealth" w="sm" len="med"/>
            </a:ln>
          </xdr:spPr>
          <xdr:style>
            <a:lnRef idx="1">
              <a:schemeClr val="dk1"/>
            </a:lnRef>
            <a:fillRef idx="0">
              <a:schemeClr val="dk1"/>
            </a:fillRef>
            <a:effectRef idx="0">
              <a:schemeClr val="dk1"/>
            </a:effectRef>
            <a:fontRef idx="minor">
              <a:schemeClr val="tx1"/>
            </a:fontRef>
          </xdr:style>
        </xdr:cxnSp>
        <xdr:sp macro="" textlink="">
          <xdr:nvSpPr>
            <xdr:cNvPr id="158" name="TextBox 157"/>
            <xdr:cNvSpPr txBox="1"/>
          </xdr:nvSpPr>
          <xdr:spPr>
            <a:xfrm>
              <a:off x="5651407" y="2304617"/>
              <a:ext cx="136930" cy="247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1"/>
            <a:lstStyle/>
            <a:p>
              <a:r>
                <a:rPr lang="en-GB" sz="1100"/>
                <a:t>O</a:t>
              </a:r>
            </a:p>
          </xdr:txBody>
        </xdr:sp>
        <xdr:sp macro="" textlink="">
          <xdr:nvSpPr>
            <xdr:cNvPr id="159" name="TextBox 158"/>
            <xdr:cNvSpPr txBox="1"/>
          </xdr:nvSpPr>
          <xdr:spPr>
            <a:xfrm>
              <a:off x="5817383" y="2304617"/>
              <a:ext cx="136930" cy="247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1"/>
            <a:lstStyle/>
            <a:p>
              <a:r>
                <a:rPr lang="en-GB" sz="800"/>
                <a:t>+ve</a:t>
              </a:r>
            </a:p>
          </xdr:txBody>
        </xdr:sp>
        <xdr:cxnSp macro="">
          <xdr:nvCxnSpPr>
            <xdr:cNvPr id="160" name="Straight Arrow Connector 159"/>
            <xdr:cNvCxnSpPr/>
          </xdr:nvCxnSpPr>
          <xdr:spPr>
            <a:xfrm rot="16200000">
              <a:off x="5806872" y="2425077"/>
              <a:ext cx="261687" cy="0"/>
            </a:xfrm>
            <a:prstGeom prst="straightConnector1">
              <a:avLst/>
            </a:prstGeom>
            <a:ln>
              <a:tailEnd type="stealth" w="sm" len="med"/>
            </a:ln>
          </xdr:spPr>
          <xdr:style>
            <a:lnRef idx="1">
              <a:schemeClr val="dk1"/>
            </a:lnRef>
            <a:fillRef idx="0">
              <a:schemeClr val="dk1"/>
            </a:fillRef>
            <a:effectRef idx="0">
              <a:schemeClr val="dk1"/>
            </a:effectRef>
            <a:fontRef idx="minor">
              <a:schemeClr val="tx1"/>
            </a:fontRef>
          </xdr:style>
        </xdr:cxnSp>
        <xdr:cxnSp macro="">
          <xdr:nvCxnSpPr>
            <xdr:cNvPr id="83" name="Straight Arrow Connector 82"/>
            <xdr:cNvCxnSpPr/>
          </xdr:nvCxnSpPr>
          <xdr:spPr>
            <a:xfrm>
              <a:off x="5459506" y="2772335"/>
              <a:ext cx="2241" cy="360830"/>
            </a:xfrm>
            <a:prstGeom prst="straightConnector1">
              <a:avLst/>
            </a:prstGeom>
            <a:ln>
              <a:headEnd type="triangle" w="med" len="lg"/>
              <a:tailEnd type="none"/>
            </a:ln>
          </xdr:spPr>
          <xdr:style>
            <a:lnRef idx="1">
              <a:schemeClr val="dk1"/>
            </a:lnRef>
            <a:fillRef idx="0">
              <a:schemeClr val="dk1"/>
            </a:fillRef>
            <a:effectRef idx="0">
              <a:schemeClr val="dk1"/>
            </a:effectRef>
            <a:fontRef idx="minor">
              <a:schemeClr val="tx1"/>
            </a:fontRef>
          </xdr:style>
        </xdr:cxnSp>
        <xdr:sp macro="" textlink="">
          <xdr:nvSpPr>
            <xdr:cNvPr id="224" name="TextBox 223"/>
            <xdr:cNvSpPr txBox="1"/>
          </xdr:nvSpPr>
          <xdr:spPr>
            <a:xfrm rot="16200000">
              <a:off x="5313650" y="2981013"/>
              <a:ext cx="137074" cy="163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 wrap="square" rtlCol="0" anchor="ctr" anchorCtr="1"/>
            <a:lstStyle/>
            <a:p>
              <a:r>
                <a:rPr lang="en-GB" sz="1100"/>
                <a:t>F</a:t>
              </a:r>
            </a:p>
          </xdr:txBody>
        </xdr:sp>
      </xdr:grpSp>
    </xdr:grpSp>
    <xdr:clientData/>
  </xdr:twoCellAnchor>
  <xdr:twoCellAnchor>
    <xdr:from>
      <xdr:col>19</xdr:col>
      <xdr:colOff>107382</xdr:colOff>
      <xdr:row>25</xdr:row>
      <xdr:rowOff>93796</xdr:rowOff>
    </xdr:from>
    <xdr:to>
      <xdr:col>32</xdr:col>
      <xdr:colOff>1157</xdr:colOff>
      <xdr:row>32</xdr:row>
      <xdr:rowOff>39237</xdr:rowOff>
    </xdr:to>
    <xdr:grpSp>
      <xdr:nvGrpSpPr>
        <xdr:cNvPr id="233" name="Group 232"/>
        <xdr:cNvGrpSpPr/>
      </xdr:nvGrpSpPr>
      <xdr:grpSpPr>
        <a:xfrm>
          <a:off x="2520382" y="4195896"/>
          <a:ext cx="1544775" cy="834441"/>
          <a:chOff x="2600815" y="3910146"/>
          <a:chExt cx="1595575" cy="864074"/>
        </a:xfrm>
      </xdr:grpSpPr>
      <xdr:grpSp>
        <xdr:nvGrpSpPr>
          <xdr:cNvPr id="72" name="Group 71"/>
          <xdr:cNvGrpSpPr/>
        </xdr:nvGrpSpPr>
        <xdr:grpSpPr>
          <a:xfrm>
            <a:off x="2600815" y="3910146"/>
            <a:ext cx="1466375" cy="864074"/>
            <a:chOff x="12087711" y="2788309"/>
            <a:chExt cx="2064459" cy="1216502"/>
          </a:xfrm>
        </xdr:grpSpPr>
        <xdr:cxnSp macro="">
          <xdr:nvCxnSpPr>
            <xdr:cNvPr id="89" name="Straight Connector 88"/>
            <xdr:cNvCxnSpPr/>
          </xdr:nvCxnSpPr>
          <xdr:spPr>
            <a:xfrm>
              <a:off x="13625703" y="3733165"/>
              <a:ext cx="526467" cy="0"/>
            </a:xfrm>
            <a:prstGeom prst="line">
              <a:avLst/>
            </a:prstGeom>
            <a:ln w="6350"/>
          </xdr:spPr>
          <xdr:style>
            <a:lnRef idx="1">
              <a:schemeClr val="dk1"/>
            </a:lnRef>
            <a:fillRef idx="0">
              <a:schemeClr val="dk1"/>
            </a:fillRef>
            <a:effectRef idx="0">
              <a:schemeClr val="dk1"/>
            </a:effectRef>
            <a:fontRef idx="minor">
              <a:schemeClr val="tx1"/>
            </a:fontRef>
          </xdr:style>
        </xdr:cxnSp>
        <xdr:cxnSp macro="">
          <xdr:nvCxnSpPr>
            <xdr:cNvPr id="90" name="Straight Arrow Connector 89"/>
            <xdr:cNvCxnSpPr/>
          </xdr:nvCxnSpPr>
          <xdr:spPr>
            <a:xfrm flipH="1" flipV="1">
              <a:off x="14098538" y="3199991"/>
              <a:ext cx="394" cy="533173"/>
            </a:xfrm>
            <a:prstGeom prst="straightConnector1">
              <a:avLst/>
            </a:prstGeom>
            <a:ln>
              <a:headEnd type="stealth" w="sm" len="med"/>
              <a:tailEnd type="stealth" w="sm" len="med"/>
            </a:ln>
          </xdr:spPr>
          <xdr:style>
            <a:lnRef idx="1">
              <a:schemeClr val="dk1"/>
            </a:lnRef>
            <a:fillRef idx="0">
              <a:schemeClr val="dk1"/>
            </a:fillRef>
            <a:effectRef idx="0">
              <a:schemeClr val="dk1"/>
            </a:effectRef>
            <a:fontRef idx="minor">
              <a:schemeClr val="tx1"/>
            </a:fontRef>
          </xdr:style>
        </xdr:cxnSp>
        <xdr:cxnSp macro="">
          <xdr:nvCxnSpPr>
            <xdr:cNvPr id="91" name="Straight Connector 90"/>
            <xdr:cNvCxnSpPr/>
          </xdr:nvCxnSpPr>
          <xdr:spPr>
            <a:xfrm flipH="1">
              <a:off x="12288833" y="2841457"/>
              <a:ext cx="319429" cy="0"/>
            </a:xfrm>
            <a:prstGeom prst="line">
              <a:avLst/>
            </a:prstGeom>
            <a:ln w="6350"/>
          </xdr:spPr>
          <xdr:style>
            <a:lnRef idx="1">
              <a:schemeClr val="dk1"/>
            </a:lnRef>
            <a:fillRef idx="0">
              <a:schemeClr val="dk1"/>
            </a:fillRef>
            <a:effectRef idx="0">
              <a:schemeClr val="dk1"/>
            </a:effectRef>
            <a:fontRef idx="minor">
              <a:schemeClr val="tx1"/>
            </a:fontRef>
          </xdr:style>
        </xdr:cxnSp>
        <xdr:cxnSp macro="">
          <xdr:nvCxnSpPr>
            <xdr:cNvPr id="92" name="Straight Connector 91"/>
            <xdr:cNvCxnSpPr/>
          </xdr:nvCxnSpPr>
          <xdr:spPr>
            <a:xfrm flipH="1">
              <a:off x="12282918" y="3201683"/>
              <a:ext cx="325345" cy="0"/>
            </a:xfrm>
            <a:prstGeom prst="line">
              <a:avLst/>
            </a:prstGeom>
            <a:ln w="6350"/>
          </xdr:spPr>
          <xdr:style>
            <a:lnRef idx="1">
              <a:schemeClr val="dk1"/>
            </a:lnRef>
            <a:fillRef idx="0">
              <a:schemeClr val="dk1"/>
            </a:fillRef>
            <a:effectRef idx="0">
              <a:schemeClr val="dk1"/>
            </a:effectRef>
            <a:fontRef idx="minor">
              <a:schemeClr val="tx1"/>
            </a:fontRef>
          </xdr:style>
        </xdr:cxnSp>
        <xdr:cxnSp macro="">
          <xdr:nvCxnSpPr>
            <xdr:cNvPr id="93" name="Straight Arrow Connector 92"/>
            <xdr:cNvCxnSpPr/>
          </xdr:nvCxnSpPr>
          <xdr:spPr>
            <a:xfrm>
              <a:off x="12324325" y="2841457"/>
              <a:ext cx="5915" cy="360226"/>
            </a:xfrm>
            <a:prstGeom prst="straightConnector1">
              <a:avLst/>
            </a:prstGeom>
            <a:ln>
              <a:headEnd type="stealth" w="sm" len="med"/>
              <a:tailEnd type="stealth" w="sm" len="med"/>
            </a:ln>
          </xdr:spPr>
          <xdr:style>
            <a:lnRef idx="1">
              <a:schemeClr val="dk1"/>
            </a:lnRef>
            <a:fillRef idx="0">
              <a:schemeClr val="dk1"/>
            </a:fillRef>
            <a:effectRef idx="0">
              <a:schemeClr val="dk1"/>
            </a:effectRef>
            <a:fontRef idx="minor">
              <a:schemeClr val="tx1"/>
            </a:fontRef>
          </xdr:style>
        </xdr:cxnSp>
        <xdr:sp macro="" textlink="">
          <xdr:nvSpPr>
            <xdr:cNvPr id="94" name="TextBox 93"/>
            <xdr:cNvSpPr txBox="1"/>
          </xdr:nvSpPr>
          <xdr:spPr>
            <a:xfrm>
              <a:off x="13862318" y="3293124"/>
              <a:ext cx="195207" cy="321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1"/>
            <a:lstStyle/>
            <a:p>
              <a:r>
                <a:rPr lang="en-GB" sz="1100"/>
                <a:t>L</a:t>
              </a:r>
            </a:p>
          </xdr:txBody>
        </xdr:sp>
        <xdr:sp macro="" textlink="">
          <xdr:nvSpPr>
            <xdr:cNvPr id="95" name="TextBox 94"/>
            <xdr:cNvSpPr txBox="1"/>
          </xdr:nvSpPr>
          <xdr:spPr>
            <a:xfrm>
              <a:off x="12087711" y="2788309"/>
              <a:ext cx="195207" cy="472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1"/>
            <a:lstStyle/>
            <a:p>
              <a:r>
                <a:rPr lang="en-GB" sz="1100"/>
                <a:t>D</a:t>
              </a:r>
            </a:p>
          </xdr:txBody>
        </xdr:sp>
        <xdr:cxnSp macro="">
          <xdr:nvCxnSpPr>
            <xdr:cNvPr id="96" name="Straight Connector 95"/>
            <xdr:cNvCxnSpPr/>
          </xdr:nvCxnSpPr>
          <xdr:spPr>
            <a:xfrm>
              <a:off x="13278326" y="3762692"/>
              <a:ext cx="0" cy="242119"/>
            </a:xfrm>
            <a:prstGeom prst="line">
              <a:avLst/>
            </a:prstGeom>
            <a:ln w="6350"/>
          </xdr:spPr>
          <xdr:style>
            <a:lnRef idx="1">
              <a:schemeClr val="dk1"/>
            </a:lnRef>
            <a:fillRef idx="0">
              <a:schemeClr val="dk1"/>
            </a:fillRef>
            <a:effectRef idx="0">
              <a:schemeClr val="dk1"/>
            </a:effectRef>
            <a:fontRef idx="minor">
              <a:schemeClr val="tx1"/>
            </a:fontRef>
          </xdr:style>
        </xdr:cxnSp>
        <xdr:cxnSp macro="">
          <xdr:nvCxnSpPr>
            <xdr:cNvPr id="97" name="Straight Connector 96"/>
            <xdr:cNvCxnSpPr/>
          </xdr:nvCxnSpPr>
          <xdr:spPr>
            <a:xfrm>
              <a:off x="13562263" y="3756786"/>
              <a:ext cx="0" cy="248024"/>
            </a:xfrm>
            <a:prstGeom prst="line">
              <a:avLst/>
            </a:prstGeom>
            <a:ln w="6350"/>
          </xdr:spPr>
          <xdr:style>
            <a:lnRef idx="1">
              <a:schemeClr val="dk1"/>
            </a:lnRef>
            <a:fillRef idx="0">
              <a:schemeClr val="dk1"/>
            </a:fillRef>
            <a:effectRef idx="0">
              <a:schemeClr val="dk1"/>
            </a:effectRef>
            <a:fontRef idx="minor">
              <a:schemeClr val="tx1"/>
            </a:fontRef>
          </xdr:style>
        </xdr:cxnSp>
        <xdr:cxnSp macro="">
          <xdr:nvCxnSpPr>
            <xdr:cNvPr id="98" name="Straight Arrow Connector 97"/>
            <xdr:cNvCxnSpPr/>
          </xdr:nvCxnSpPr>
          <xdr:spPr>
            <a:xfrm>
              <a:off x="13278326" y="3969379"/>
              <a:ext cx="283937" cy="5905"/>
            </a:xfrm>
            <a:prstGeom prst="straightConnector1">
              <a:avLst/>
            </a:prstGeom>
            <a:ln>
              <a:headEnd type="stealth" w="sm" len="med"/>
              <a:tailEnd type="stealth" w="sm" len="med"/>
            </a:ln>
          </xdr:spPr>
          <xdr:style>
            <a:lnRef idx="1">
              <a:schemeClr val="dk1"/>
            </a:lnRef>
            <a:fillRef idx="0">
              <a:schemeClr val="dk1"/>
            </a:fillRef>
            <a:effectRef idx="0">
              <a:schemeClr val="dk1"/>
            </a:effectRef>
            <a:fontRef idx="minor">
              <a:schemeClr val="tx1"/>
            </a:fontRef>
          </xdr:style>
        </xdr:cxnSp>
        <xdr:cxnSp macro="">
          <xdr:nvCxnSpPr>
            <xdr:cNvPr id="99" name="Straight Connector 98"/>
            <xdr:cNvCxnSpPr/>
          </xdr:nvCxnSpPr>
          <xdr:spPr>
            <a:xfrm flipH="1">
              <a:off x="12929320" y="3969379"/>
              <a:ext cx="354921" cy="0"/>
            </a:xfrm>
            <a:prstGeom prst="line">
              <a:avLst/>
            </a:prstGeom>
          </xdr:spPr>
          <xdr:style>
            <a:lnRef idx="1">
              <a:schemeClr val="dk1"/>
            </a:lnRef>
            <a:fillRef idx="0">
              <a:schemeClr val="dk1"/>
            </a:fillRef>
            <a:effectRef idx="0">
              <a:schemeClr val="dk1"/>
            </a:effectRef>
            <a:fontRef idx="minor">
              <a:schemeClr val="tx1"/>
            </a:fontRef>
          </xdr:style>
        </xdr:cxnSp>
        <xdr:sp macro="" textlink="">
          <xdr:nvSpPr>
            <xdr:cNvPr id="100" name="TextBox 99"/>
            <xdr:cNvSpPr txBox="1"/>
          </xdr:nvSpPr>
          <xdr:spPr>
            <a:xfrm rot="5400000">
              <a:off x="12990117" y="3669384"/>
              <a:ext cx="194876" cy="351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1"/>
            <a:lstStyle/>
            <a:p>
              <a:r>
                <a:rPr lang="en-GB" sz="1100"/>
                <a:t>d</a:t>
              </a:r>
            </a:p>
          </xdr:txBody>
        </xdr:sp>
        <xdr:cxnSp macro="">
          <xdr:nvCxnSpPr>
            <xdr:cNvPr id="66" name="Straight Connector 65"/>
            <xdr:cNvCxnSpPr/>
          </xdr:nvCxnSpPr>
          <xdr:spPr>
            <a:xfrm>
              <a:off x="13152967" y="3246967"/>
              <a:ext cx="0" cy="198966"/>
            </a:xfrm>
            <a:prstGeom prst="line">
              <a:avLst/>
            </a:prstGeom>
            <a:ln w="6350"/>
          </xdr:spPr>
          <xdr:style>
            <a:lnRef idx="1">
              <a:schemeClr val="dk1"/>
            </a:lnRef>
            <a:fillRef idx="0">
              <a:schemeClr val="dk1"/>
            </a:fillRef>
            <a:effectRef idx="0">
              <a:schemeClr val="dk1"/>
            </a:effectRef>
            <a:fontRef idx="minor">
              <a:schemeClr val="tx1"/>
            </a:fontRef>
          </xdr:style>
        </xdr:cxnSp>
        <xdr:cxnSp macro="">
          <xdr:nvCxnSpPr>
            <xdr:cNvPr id="68" name="Straight Arrow Connector 67"/>
            <xdr:cNvCxnSpPr/>
          </xdr:nvCxnSpPr>
          <xdr:spPr>
            <a:xfrm flipH="1">
              <a:off x="13152967" y="3412067"/>
              <a:ext cx="118533" cy="0"/>
            </a:xfrm>
            <a:prstGeom prst="straightConnector1">
              <a:avLst/>
            </a:prstGeom>
            <a:ln>
              <a:headEnd type="oval" w="sm" len="sm"/>
              <a:tailEnd type="none"/>
            </a:ln>
          </xdr:spPr>
          <xdr:style>
            <a:lnRef idx="1">
              <a:schemeClr val="dk1"/>
            </a:lnRef>
            <a:fillRef idx="0">
              <a:schemeClr val="dk1"/>
            </a:fillRef>
            <a:effectRef idx="0">
              <a:schemeClr val="dk1"/>
            </a:effectRef>
            <a:fontRef idx="minor">
              <a:schemeClr val="tx1"/>
            </a:fontRef>
          </xdr:style>
        </xdr:cxnSp>
        <xdr:cxnSp macro="">
          <xdr:nvCxnSpPr>
            <xdr:cNvPr id="70" name="Straight Arrow Connector 69"/>
            <xdr:cNvCxnSpPr/>
          </xdr:nvCxnSpPr>
          <xdr:spPr>
            <a:xfrm>
              <a:off x="12759267" y="3412067"/>
              <a:ext cx="393700" cy="0"/>
            </a:xfrm>
            <a:prstGeom prst="straightConnector1">
              <a:avLst/>
            </a:prstGeom>
            <a:ln>
              <a:headEnd type="none" w="sm" len="med"/>
              <a:tailEnd type="stealth" w="sm" len="med"/>
            </a:ln>
          </xdr:spPr>
          <xdr:style>
            <a:lnRef idx="1">
              <a:schemeClr val="dk1"/>
            </a:lnRef>
            <a:fillRef idx="0">
              <a:schemeClr val="dk1"/>
            </a:fillRef>
            <a:effectRef idx="0">
              <a:schemeClr val="dk1"/>
            </a:effectRef>
            <a:fontRef idx="minor">
              <a:schemeClr val="tx1"/>
            </a:fontRef>
          </xdr:style>
        </xdr:cxnSp>
        <xdr:sp macro="" textlink="">
          <xdr:nvSpPr>
            <xdr:cNvPr id="187" name="TextBox 186"/>
            <xdr:cNvSpPr txBox="1"/>
          </xdr:nvSpPr>
          <xdr:spPr>
            <a:xfrm rot="5400000">
              <a:off x="12837811" y="3117619"/>
              <a:ext cx="194876" cy="351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1"/>
            <a:lstStyle/>
            <a:p>
              <a:r>
                <a:rPr lang="en-GB" sz="1100"/>
                <a:t>W</a:t>
              </a:r>
            </a:p>
          </xdr:txBody>
        </xdr:sp>
      </xdr:grpSp>
      <xdr:grpSp>
        <xdr:nvGrpSpPr>
          <xdr:cNvPr id="232" name="Group 231"/>
          <xdr:cNvGrpSpPr/>
        </xdr:nvGrpSpPr>
        <xdr:grpSpPr>
          <a:xfrm>
            <a:off x="2928726" y="3929223"/>
            <a:ext cx="1267664" cy="706624"/>
            <a:chOff x="2928726" y="3929223"/>
            <a:chExt cx="1267664" cy="706624"/>
          </a:xfrm>
        </xdr:grpSpPr>
        <xdr:cxnSp macro="">
          <xdr:nvCxnSpPr>
            <xdr:cNvPr id="116" name="Straight Connector 115"/>
            <xdr:cNvCxnSpPr/>
          </xdr:nvCxnSpPr>
          <xdr:spPr>
            <a:xfrm>
              <a:off x="2928726" y="4074492"/>
              <a:ext cx="1267664" cy="2069"/>
            </a:xfrm>
            <a:prstGeom prst="line">
              <a:avLst/>
            </a:prstGeom>
            <a:ln w="6350">
              <a:prstDash val="lgDashDot"/>
            </a:ln>
          </xdr:spPr>
          <xdr:style>
            <a:lnRef idx="1">
              <a:schemeClr val="dk1"/>
            </a:lnRef>
            <a:fillRef idx="0">
              <a:schemeClr val="dk1"/>
            </a:fillRef>
            <a:effectRef idx="0">
              <a:schemeClr val="dk1"/>
            </a:effectRef>
            <a:fontRef idx="minor">
              <a:schemeClr val="tx1"/>
            </a:fontRef>
          </xdr:style>
        </xdr:cxnSp>
        <xdr:cxnSp macro="">
          <xdr:nvCxnSpPr>
            <xdr:cNvPr id="125" name="Straight Connector 124"/>
            <xdr:cNvCxnSpPr>
              <a:endCxn id="141" idx="0"/>
            </xdr:cNvCxnSpPr>
          </xdr:nvCxnSpPr>
          <xdr:spPr>
            <a:xfrm flipH="1" flipV="1">
              <a:off x="2984562" y="3946566"/>
              <a:ext cx="1118614" cy="698"/>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127" name="Straight Connector 126"/>
            <xdr:cNvCxnSpPr>
              <a:stCxn id="141" idx="4"/>
            </xdr:cNvCxnSpPr>
          </xdr:nvCxnSpPr>
          <xdr:spPr>
            <a:xfrm>
              <a:off x="2986248" y="4199415"/>
              <a:ext cx="458413" cy="0"/>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131" name="Straight Connector 130"/>
            <xdr:cNvCxnSpPr/>
          </xdr:nvCxnSpPr>
          <xdr:spPr>
            <a:xfrm>
              <a:off x="3441654" y="4202852"/>
              <a:ext cx="3301" cy="374331"/>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132" name="Straight Connector 131"/>
            <xdr:cNvCxnSpPr/>
          </xdr:nvCxnSpPr>
          <xdr:spPr>
            <a:xfrm flipH="1">
              <a:off x="3646032" y="4199845"/>
              <a:ext cx="93" cy="377339"/>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133" name="Straight Connector 132"/>
            <xdr:cNvCxnSpPr/>
          </xdr:nvCxnSpPr>
          <xdr:spPr>
            <a:xfrm>
              <a:off x="3546896" y="3929223"/>
              <a:ext cx="0" cy="706624"/>
            </a:xfrm>
            <a:prstGeom prst="line">
              <a:avLst/>
            </a:prstGeom>
            <a:ln w="6350">
              <a:prstDash val="lgDashDot"/>
            </a:ln>
          </xdr:spPr>
          <xdr:style>
            <a:lnRef idx="1">
              <a:schemeClr val="dk1"/>
            </a:lnRef>
            <a:fillRef idx="0">
              <a:schemeClr val="dk1"/>
            </a:fillRef>
            <a:effectRef idx="0">
              <a:schemeClr val="dk1"/>
            </a:effectRef>
            <a:fontRef idx="minor">
              <a:schemeClr val="tx1"/>
            </a:fontRef>
          </xdr:style>
        </xdr:cxnSp>
        <xdr:cxnSp macro="">
          <xdr:nvCxnSpPr>
            <xdr:cNvPr id="137" name="Straight Connector 136"/>
            <xdr:cNvCxnSpPr/>
          </xdr:nvCxnSpPr>
          <xdr:spPr>
            <a:xfrm>
              <a:off x="3444956" y="4577184"/>
              <a:ext cx="201076" cy="0"/>
            </a:xfrm>
            <a:prstGeom prst="line">
              <a:avLst/>
            </a:prstGeom>
          </xdr:spPr>
          <xdr:style>
            <a:lnRef idx="1">
              <a:schemeClr val="dk1"/>
            </a:lnRef>
            <a:fillRef idx="0">
              <a:schemeClr val="dk1"/>
            </a:fillRef>
            <a:effectRef idx="0">
              <a:schemeClr val="dk1"/>
            </a:effectRef>
            <a:fontRef idx="minor">
              <a:schemeClr val="tx1"/>
            </a:fontRef>
          </xdr:style>
        </xdr:cxnSp>
        <xdr:sp macro="" textlink="">
          <xdr:nvSpPr>
            <xdr:cNvPr id="141" name="Freeform 140"/>
            <xdr:cNvSpPr/>
          </xdr:nvSpPr>
          <xdr:spPr>
            <a:xfrm>
              <a:off x="2968540" y="3946566"/>
              <a:ext cx="34558" cy="252848"/>
            </a:xfrm>
            <a:custGeom>
              <a:avLst/>
              <a:gdLst>
                <a:gd name="connsiteX0" fmla="*/ 120767 w 260477"/>
                <a:gd name="connsiteY0" fmla="*/ 0 h 508000"/>
                <a:gd name="connsiteX1" fmla="*/ 117 w 260477"/>
                <a:gd name="connsiteY1" fmla="*/ 127000 h 508000"/>
                <a:gd name="connsiteX2" fmla="*/ 139817 w 260477"/>
                <a:gd name="connsiteY2" fmla="*/ 254000 h 508000"/>
                <a:gd name="connsiteX3" fmla="*/ 260467 w 260477"/>
                <a:gd name="connsiteY3" fmla="*/ 381000 h 508000"/>
                <a:gd name="connsiteX4" fmla="*/ 133467 w 260477"/>
                <a:gd name="connsiteY4" fmla="*/ 508000 h 508000"/>
                <a:gd name="connsiteX5" fmla="*/ 6467 w 260477"/>
                <a:gd name="connsiteY5" fmla="*/ 381000 h 508000"/>
                <a:gd name="connsiteX6" fmla="*/ 133467 w 260477"/>
                <a:gd name="connsiteY6" fmla="*/ 260350 h 508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60477" h="508000">
                  <a:moveTo>
                    <a:pt x="120767" y="0"/>
                  </a:moveTo>
                  <a:cubicBezTo>
                    <a:pt x="58854" y="42333"/>
                    <a:pt x="-3058" y="84667"/>
                    <a:pt x="117" y="127000"/>
                  </a:cubicBezTo>
                  <a:cubicBezTo>
                    <a:pt x="3292" y="169333"/>
                    <a:pt x="96425" y="211667"/>
                    <a:pt x="139817" y="254000"/>
                  </a:cubicBezTo>
                  <a:cubicBezTo>
                    <a:pt x="183209" y="296333"/>
                    <a:pt x="261525" y="338667"/>
                    <a:pt x="260467" y="381000"/>
                  </a:cubicBezTo>
                  <a:cubicBezTo>
                    <a:pt x="259409" y="423333"/>
                    <a:pt x="175800" y="508000"/>
                    <a:pt x="133467" y="508000"/>
                  </a:cubicBezTo>
                  <a:cubicBezTo>
                    <a:pt x="91134" y="508000"/>
                    <a:pt x="6467" y="422275"/>
                    <a:pt x="6467" y="381000"/>
                  </a:cubicBezTo>
                  <a:cubicBezTo>
                    <a:pt x="6467" y="339725"/>
                    <a:pt x="83725" y="226483"/>
                    <a:pt x="133467" y="260350"/>
                  </a:cubicBezTo>
                </a:path>
              </a:pathLst>
            </a:cu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GB" sz="1100"/>
            </a:p>
          </xdr:txBody>
        </xdr:sp>
        <xdr:cxnSp macro="">
          <xdr:nvCxnSpPr>
            <xdr:cNvPr id="130" name="Straight Connector 129"/>
            <xdr:cNvCxnSpPr>
              <a:stCxn id="143" idx="0"/>
            </xdr:cNvCxnSpPr>
          </xdr:nvCxnSpPr>
          <xdr:spPr>
            <a:xfrm flipH="1">
              <a:off x="3646125" y="4199506"/>
              <a:ext cx="457518" cy="339"/>
            </a:xfrm>
            <a:prstGeom prst="line">
              <a:avLst/>
            </a:prstGeom>
          </xdr:spPr>
          <xdr:style>
            <a:lnRef idx="1">
              <a:schemeClr val="dk1"/>
            </a:lnRef>
            <a:fillRef idx="0">
              <a:schemeClr val="dk1"/>
            </a:fillRef>
            <a:effectRef idx="0">
              <a:schemeClr val="dk1"/>
            </a:effectRef>
            <a:fontRef idx="minor">
              <a:schemeClr val="tx1"/>
            </a:fontRef>
          </xdr:style>
        </xdr:cxnSp>
        <xdr:sp macro="" textlink="">
          <xdr:nvSpPr>
            <xdr:cNvPr id="143" name="Freeform 142"/>
            <xdr:cNvSpPr/>
          </xdr:nvSpPr>
          <xdr:spPr>
            <a:xfrm rot="10800000">
              <a:off x="4085107" y="3946658"/>
              <a:ext cx="34558" cy="252848"/>
            </a:xfrm>
            <a:custGeom>
              <a:avLst/>
              <a:gdLst>
                <a:gd name="connsiteX0" fmla="*/ 120767 w 260477"/>
                <a:gd name="connsiteY0" fmla="*/ 0 h 508000"/>
                <a:gd name="connsiteX1" fmla="*/ 117 w 260477"/>
                <a:gd name="connsiteY1" fmla="*/ 127000 h 508000"/>
                <a:gd name="connsiteX2" fmla="*/ 139817 w 260477"/>
                <a:gd name="connsiteY2" fmla="*/ 254000 h 508000"/>
                <a:gd name="connsiteX3" fmla="*/ 260467 w 260477"/>
                <a:gd name="connsiteY3" fmla="*/ 381000 h 508000"/>
                <a:gd name="connsiteX4" fmla="*/ 133467 w 260477"/>
                <a:gd name="connsiteY4" fmla="*/ 508000 h 508000"/>
                <a:gd name="connsiteX5" fmla="*/ 6467 w 260477"/>
                <a:gd name="connsiteY5" fmla="*/ 381000 h 508000"/>
                <a:gd name="connsiteX6" fmla="*/ 133467 w 260477"/>
                <a:gd name="connsiteY6" fmla="*/ 260350 h 508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60477" h="508000">
                  <a:moveTo>
                    <a:pt x="120767" y="0"/>
                  </a:moveTo>
                  <a:cubicBezTo>
                    <a:pt x="58854" y="42333"/>
                    <a:pt x="-3058" y="84667"/>
                    <a:pt x="117" y="127000"/>
                  </a:cubicBezTo>
                  <a:cubicBezTo>
                    <a:pt x="3292" y="169333"/>
                    <a:pt x="96425" y="211667"/>
                    <a:pt x="139817" y="254000"/>
                  </a:cubicBezTo>
                  <a:cubicBezTo>
                    <a:pt x="183209" y="296333"/>
                    <a:pt x="261525" y="338667"/>
                    <a:pt x="260467" y="381000"/>
                  </a:cubicBezTo>
                  <a:cubicBezTo>
                    <a:pt x="259409" y="423333"/>
                    <a:pt x="175800" y="508000"/>
                    <a:pt x="133467" y="508000"/>
                  </a:cubicBezTo>
                  <a:cubicBezTo>
                    <a:pt x="91134" y="508000"/>
                    <a:pt x="6467" y="422275"/>
                    <a:pt x="6467" y="381000"/>
                  </a:cubicBezTo>
                  <a:cubicBezTo>
                    <a:pt x="6467" y="339725"/>
                    <a:pt x="83725" y="226483"/>
                    <a:pt x="133467" y="260350"/>
                  </a:cubicBezTo>
                </a:path>
              </a:pathLst>
            </a:cu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GB" sz="1100"/>
            </a:p>
          </xdr:txBody>
        </xdr:sp>
        <xdr:sp macro="" textlink="">
          <xdr:nvSpPr>
            <xdr:cNvPr id="23" name="Freeform 22"/>
            <xdr:cNvSpPr/>
          </xdr:nvSpPr>
          <xdr:spPr>
            <a:xfrm>
              <a:off x="3438647" y="4169775"/>
              <a:ext cx="207477" cy="30070"/>
            </a:xfrm>
            <a:custGeom>
              <a:avLst/>
              <a:gdLst>
                <a:gd name="connsiteX0" fmla="*/ 0 w 292100"/>
                <a:gd name="connsiteY0" fmla="*/ 42334 h 42334"/>
                <a:gd name="connsiteX1" fmla="*/ 152400 w 292100"/>
                <a:gd name="connsiteY1" fmla="*/ 0 h 42334"/>
                <a:gd name="connsiteX2" fmla="*/ 292100 w 292100"/>
                <a:gd name="connsiteY2" fmla="*/ 42334 h 42334"/>
              </a:gdLst>
              <a:ahLst/>
              <a:cxnLst>
                <a:cxn ang="0">
                  <a:pos x="connsiteX0" y="connsiteY0"/>
                </a:cxn>
                <a:cxn ang="0">
                  <a:pos x="connsiteX1" y="connsiteY1"/>
                </a:cxn>
                <a:cxn ang="0">
                  <a:pos x="connsiteX2" y="connsiteY2"/>
                </a:cxn>
              </a:cxnLst>
              <a:rect l="l" t="t" r="r" b="b"/>
              <a:pathLst>
                <a:path w="292100" h="42334">
                  <a:moveTo>
                    <a:pt x="0" y="42334"/>
                  </a:moveTo>
                  <a:cubicBezTo>
                    <a:pt x="51858" y="21167"/>
                    <a:pt x="103717" y="0"/>
                    <a:pt x="152400" y="0"/>
                  </a:cubicBezTo>
                  <a:cubicBezTo>
                    <a:pt x="201083" y="0"/>
                    <a:pt x="258939" y="24695"/>
                    <a:pt x="292100" y="42334"/>
                  </a:cubicBezTo>
                </a:path>
              </a:pathLst>
            </a:cu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GB" sz="1100"/>
            </a:p>
          </xdr:txBody>
        </xdr:sp>
        <xdr:cxnSp macro="">
          <xdr:nvCxnSpPr>
            <xdr:cNvPr id="36" name="Straight Connector 35"/>
            <xdr:cNvCxnSpPr/>
          </xdr:nvCxnSpPr>
          <xdr:spPr>
            <a:xfrm>
              <a:off x="3356093" y="4196838"/>
              <a:ext cx="0" cy="21049"/>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41" name="Straight Connector 40"/>
            <xdr:cNvCxnSpPr/>
          </xdr:nvCxnSpPr>
          <xdr:spPr>
            <a:xfrm>
              <a:off x="3359101" y="4219253"/>
              <a:ext cx="82007" cy="0"/>
            </a:xfrm>
            <a:prstGeom prst="line">
              <a:avLst/>
            </a:prstGeom>
            <a:ln>
              <a:prstDash val="dash"/>
            </a:ln>
          </xdr:spPr>
          <xdr:style>
            <a:lnRef idx="1">
              <a:schemeClr val="dk1"/>
            </a:lnRef>
            <a:fillRef idx="0">
              <a:schemeClr val="dk1"/>
            </a:fillRef>
            <a:effectRef idx="0">
              <a:schemeClr val="dk1"/>
            </a:effectRef>
            <a:fontRef idx="minor">
              <a:schemeClr val="tx1"/>
            </a:fontRef>
          </xdr:style>
        </xdr:cxnSp>
        <xdr:cxnSp macro="">
          <xdr:nvCxnSpPr>
            <xdr:cNvPr id="181" name="Straight Connector 180"/>
            <xdr:cNvCxnSpPr/>
          </xdr:nvCxnSpPr>
          <xdr:spPr>
            <a:xfrm>
              <a:off x="3733602" y="4199574"/>
              <a:ext cx="0" cy="21049"/>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182" name="Straight Connector 181"/>
            <xdr:cNvCxnSpPr/>
          </xdr:nvCxnSpPr>
          <xdr:spPr>
            <a:xfrm>
              <a:off x="3648588" y="4221989"/>
              <a:ext cx="83374" cy="0"/>
            </a:xfrm>
            <a:prstGeom prst="line">
              <a:avLst/>
            </a:prstGeom>
            <a:ln>
              <a:prstDash val="dash"/>
            </a:ln>
          </xdr:spPr>
          <xdr:style>
            <a:lnRef idx="1">
              <a:schemeClr val="dk1"/>
            </a:lnRef>
            <a:fillRef idx="0">
              <a:schemeClr val="dk1"/>
            </a:fillRef>
            <a:effectRef idx="0">
              <a:schemeClr val="dk1"/>
            </a:effectRef>
            <a:fontRef idx="minor">
              <a:schemeClr val="tx1"/>
            </a:fontRef>
          </xdr:style>
        </xdr:cxnSp>
        <xdr:sp macro="" textlink="">
          <xdr:nvSpPr>
            <xdr:cNvPr id="63" name="Freeform 62"/>
            <xdr:cNvSpPr/>
          </xdr:nvSpPr>
          <xdr:spPr>
            <a:xfrm>
              <a:off x="3356093" y="4127679"/>
              <a:ext cx="377505" cy="70252"/>
            </a:xfrm>
            <a:custGeom>
              <a:avLst/>
              <a:gdLst>
                <a:gd name="connsiteX0" fmla="*/ 0 w 521855"/>
                <a:gd name="connsiteY0" fmla="*/ 83128 h 83128"/>
                <a:gd name="connsiteX1" fmla="*/ 265546 w 521855"/>
                <a:gd name="connsiteY1" fmla="*/ 0 h 83128"/>
                <a:gd name="connsiteX2" fmla="*/ 521855 w 521855"/>
                <a:gd name="connsiteY2" fmla="*/ 83128 h 83128"/>
              </a:gdLst>
              <a:ahLst/>
              <a:cxnLst>
                <a:cxn ang="0">
                  <a:pos x="connsiteX0" y="connsiteY0"/>
                </a:cxn>
                <a:cxn ang="0">
                  <a:pos x="connsiteX1" y="connsiteY1"/>
                </a:cxn>
                <a:cxn ang="0">
                  <a:pos x="connsiteX2" y="connsiteY2"/>
                </a:cxn>
              </a:cxnLst>
              <a:rect l="l" t="t" r="r" b="b"/>
              <a:pathLst>
                <a:path w="521855" h="83128">
                  <a:moveTo>
                    <a:pt x="0" y="83128"/>
                  </a:moveTo>
                  <a:cubicBezTo>
                    <a:pt x="89285" y="41564"/>
                    <a:pt x="178570" y="0"/>
                    <a:pt x="265546" y="0"/>
                  </a:cubicBezTo>
                  <a:cubicBezTo>
                    <a:pt x="352522" y="0"/>
                    <a:pt x="474904" y="58882"/>
                    <a:pt x="521855" y="83128"/>
                  </a:cubicBezTo>
                </a:path>
              </a:pathLst>
            </a:custGeom>
            <a:ln>
              <a:prstDash val="dash"/>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GB" sz="1100"/>
            </a:p>
          </xdr:txBody>
        </xdr:sp>
        <xdr:sp macro="" textlink="">
          <xdr:nvSpPr>
            <xdr:cNvPr id="64" name="Freeform 63"/>
            <xdr:cNvSpPr/>
          </xdr:nvSpPr>
          <xdr:spPr>
            <a:xfrm>
              <a:off x="3441108" y="4190059"/>
              <a:ext cx="205836" cy="32474"/>
            </a:xfrm>
            <a:custGeom>
              <a:avLst/>
              <a:gdLst>
                <a:gd name="connsiteX0" fmla="*/ 0 w 284018"/>
                <a:gd name="connsiteY0" fmla="*/ 43892 h 48510"/>
                <a:gd name="connsiteX1" fmla="*/ 145473 w 284018"/>
                <a:gd name="connsiteY1" fmla="*/ 19 h 48510"/>
                <a:gd name="connsiteX2" fmla="*/ 284018 w 284018"/>
                <a:gd name="connsiteY2" fmla="*/ 48510 h 48510"/>
              </a:gdLst>
              <a:ahLst/>
              <a:cxnLst>
                <a:cxn ang="0">
                  <a:pos x="connsiteX0" y="connsiteY0"/>
                </a:cxn>
                <a:cxn ang="0">
                  <a:pos x="connsiteX1" y="connsiteY1"/>
                </a:cxn>
                <a:cxn ang="0">
                  <a:pos x="connsiteX2" y="connsiteY2"/>
                </a:cxn>
              </a:cxnLst>
              <a:rect l="l" t="t" r="r" b="b"/>
              <a:pathLst>
                <a:path w="284018" h="48510">
                  <a:moveTo>
                    <a:pt x="0" y="43892"/>
                  </a:moveTo>
                  <a:cubicBezTo>
                    <a:pt x="49068" y="21570"/>
                    <a:pt x="98137" y="-751"/>
                    <a:pt x="145473" y="19"/>
                  </a:cubicBezTo>
                  <a:cubicBezTo>
                    <a:pt x="192809" y="789"/>
                    <a:pt x="246303" y="15798"/>
                    <a:pt x="284018" y="48510"/>
                  </a:cubicBezTo>
                </a:path>
              </a:pathLst>
            </a:custGeom>
            <a:ln>
              <a:prstDash val="dash"/>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GB" sz="1100"/>
            </a:p>
          </xdr:txBody>
        </xdr:sp>
        <xdr:sp macro="" textlink="">
          <xdr:nvSpPr>
            <xdr:cNvPr id="228" name="Rectangle 227"/>
            <xdr:cNvSpPr/>
          </xdr:nvSpPr>
          <xdr:spPr>
            <a:xfrm>
              <a:off x="3395134" y="4533900"/>
              <a:ext cx="303138" cy="46141"/>
            </a:xfrm>
            <a:prstGeom prst="rect">
              <a:avLst/>
            </a:prstGeom>
            <a:solidFill>
              <a:schemeClr val="bg1"/>
            </a:solidFill>
            <a:ln w="9525" cap="sq">
              <a:solidFill>
                <a:schemeClr val="tx1"/>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grpSp>
    <xdr:clientData/>
  </xdr:twoCellAnchor>
  <xdr:twoCellAnchor>
    <xdr:from>
      <xdr:col>37</xdr:col>
      <xdr:colOff>118890</xdr:colOff>
      <xdr:row>22</xdr:row>
      <xdr:rowOff>5807</xdr:rowOff>
    </xdr:from>
    <xdr:to>
      <xdr:col>43</xdr:col>
      <xdr:colOff>37206</xdr:colOff>
      <xdr:row>31</xdr:row>
      <xdr:rowOff>90879</xdr:rowOff>
    </xdr:to>
    <xdr:grpSp>
      <xdr:nvGrpSpPr>
        <xdr:cNvPr id="265" name="Group 264"/>
        <xdr:cNvGrpSpPr/>
      </xdr:nvGrpSpPr>
      <xdr:grpSpPr>
        <a:xfrm>
          <a:off x="4817890" y="3726907"/>
          <a:ext cx="680316" cy="1228072"/>
          <a:chOff x="4911954" y="3777709"/>
          <a:chExt cx="791711" cy="1250933"/>
        </a:xfrm>
      </xdr:grpSpPr>
      <xdr:cxnSp macro="">
        <xdr:nvCxnSpPr>
          <xdr:cNvPr id="207" name="Straight Connector 206"/>
          <xdr:cNvCxnSpPr/>
        </xdr:nvCxnSpPr>
        <xdr:spPr>
          <a:xfrm rot="16200000">
            <a:off x="4450554" y="4402016"/>
            <a:ext cx="1250933" cy="2320"/>
          </a:xfrm>
          <a:prstGeom prst="line">
            <a:avLst/>
          </a:prstGeom>
          <a:ln w="6350">
            <a:prstDash val="lgDashDot"/>
          </a:ln>
        </xdr:spPr>
        <xdr:style>
          <a:lnRef idx="1">
            <a:schemeClr val="dk1"/>
          </a:lnRef>
          <a:fillRef idx="0">
            <a:schemeClr val="dk1"/>
          </a:fillRef>
          <a:effectRef idx="0">
            <a:schemeClr val="dk1"/>
          </a:effectRef>
          <a:fontRef idx="minor">
            <a:schemeClr val="tx1"/>
          </a:fontRef>
        </xdr:style>
      </xdr:cxnSp>
      <xdr:cxnSp macro="">
        <xdr:nvCxnSpPr>
          <xdr:cNvPr id="208" name="Straight Connector 207"/>
          <xdr:cNvCxnSpPr>
            <a:endCxn id="214" idx="0"/>
          </xdr:cNvCxnSpPr>
        </xdr:nvCxnSpPr>
        <xdr:spPr>
          <a:xfrm rot="16200000" flipH="1" flipV="1">
            <a:off x="4379872" y="4421227"/>
            <a:ext cx="1103850" cy="783"/>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209" name="Straight Connector 208"/>
          <xdr:cNvCxnSpPr>
            <a:stCxn id="214" idx="4"/>
          </xdr:cNvCxnSpPr>
        </xdr:nvCxnSpPr>
        <xdr:spPr>
          <a:xfrm rot="16200000">
            <a:off x="4988767" y="4745698"/>
            <a:ext cx="452363" cy="0"/>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210" name="Straight Connector 209"/>
          <xdr:cNvCxnSpPr/>
        </xdr:nvCxnSpPr>
        <xdr:spPr>
          <a:xfrm flipV="1">
            <a:off x="5218801" y="4517698"/>
            <a:ext cx="450702" cy="4789"/>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211" name="Straight Connector 210"/>
          <xdr:cNvCxnSpPr/>
        </xdr:nvCxnSpPr>
        <xdr:spPr>
          <a:xfrm>
            <a:off x="5217335" y="4320713"/>
            <a:ext cx="453947" cy="1736"/>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212" name="Straight Connector 211"/>
          <xdr:cNvCxnSpPr/>
        </xdr:nvCxnSpPr>
        <xdr:spPr>
          <a:xfrm>
            <a:off x="4911954" y="4418633"/>
            <a:ext cx="791711" cy="971"/>
          </a:xfrm>
          <a:prstGeom prst="line">
            <a:avLst/>
          </a:prstGeom>
          <a:ln w="6350">
            <a:prstDash val="lgDashDot"/>
          </a:ln>
        </xdr:spPr>
        <xdr:style>
          <a:lnRef idx="1">
            <a:schemeClr val="dk1"/>
          </a:lnRef>
          <a:fillRef idx="0">
            <a:schemeClr val="dk1"/>
          </a:fillRef>
          <a:effectRef idx="0">
            <a:schemeClr val="dk1"/>
          </a:effectRef>
          <a:fontRef idx="minor">
            <a:schemeClr val="tx1"/>
          </a:fontRef>
        </xdr:style>
      </xdr:cxnSp>
      <xdr:cxnSp macro="">
        <xdr:nvCxnSpPr>
          <xdr:cNvPr id="213" name="Straight Connector 212"/>
          <xdr:cNvCxnSpPr/>
        </xdr:nvCxnSpPr>
        <xdr:spPr>
          <a:xfrm rot="16200000">
            <a:off x="5570285" y="4420014"/>
            <a:ext cx="198422" cy="0"/>
          </a:xfrm>
          <a:prstGeom prst="line">
            <a:avLst/>
          </a:prstGeom>
        </xdr:spPr>
        <xdr:style>
          <a:lnRef idx="1">
            <a:schemeClr val="dk1"/>
          </a:lnRef>
          <a:fillRef idx="0">
            <a:schemeClr val="dk1"/>
          </a:fillRef>
          <a:effectRef idx="0">
            <a:schemeClr val="dk1"/>
          </a:effectRef>
          <a:fontRef idx="minor">
            <a:schemeClr val="tx1"/>
          </a:fontRef>
        </xdr:style>
      </xdr:cxnSp>
      <xdr:sp macro="" textlink="">
        <xdr:nvSpPr>
          <xdr:cNvPr id="214" name="Freeform 213"/>
          <xdr:cNvSpPr/>
        </xdr:nvSpPr>
        <xdr:spPr>
          <a:xfrm rot="16200000">
            <a:off x="5056122" y="4830532"/>
            <a:ext cx="34102" cy="283543"/>
          </a:xfrm>
          <a:custGeom>
            <a:avLst/>
            <a:gdLst>
              <a:gd name="connsiteX0" fmla="*/ 120767 w 260477"/>
              <a:gd name="connsiteY0" fmla="*/ 0 h 508000"/>
              <a:gd name="connsiteX1" fmla="*/ 117 w 260477"/>
              <a:gd name="connsiteY1" fmla="*/ 127000 h 508000"/>
              <a:gd name="connsiteX2" fmla="*/ 139817 w 260477"/>
              <a:gd name="connsiteY2" fmla="*/ 254000 h 508000"/>
              <a:gd name="connsiteX3" fmla="*/ 260467 w 260477"/>
              <a:gd name="connsiteY3" fmla="*/ 381000 h 508000"/>
              <a:gd name="connsiteX4" fmla="*/ 133467 w 260477"/>
              <a:gd name="connsiteY4" fmla="*/ 508000 h 508000"/>
              <a:gd name="connsiteX5" fmla="*/ 6467 w 260477"/>
              <a:gd name="connsiteY5" fmla="*/ 381000 h 508000"/>
              <a:gd name="connsiteX6" fmla="*/ 133467 w 260477"/>
              <a:gd name="connsiteY6" fmla="*/ 260350 h 508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60477" h="508000">
                <a:moveTo>
                  <a:pt x="120767" y="0"/>
                </a:moveTo>
                <a:cubicBezTo>
                  <a:pt x="58854" y="42333"/>
                  <a:pt x="-3058" y="84667"/>
                  <a:pt x="117" y="127000"/>
                </a:cubicBezTo>
                <a:cubicBezTo>
                  <a:pt x="3292" y="169333"/>
                  <a:pt x="96425" y="211667"/>
                  <a:pt x="139817" y="254000"/>
                </a:cubicBezTo>
                <a:cubicBezTo>
                  <a:pt x="183209" y="296333"/>
                  <a:pt x="261525" y="338667"/>
                  <a:pt x="260467" y="381000"/>
                </a:cubicBezTo>
                <a:cubicBezTo>
                  <a:pt x="259409" y="423333"/>
                  <a:pt x="175800" y="508000"/>
                  <a:pt x="133467" y="508000"/>
                </a:cubicBezTo>
                <a:cubicBezTo>
                  <a:pt x="91134" y="508000"/>
                  <a:pt x="6467" y="422275"/>
                  <a:pt x="6467" y="381000"/>
                </a:cubicBezTo>
                <a:cubicBezTo>
                  <a:pt x="6467" y="339725"/>
                  <a:pt x="83725" y="226483"/>
                  <a:pt x="133467" y="260350"/>
                </a:cubicBezTo>
              </a:path>
            </a:pathLst>
          </a:cu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GB" sz="1100"/>
          </a:p>
        </xdr:txBody>
      </xdr:sp>
      <xdr:cxnSp macro="">
        <xdr:nvCxnSpPr>
          <xdr:cNvPr id="215" name="Straight Connector 214"/>
          <xdr:cNvCxnSpPr>
            <a:stCxn id="216" idx="0"/>
          </xdr:cNvCxnSpPr>
        </xdr:nvCxnSpPr>
        <xdr:spPr>
          <a:xfrm rot="16200000" flipH="1">
            <a:off x="4989497" y="4094784"/>
            <a:ext cx="451480" cy="380"/>
          </a:xfrm>
          <a:prstGeom prst="line">
            <a:avLst/>
          </a:prstGeom>
        </xdr:spPr>
        <xdr:style>
          <a:lnRef idx="1">
            <a:schemeClr val="dk1"/>
          </a:lnRef>
          <a:fillRef idx="0">
            <a:schemeClr val="dk1"/>
          </a:fillRef>
          <a:effectRef idx="0">
            <a:schemeClr val="dk1"/>
          </a:effectRef>
          <a:fontRef idx="minor">
            <a:schemeClr val="tx1"/>
          </a:fontRef>
        </xdr:style>
      </xdr:cxnSp>
      <xdr:sp macro="" textlink="">
        <xdr:nvSpPr>
          <xdr:cNvPr id="216" name="Freeform 215"/>
          <xdr:cNvSpPr/>
        </xdr:nvSpPr>
        <xdr:spPr>
          <a:xfrm rot="5400000">
            <a:off x="5056224" y="3728701"/>
            <a:ext cx="34102" cy="283543"/>
          </a:xfrm>
          <a:custGeom>
            <a:avLst/>
            <a:gdLst>
              <a:gd name="connsiteX0" fmla="*/ 120767 w 260477"/>
              <a:gd name="connsiteY0" fmla="*/ 0 h 508000"/>
              <a:gd name="connsiteX1" fmla="*/ 117 w 260477"/>
              <a:gd name="connsiteY1" fmla="*/ 127000 h 508000"/>
              <a:gd name="connsiteX2" fmla="*/ 139817 w 260477"/>
              <a:gd name="connsiteY2" fmla="*/ 254000 h 508000"/>
              <a:gd name="connsiteX3" fmla="*/ 260467 w 260477"/>
              <a:gd name="connsiteY3" fmla="*/ 381000 h 508000"/>
              <a:gd name="connsiteX4" fmla="*/ 133467 w 260477"/>
              <a:gd name="connsiteY4" fmla="*/ 508000 h 508000"/>
              <a:gd name="connsiteX5" fmla="*/ 6467 w 260477"/>
              <a:gd name="connsiteY5" fmla="*/ 381000 h 508000"/>
              <a:gd name="connsiteX6" fmla="*/ 133467 w 260477"/>
              <a:gd name="connsiteY6" fmla="*/ 260350 h 508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60477" h="508000">
                <a:moveTo>
                  <a:pt x="120767" y="0"/>
                </a:moveTo>
                <a:cubicBezTo>
                  <a:pt x="58854" y="42333"/>
                  <a:pt x="-3058" y="84667"/>
                  <a:pt x="117" y="127000"/>
                </a:cubicBezTo>
                <a:cubicBezTo>
                  <a:pt x="3292" y="169333"/>
                  <a:pt x="96425" y="211667"/>
                  <a:pt x="139817" y="254000"/>
                </a:cubicBezTo>
                <a:cubicBezTo>
                  <a:pt x="183209" y="296333"/>
                  <a:pt x="261525" y="338667"/>
                  <a:pt x="260467" y="381000"/>
                </a:cubicBezTo>
                <a:cubicBezTo>
                  <a:pt x="259409" y="423333"/>
                  <a:pt x="175800" y="508000"/>
                  <a:pt x="133467" y="508000"/>
                </a:cubicBezTo>
                <a:cubicBezTo>
                  <a:pt x="91134" y="508000"/>
                  <a:pt x="6467" y="422275"/>
                  <a:pt x="6467" y="381000"/>
                </a:cubicBezTo>
                <a:cubicBezTo>
                  <a:pt x="6467" y="339725"/>
                  <a:pt x="83725" y="226483"/>
                  <a:pt x="133467" y="260350"/>
                </a:cubicBezTo>
              </a:path>
            </a:pathLst>
          </a:cu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GB" sz="1100"/>
          </a:p>
        </xdr:txBody>
      </xdr:sp>
      <xdr:sp macro="" textlink="">
        <xdr:nvSpPr>
          <xdr:cNvPr id="217" name="Freeform 216"/>
          <xdr:cNvSpPr/>
        </xdr:nvSpPr>
        <xdr:spPr>
          <a:xfrm rot="16200000">
            <a:off x="5096196" y="4406221"/>
            <a:ext cx="204739" cy="33720"/>
          </a:xfrm>
          <a:custGeom>
            <a:avLst/>
            <a:gdLst>
              <a:gd name="connsiteX0" fmla="*/ 0 w 292100"/>
              <a:gd name="connsiteY0" fmla="*/ 42334 h 42334"/>
              <a:gd name="connsiteX1" fmla="*/ 152400 w 292100"/>
              <a:gd name="connsiteY1" fmla="*/ 0 h 42334"/>
              <a:gd name="connsiteX2" fmla="*/ 292100 w 292100"/>
              <a:gd name="connsiteY2" fmla="*/ 42334 h 42334"/>
            </a:gdLst>
            <a:ahLst/>
            <a:cxnLst>
              <a:cxn ang="0">
                <a:pos x="connsiteX0" y="connsiteY0"/>
              </a:cxn>
              <a:cxn ang="0">
                <a:pos x="connsiteX1" y="connsiteY1"/>
              </a:cxn>
              <a:cxn ang="0">
                <a:pos x="connsiteX2" y="connsiteY2"/>
              </a:cxn>
            </a:cxnLst>
            <a:rect l="l" t="t" r="r" b="b"/>
            <a:pathLst>
              <a:path w="292100" h="42334">
                <a:moveTo>
                  <a:pt x="0" y="42334"/>
                </a:moveTo>
                <a:cubicBezTo>
                  <a:pt x="51858" y="21167"/>
                  <a:pt x="103717" y="0"/>
                  <a:pt x="152400" y="0"/>
                </a:cubicBezTo>
                <a:cubicBezTo>
                  <a:pt x="201083" y="0"/>
                  <a:pt x="258939" y="24695"/>
                  <a:pt x="292100" y="42334"/>
                </a:cubicBezTo>
              </a:path>
            </a:pathLst>
          </a:cu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GB" sz="1100"/>
          </a:p>
        </xdr:txBody>
      </xdr:sp>
      <xdr:cxnSp macro="">
        <xdr:nvCxnSpPr>
          <xdr:cNvPr id="218" name="Straight Connector 217"/>
          <xdr:cNvCxnSpPr/>
        </xdr:nvCxnSpPr>
        <xdr:spPr>
          <a:xfrm rot="16200000">
            <a:off x="5223855" y="4595114"/>
            <a:ext cx="0" cy="23605"/>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219" name="Straight Connector 218"/>
          <xdr:cNvCxnSpPr/>
        </xdr:nvCxnSpPr>
        <xdr:spPr>
          <a:xfrm rot="16200000">
            <a:off x="5196728" y="4563486"/>
            <a:ext cx="80924" cy="0"/>
          </a:xfrm>
          <a:prstGeom prst="line">
            <a:avLst/>
          </a:prstGeom>
          <a:ln>
            <a:prstDash val="dash"/>
          </a:ln>
        </xdr:spPr>
        <xdr:style>
          <a:lnRef idx="1">
            <a:schemeClr val="dk1"/>
          </a:lnRef>
          <a:fillRef idx="0">
            <a:schemeClr val="dk1"/>
          </a:fillRef>
          <a:effectRef idx="0">
            <a:schemeClr val="dk1"/>
          </a:effectRef>
          <a:fontRef idx="minor">
            <a:schemeClr val="tx1"/>
          </a:fontRef>
        </xdr:style>
      </xdr:cxnSp>
      <xdr:cxnSp macro="">
        <xdr:nvCxnSpPr>
          <xdr:cNvPr id="220" name="Straight Connector 219"/>
          <xdr:cNvCxnSpPr/>
        </xdr:nvCxnSpPr>
        <xdr:spPr>
          <a:xfrm rot="16200000">
            <a:off x="5226924" y="4222588"/>
            <a:ext cx="0" cy="23605"/>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221" name="Straight Connector 220"/>
          <xdr:cNvCxnSpPr/>
        </xdr:nvCxnSpPr>
        <xdr:spPr>
          <a:xfrm rot="16200000">
            <a:off x="5199122" y="4277145"/>
            <a:ext cx="82273" cy="0"/>
          </a:xfrm>
          <a:prstGeom prst="line">
            <a:avLst/>
          </a:prstGeom>
          <a:ln>
            <a:prstDash val="dash"/>
          </a:ln>
        </xdr:spPr>
        <xdr:style>
          <a:lnRef idx="1">
            <a:schemeClr val="dk1"/>
          </a:lnRef>
          <a:fillRef idx="0">
            <a:schemeClr val="dk1"/>
          </a:fillRef>
          <a:effectRef idx="0">
            <a:schemeClr val="dk1"/>
          </a:effectRef>
          <a:fontRef idx="minor">
            <a:schemeClr val="tx1"/>
          </a:fontRef>
        </xdr:style>
      </xdr:cxnSp>
      <xdr:sp macro="" textlink="">
        <xdr:nvSpPr>
          <xdr:cNvPr id="222" name="Freeform 221"/>
          <xdr:cNvSpPr/>
        </xdr:nvSpPr>
        <xdr:spPr>
          <a:xfrm rot="16200000">
            <a:off x="4987614" y="4381261"/>
            <a:ext cx="372522" cy="78780"/>
          </a:xfrm>
          <a:custGeom>
            <a:avLst/>
            <a:gdLst>
              <a:gd name="connsiteX0" fmla="*/ 0 w 521855"/>
              <a:gd name="connsiteY0" fmla="*/ 83128 h 83128"/>
              <a:gd name="connsiteX1" fmla="*/ 265546 w 521855"/>
              <a:gd name="connsiteY1" fmla="*/ 0 h 83128"/>
              <a:gd name="connsiteX2" fmla="*/ 521855 w 521855"/>
              <a:gd name="connsiteY2" fmla="*/ 83128 h 83128"/>
            </a:gdLst>
            <a:ahLst/>
            <a:cxnLst>
              <a:cxn ang="0">
                <a:pos x="connsiteX0" y="connsiteY0"/>
              </a:cxn>
              <a:cxn ang="0">
                <a:pos x="connsiteX1" y="connsiteY1"/>
              </a:cxn>
              <a:cxn ang="0">
                <a:pos x="connsiteX2" y="connsiteY2"/>
              </a:cxn>
            </a:cxnLst>
            <a:rect l="l" t="t" r="r" b="b"/>
            <a:pathLst>
              <a:path w="521855" h="83128">
                <a:moveTo>
                  <a:pt x="0" y="83128"/>
                </a:moveTo>
                <a:cubicBezTo>
                  <a:pt x="89285" y="41564"/>
                  <a:pt x="178570" y="0"/>
                  <a:pt x="265546" y="0"/>
                </a:cubicBezTo>
                <a:cubicBezTo>
                  <a:pt x="352522" y="0"/>
                  <a:pt x="474904" y="58882"/>
                  <a:pt x="521855" y="83128"/>
                </a:cubicBezTo>
              </a:path>
            </a:pathLst>
          </a:custGeom>
          <a:ln>
            <a:prstDash val="dash"/>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GB" sz="1100"/>
          </a:p>
        </xdr:txBody>
      </xdr:sp>
      <xdr:sp macro="" textlink="">
        <xdr:nvSpPr>
          <xdr:cNvPr id="223" name="Freeform 222"/>
          <xdr:cNvSpPr/>
        </xdr:nvSpPr>
        <xdr:spPr>
          <a:xfrm rot="16200000">
            <a:off x="5121015" y="4403252"/>
            <a:ext cx="203119" cy="36416"/>
          </a:xfrm>
          <a:custGeom>
            <a:avLst/>
            <a:gdLst>
              <a:gd name="connsiteX0" fmla="*/ 0 w 284018"/>
              <a:gd name="connsiteY0" fmla="*/ 43892 h 48510"/>
              <a:gd name="connsiteX1" fmla="*/ 145473 w 284018"/>
              <a:gd name="connsiteY1" fmla="*/ 19 h 48510"/>
              <a:gd name="connsiteX2" fmla="*/ 284018 w 284018"/>
              <a:gd name="connsiteY2" fmla="*/ 48510 h 48510"/>
            </a:gdLst>
            <a:ahLst/>
            <a:cxnLst>
              <a:cxn ang="0">
                <a:pos x="connsiteX0" y="connsiteY0"/>
              </a:cxn>
              <a:cxn ang="0">
                <a:pos x="connsiteX1" y="connsiteY1"/>
              </a:cxn>
              <a:cxn ang="0">
                <a:pos x="connsiteX2" y="connsiteY2"/>
              </a:cxn>
            </a:cxnLst>
            <a:rect l="l" t="t" r="r" b="b"/>
            <a:pathLst>
              <a:path w="284018" h="48510">
                <a:moveTo>
                  <a:pt x="0" y="43892"/>
                </a:moveTo>
                <a:cubicBezTo>
                  <a:pt x="49068" y="21570"/>
                  <a:pt x="98137" y="-751"/>
                  <a:pt x="145473" y="19"/>
                </a:cubicBezTo>
                <a:cubicBezTo>
                  <a:pt x="192809" y="789"/>
                  <a:pt x="246303" y="15798"/>
                  <a:pt x="284018" y="48510"/>
                </a:cubicBezTo>
              </a:path>
            </a:pathLst>
          </a:custGeom>
          <a:ln>
            <a:prstDash val="dash"/>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GB" sz="1100"/>
          </a:p>
        </xdr:txBody>
      </xdr:sp>
    </xdr:grpSp>
    <xdr:clientData/>
  </xdr:twoCellAnchor>
  <xdr:twoCellAnchor>
    <xdr:from>
      <xdr:col>42</xdr:col>
      <xdr:colOff>20824</xdr:colOff>
      <xdr:row>23</xdr:row>
      <xdr:rowOff>9924</xdr:rowOff>
    </xdr:from>
    <xdr:to>
      <xdr:col>42</xdr:col>
      <xdr:colOff>20824</xdr:colOff>
      <xdr:row>25</xdr:row>
      <xdr:rowOff>116155</xdr:rowOff>
    </xdr:to>
    <xdr:cxnSp macro="">
      <xdr:nvCxnSpPr>
        <xdr:cNvPr id="191" name="Straight Connector 190"/>
        <xdr:cNvCxnSpPr/>
      </xdr:nvCxnSpPr>
      <xdr:spPr>
        <a:xfrm rot="16200000">
          <a:off x="5278848" y="4094020"/>
          <a:ext cx="365311" cy="0"/>
        </a:xfrm>
        <a:prstGeom prst="line">
          <a:avLst/>
        </a:prstGeom>
        <a:ln w="6350"/>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123404</xdr:colOff>
      <xdr:row>23</xdr:row>
      <xdr:rowOff>45433</xdr:rowOff>
    </xdr:from>
    <xdr:to>
      <xdr:col>42</xdr:col>
      <xdr:colOff>19628</xdr:colOff>
      <xdr:row>23</xdr:row>
      <xdr:rowOff>46857</xdr:rowOff>
    </xdr:to>
    <xdr:cxnSp macro="">
      <xdr:nvCxnSpPr>
        <xdr:cNvPr id="192" name="Straight Arrow Connector 191"/>
        <xdr:cNvCxnSpPr/>
      </xdr:nvCxnSpPr>
      <xdr:spPr>
        <a:xfrm flipH="1">
          <a:off x="5175464" y="3946873"/>
          <a:ext cx="284844" cy="1424"/>
        </a:xfrm>
        <a:prstGeom prst="straightConnector1">
          <a:avLst/>
        </a:prstGeom>
        <a:ln>
          <a:headEnd type="stealth" w="sm" len="med"/>
          <a:tailEnd type="stealth"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10231</xdr:colOff>
      <xdr:row>31</xdr:row>
      <xdr:rowOff>62524</xdr:rowOff>
    </xdr:from>
    <xdr:to>
      <xdr:col>38</xdr:col>
      <xdr:colOff>10231</xdr:colOff>
      <xdr:row>33</xdr:row>
      <xdr:rowOff>26184</xdr:rowOff>
    </xdr:to>
    <xdr:cxnSp macro="">
      <xdr:nvCxnSpPr>
        <xdr:cNvPr id="193" name="Straight Connector 192"/>
        <xdr:cNvCxnSpPr/>
      </xdr:nvCxnSpPr>
      <xdr:spPr>
        <a:xfrm rot="16200000" flipH="1">
          <a:off x="4799693" y="5097000"/>
          <a:ext cx="221568" cy="0"/>
        </a:xfrm>
        <a:prstGeom prst="line">
          <a:avLst/>
        </a:prstGeom>
        <a:ln w="6350"/>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124536</xdr:colOff>
      <xdr:row>31</xdr:row>
      <xdr:rowOff>62524</xdr:rowOff>
    </xdr:from>
    <xdr:to>
      <xdr:col>39</xdr:col>
      <xdr:colOff>124536</xdr:colOff>
      <xdr:row>33</xdr:row>
      <xdr:rowOff>30258</xdr:rowOff>
    </xdr:to>
    <xdr:cxnSp macro="">
      <xdr:nvCxnSpPr>
        <xdr:cNvPr id="194" name="Straight Connector 193"/>
        <xdr:cNvCxnSpPr/>
      </xdr:nvCxnSpPr>
      <xdr:spPr>
        <a:xfrm rot="16200000" flipH="1">
          <a:off x="5040915" y="5099037"/>
          <a:ext cx="225642" cy="0"/>
        </a:xfrm>
        <a:prstGeom prst="line">
          <a:avLst/>
        </a:prstGeom>
        <a:ln w="6350"/>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10230</xdr:colOff>
      <xdr:row>32</xdr:row>
      <xdr:rowOff>125824</xdr:rowOff>
    </xdr:from>
    <xdr:to>
      <xdr:col>39</xdr:col>
      <xdr:colOff>124536</xdr:colOff>
      <xdr:row>33</xdr:row>
      <xdr:rowOff>943</xdr:rowOff>
    </xdr:to>
    <xdr:cxnSp macro="">
      <xdr:nvCxnSpPr>
        <xdr:cNvPr id="195" name="Straight Arrow Connector 194"/>
        <xdr:cNvCxnSpPr/>
      </xdr:nvCxnSpPr>
      <xdr:spPr>
        <a:xfrm rot="16200000">
          <a:off x="5030069" y="5058877"/>
          <a:ext cx="4073" cy="243260"/>
        </a:xfrm>
        <a:prstGeom prst="straightConnector1">
          <a:avLst/>
        </a:prstGeom>
        <a:ln>
          <a:headEnd type="stealth" w="sm" len="med"/>
          <a:tailEnd type="stealth"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11188</xdr:colOff>
      <xdr:row>22</xdr:row>
      <xdr:rowOff>28355</xdr:rowOff>
    </xdr:from>
    <xdr:to>
      <xdr:col>41</xdr:col>
      <xdr:colOff>98792</xdr:colOff>
      <xdr:row>23</xdr:row>
      <xdr:rowOff>34626</xdr:rowOff>
    </xdr:to>
    <xdr:sp macro="" textlink="">
      <xdr:nvSpPr>
        <xdr:cNvPr id="196" name="TextBox 195"/>
        <xdr:cNvSpPr txBox="1"/>
      </xdr:nvSpPr>
      <xdr:spPr>
        <a:xfrm rot="16200000">
          <a:off x="5233454" y="3759589"/>
          <a:ext cx="135811" cy="217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 wrap="square" rtlCol="0" anchor="ctr" anchorCtr="1"/>
        <a:lstStyle/>
        <a:p>
          <a:r>
            <a:rPr lang="en-GB" sz="1100"/>
            <a:t>L</a:t>
          </a:r>
        </a:p>
      </xdr:txBody>
    </xdr:sp>
    <xdr:clientData/>
  </xdr:twoCellAnchor>
  <xdr:twoCellAnchor>
    <xdr:from>
      <xdr:col>37</xdr:col>
      <xdr:colOff>102870</xdr:colOff>
      <xdr:row>31</xdr:row>
      <xdr:rowOff>102909</xdr:rowOff>
    </xdr:from>
    <xdr:to>
      <xdr:col>40</xdr:col>
      <xdr:colOff>34535</xdr:colOff>
      <xdr:row>32</xdr:row>
      <xdr:rowOff>109179</xdr:rowOff>
    </xdr:to>
    <xdr:sp macro="" textlink="">
      <xdr:nvSpPr>
        <xdr:cNvPr id="197" name="TextBox 196"/>
        <xdr:cNvSpPr txBox="1"/>
      </xdr:nvSpPr>
      <xdr:spPr>
        <a:xfrm rot="16200000">
          <a:off x="4965814" y="4934949"/>
          <a:ext cx="135224" cy="318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 wrap="square" rtlCol="0" anchor="ctr" anchorCtr="1"/>
        <a:lstStyle/>
        <a:p>
          <a:r>
            <a:rPr lang="en-GB" sz="1100"/>
            <a:t>D</a:t>
          </a:r>
        </a:p>
      </xdr:txBody>
    </xdr:sp>
    <xdr:clientData/>
  </xdr:twoCellAnchor>
  <xdr:twoCellAnchor>
    <xdr:from>
      <xdr:col>43</xdr:col>
      <xdr:colOff>39393</xdr:colOff>
      <xdr:row>27</xdr:row>
      <xdr:rowOff>99060</xdr:rowOff>
    </xdr:from>
    <xdr:to>
      <xdr:col>44</xdr:col>
      <xdr:colOff>73675</xdr:colOff>
      <xdr:row>27</xdr:row>
      <xdr:rowOff>99060</xdr:rowOff>
    </xdr:to>
    <xdr:cxnSp macro="">
      <xdr:nvCxnSpPr>
        <xdr:cNvPr id="198" name="Straight Connector 197"/>
        <xdr:cNvCxnSpPr/>
      </xdr:nvCxnSpPr>
      <xdr:spPr>
        <a:xfrm rot="16200000">
          <a:off x="5666026" y="4425319"/>
          <a:ext cx="0" cy="163236"/>
        </a:xfrm>
        <a:prstGeom prst="line">
          <a:avLst/>
        </a:prstGeom>
        <a:ln w="6350"/>
      </xdr:spPr>
      <xdr:style>
        <a:lnRef idx="1">
          <a:schemeClr val="dk1"/>
        </a:lnRef>
        <a:fillRef idx="0">
          <a:schemeClr val="dk1"/>
        </a:fillRef>
        <a:effectRef idx="0">
          <a:schemeClr val="dk1"/>
        </a:effectRef>
        <a:fontRef idx="minor">
          <a:schemeClr val="tx1"/>
        </a:fontRef>
      </xdr:style>
    </xdr:cxnSp>
    <xdr:clientData/>
  </xdr:twoCellAnchor>
  <xdr:twoCellAnchor>
    <xdr:from>
      <xdr:col>43</xdr:col>
      <xdr:colOff>35437</xdr:colOff>
      <xdr:row>26</xdr:row>
      <xdr:rowOff>31689</xdr:rowOff>
    </xdr:from>
    <xdr:to>
      <xdr:col>44</xdr:col>
      <xdr:colOff>73674</xdr:colOff>
      <xdr:row>26</xdr:row>
      <xdr:rowOff>31689</xdr:rowOff>
    </xdr:to>
    <xdr:cxnSp macro="">
      <xdr:nvCxnSpPr>
        <xdr:cNvPr id="199" name="Straight Connector 198"/>
        <xdr:cNvCxnSpPr/>
      </xdr:nvCxnSpPr>
      <xdr:spPr>
        <a:xfrm rot="16200000">
          <a:off x="5664048" y="4227016"/>
          <a:ext cx="0" cy="167191"/>
        </a:xfrm>
        <a:prstGeom prst="line">
          <a:avLst/>
        </a:prstGeom>
        <a:ln w="6350"/>
      </xdr:spPr>
      <xdr:style>
        <a:lnRef idx="1">
          <a:schemeClr val="dk1"/>
        </a:lnRef>
        <a:fillRef idx="0">
          <a:schemeClr val="dk1"/>
        </a:fillRef>
        <a:effectRef idx="0">
          <a:schemeClr val="dk1"/>
        </a:effectRef>
        <a:fontRef idx="minor">
          <a:schemeClr val="tx1"/>
        </a:fontRef>
      </xdr:style>
    </xdr:cxnSp>
    <xdr:clientData/>
  </xdr:twoCellAnchor>
  <xdr:twoCellAnchor>
    <xdr:from>
      <xdr:col>44</xdr:col>
      <xdr:colOff>49943</xdr:colOff>
      <xdr:row>26</xdr:row>
      <xdr:rowOff>31691</xdr:rowOff>
    </xdr:from>
    <xdr:to>
      <xdr:col>44</xdr:col>
      <xdr:colOff>53898</xdr:colOff>
      <xdr:row>27</xdr:row>
      <xdr:rowOff>99065</xdr:rowOff>
    </xdr:to>
    <xdr:cxnSp macro="">
      <xdr:nvCxnSpPr>
        <xdr:cNvPr id="200" name="Straight Arrow Connector 199"/>
        <xdr:cNvCxnSpPr/>
      </xdr:nvCxnSpPr>
      <xdr:spPr>
        <a:xfrm rot="16200000">
          <a:off x="5627726" y="4406800"/>
          <a:ext cx="196328" cy="3955"/>
        </a:xfrm>
        <a:prstGeom prst="straightConnector1">
          <a:avLst/>
        </a:prstGeom>
        <a:ln>
          <a:headEnd type="stealth" w="sm" len="med"/>
          <a:tailEnd type="stealth"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43</xdr:col>
      <xdr:colOff>46402</xdr:colOff>
      <xdr:row>26</xdr:row>
      <xdr:rowOff>10033</xdr:rowOff>
    </xdr:from>
    <xdr:to>
      <xdr:col>44</xdr:col>
      <xdr:colOff>26134</xdr:colOff>
      <xdr:row>27</xdr:row>
      <xdr:rowOff>124251</xdr:rowOff>
    </xdr:to>
    <xdr:sp macro="" textlink="">
      <xdr:nvSpPr>
        <xdr:cNvPr id="202" name="TextBox 201"/>
        <xdr:cNvSpPr txBox="1"/>
      </xdr:nvSpPr>
      <xdr:spPr>
        <a:xfrm>
          <a:off x="5616622" y="4300093"/>
          <a:ext cx="109272" cy="243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nchorCtr="1"/>
        <a:lstStyle/>
        <a:p>
          <a:r>
            <a:rPr lang="en-GB" sz="1100"/>
            <a:t>d</a:t>
          </a:r>
        </a:p>
      </xdr:txBody>
    </xdr:sp>
    <xdr:clientData/>
  </xdr:twoCellAnchor>
  <xdr:twoCellAnchor>
    <xdr:from>
      <xdr:col>40</xdr:col>
      <xdr:colOff>25326</xdr:colOff>
      <xdr:row>28</xdr:row>
      <xdr:rowOff>57233</xdr:rowOff>
    </xdr:from>
    <xdr:to>
      <xdr:col>41</xdr:col>
      <xdr:colOff>30337</xdr:colOff>
      <xdr:row>28</xdr:row>
      <xdr:rowOff>57233</xdr:rowOff>
    </xdr:to>
    <xdr:cxnSp macro="">
      <xdr:nvCxnSpPr>
        <xdr:cNvPr id="203" name="Straight Connector 202"/>
        <xdr:cNvCxnSpPr/>
      </xdr:nvCxnSpPr>
      <xdr:spPr>
        <a:xfrm rot="16200000">
          <a:off x="5274202" y="4539097"/>
          <a:ext cx="0" cy="134551"/>
        </a:xfrm>
        <a:prstGeom prst="line">
          <a:avLst/>
        </a:prstGeom>
        <a:ln w="6350"/>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7654</xdr:colOff>
      <xdr:row>27</xdr:row>
      <xdr:rowOff>103762</xdr:rowOff>
    </xdr:from>
    <xdr:to>
      <xdr:col>41</xdr:col>
      <xdr:colOff>7654</xdr:colOff>
      <xdr:row>28</xdr:row>
      <xdr:rowOff>57232</xdr:rowOff>
    </xdr:to>
    <xdr:cxnSp macro="">
      <xdr:nvCxnSpPr>
        <xdr:cNvPr id="204" name="Straight Arrow Connector 203"/>
        <xdr:cNvCxnSpPr/>
      </xdr:nvCxnSpPr>
      <xdr:spPr>
        <a:xfrm rot="16200000" flipH="1">
          <a:off x="5277289" y="4564867"/>
          <a:ext cx="83010" cy="0"/>
        </a:xfrm>
        <a:prstGeom prst="straightConnector1">
          <a:avLst/>
        </a:prstGeom>
        <a:ln>
          <a:headEnd type="oval" w="sm" len="sm"/>
          <a:tailEnd type="none"/>
        </a:ln>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7655</xdr:colOff>
      <xdr:row>28</xdr:row>
      <xdr:rowOff>57232</xdr:rowOff>
    </xdr:from>
    <xdr:to>
      <xdr:col>41</xdr:col>
      <xdr:colOff>7655</xdr:colOff>
      <xdr:row>30</xdr:row>
      <xdr:rowOff>72037</xdr:rowOff>
    </xdr:to>
    <xdr:cxnSp macro="">
      <xdr:nvCxnSpPr>
        <xdr:cNvPr id="205" name="Straight Arrow Connector 204"/>
        <xdr:cNvCxnSpPr/>
      </xdr:nvCxnSpPr>
      <xdr:spPr>
        <a:xfrm rot="16200000">
          <a:off x="5181852" y="4743315"/>
          <a:ext cx="273885" cy="0"/>
        </a:xfrm>
        <a:prstGeom prst="straightConnector1">
          <a:avLst/>
        </a:prstGeom>
        <a:ln>
          <a:headEnd type="none" w="sm" len="med"/>
          <a:tailEnd type="stealth"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119920</xdr:colOff>
      <xdr:row>28</xdr:row>
      <xdr:rowOff>85973</xdr:rowOff>
    </xdr:from>
    <xdr:to>
      <xdr:col>40</xdr:col>
      <xdr:colOff>123112</xdr:colOff>
      <xdr:row>30</xdr:row>
      <xdr:rowOff>72037</xdr:rowOff>
    </xdr:to>
    <xdr:sp macro="" textlink="">
      <xdr:nvSpPr>
        <xdr:cNvPr id="206" name="TextBox 205"/>
        <xdr:cNvSpPr txBox="1"/>
      </xdr:nvSpPr>
      <xdr:spPr>
        <a:xfrm>
          <a:off x="5171980" y="4635113"/>
          <a:ext cx="132732" cy="245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nchorCtr="1"/>
        <a:lstStyle/>
        <a:p>
          <a:r>
            <a:rPr lang="en-GB" sz="1100"/>
            <a:t>W</a:t>
          </a:r>
        </a:p>
      </xdr:txBody>
    </xdr:sp>
    <xdr:clientData/>
  </xdr:twoCellAnchor>
  <xdr:twoCellAnchor>
    <xdr:from>
      <xdr:col>42</xdr:col>
      <xdr:colOff>18446</xdr:colOff>
      <xdr:row>27</xdr:row>
      <xdr:rowOff>102687</xdr:rowOff>
    </xdr:from>
    <xdr:to>
      <xdr:col>42</xdr:col>
      <xdr:colOff>18446</xdr:colOff>
      <xdr:row>29</xdr:row>
      <xdr:rowOff>114577</xdr:rowOff>
    </xdr:to>
    <xdr:cxnSp macro="">
      <xdr:nvCxnSpPr>
        <xdr:cNvPr id="239" name="Straight Arrow Connector 238"/>
        <xdr:cNvCxnSpPr/>
      </xdr:nvCxnSpPr>
      <xdr:spPr>
        <a:xfrm flipV="1">
          <a:off x="5459126" y="4522287"/>
          <a:ext cx="0" cy="270970"/>
        </a:xfrm>
        <a:prstGeom prst="straightConnector1">
          <a:avLst/>
        </a:prstGeom>
        <a:ln>
          <a:tailEnd type="triangle" w="med" len="lg"/>
        </a:ln>
      </xdr:spPr>
      <xdr:style>
        <a:lnRef idx="1">
          <a:schemeClr val="dk1"/>
        </a:lnRef>
        <a:fillRef idx="0">
          <a:schemeClr val="dk1"/>
        </a:fillRef>
        <a:effectRef idx="0">
          <a:schemeClr val="dk1"/>
        </a:effectRef>
        <a:fontRef idx="minor">
          <a:schemeClr val="tx1"/>
        </a:fontRef>
      </xdr:style>
    </xdr:cxnSp>
    <xdr:clientData/>
  </xdr:twoCellAnchor>
  <xdr:twoCellAnchor>
    <xdr:from>
      <xdr:col>42</xdr:col>
      <xdr:colOff>32932</xdr:colOff>
      <xdr:row>28</xdr:row>
      <xdr:rowOff>83058</xdr:rowOff>
    </xdr:from>
    <xdr:to>
      <xdr:col>43</xdr:col>
      <xdr:colOff>12467</xdr:colOff>
      <xdr:row>30</xdr:row>
      <xdr:rowOff>69122</xdr:rowOff>
    </xdr:to>
    <xdr:sp macro="" textlink="">
      <xdr:nvSpPr>
        <xdr:cNvPr id="240" name="TextBox 239"/>
        <xdr:cNvSpPr txBox="1"/>
      </xdr:nvSpPr>
      <xdr:spPr>
        <a:xfrm>
          <a:off x="5473612" y="4632198"/>
          <a:ext cx="109075" cy="245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nchorCtr="1"/>
        <a:lstStyle/>
        <a:p>
          <a:r>
            <a:rPr lang="en-GB" sz="1100"/>
            <a:t>F</a:t>
          </a:r>
        </a:p>
      </xdr:txBody>
    </xdr:sp>
    <xdr:clientData/>
  </xdr:twoCellAnchor>
  <xdr:twoCellAnchor>
    <xdr:from>
      <xdr:col>21</xdr:col>
      <xdr:colOff>6350</xdr:colOff>
      <xdr:row>34</xdr:row>
      <xdr:rowOff>6350</xdr:rowOff>
    </xdr:from>
    <xdr:to>
      <xdr:col>45</xdr:col>
      <xdr:colOff>0</xdr:colOff>
      <xdr:row>41</xdr:row>
      <xdr:rowOff>88900</xdr:rowOff>
    </xdr:to>
    <xdr:sp macro="" textlink="">
      <xdr:nvSpPr>
        <xdr:cNvPr id="277" name="TextBox 276"/>
        <xdr:cNvSpPr txBox="1"/>
      </xdr:nvSpPr>
      <xdr:spPr>
        <a:xfrm>
          <a:off x="2673350" y="5251450"/>
          <a:ext cx="3041650" cy="971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00"/>
            <a:t>NOTES:</a:t>
          </a:r>
        </a:p>
        <a:p>
          <a:r>
            <a:rPr lang="en-GB" sz="700"/>
            <a:t>Select '</a:t>
          </a:r>
          <a:r>
            <a:rPr lang="en-GB" sz="700" b="1"/>
            <a:t>Non-Ellipse</a:t>
          </a:r>
          <a:r>
            <a:rPr lang="en-GB" sz="700"/>
            <a:t>' to use corporate method, select '</a:t>
          </a:r>
          <a:r>
            <a:rPr lang="en-GB" sz="700" b="1"/>
            <a:t>Straight Pipe</a:t>
          </a:r>
          <a:r>
            <a:rPr lang="en-GB" sz="700"/>
            <a:t>' to use ellipse method on straight pipe and select '</a:t>
          </a:r>
          <a:r>
            <a:rPr lang="en-GB" sz="700" b="1"/>
            <a:t>Elbow</a:t>
          </a:r>
          <a:r>
            <a:rPr lang="en-GB" sz="700"/>
            <a:t>'</a:t>
          </a:r>
          <a:r>
            <a:rPr lang="en-GB" sz="700" baseline="0"/>
            <a:t> to use ellipse method on elbow.</a:t>
          </a:r>
        </a:p>
        <a:p>
          <a:r>
            <a:rPr lang="en-GB" sz="700" baseline="0"/>
            <a:t>'</a:t>
          </a:r>
          <a:r>
            <a:rPr lang="en-GB" sz="700" i="1" baseline="0"/>
            <a:t>OD</a:t>
          </a:r>
          <a:r>
            <a:rPr lang="en-GB" sz="700" baseline="0"/>
            <a:t>', '</a:t>
          </a:r>
          <a:r>
            <a:rPr lang="en-GB" sz="700" i="1" baseline="0"/>
            <a:t>Wall Thk</a:t>
          </a:r>
          <a:r>
            <a:rPr lang="en-GB" sz="700" baseline="0"/>
            <a:t>', '</a:t>
          </a:r>
          <a:r>
            <a:rPr lang="en-GB" sz="700" i="1" baseline="0"/>
            <a:t>Mill Tolerance</a:t>
          </a:r>
          <a:r>
            <a:rPr lang="en-GB" sz="700" baseline="0"/>
            <a:t>', '</a:t>
          </a:r>
          <a:r>
            <a:rPr lang="en-GB" sz="700" i="1" baseline="0"/>
            <a:t>Elbow Radius</a:t>
          </a:r>
          <a:r>
            <a:rPr lang="en-GB" sz="700" baseline="0"/>
            <a:t>' &amp; Loading Data '</a:t>
          </a:r>
          <a:r>
            <a:rPr lang="en-GB" sz="700" i="1" baseline="0"/>
            <a:t>Allowable Stress</a:t>
          </a:r>
          <a:r>
            <a:rPr lang="en-GB" sz="700" baseline="0"/>
            <a:t>' can be over written with user value.</a:t>
          </a:r>
        </a:p>
        <a:p>
          <a:r>
            <a:rPr lang="en-GB" sz="700" baseline="0"/>
            <a:t>'</a:t>
          </a:r>
          <a:r>
            <a:rPr lang="en-GB" sz="700" b="1" baseline="0"/>
            <a:t>Elbow</a:t>
          </a:r>
          <a:r>
            <a:rPr lang="en-GB" sz="700" baseline="0"/>
            <a:t>' method will not include re-pads.</a:t>
          </a:r>
        </a:p>
        <a:p>
          <a:r>
            <a:rPr lang="en-GB" sz="700" i="1"/>
            <a:t>'Weight and Load Tolerance</a:t>
          </a:r>
          <a:r>
            <a:rPr lang="en-GB" sz="700"/>
            <a:t>'</a:t>
          </a:r>
          <a:r>
            <a:rPr lang="en-GB" sz="700" baseline="0"/>
            <a:t> factors lookup loads.</a:t>
          </a:r>
        </a:p>
        <a:p>
          <a:r>
            <a:rPr lang="en-GB" sz="700" baseline="0"/>
            <a:t>Ensure correct sign when utilising '</a:t>
          </a:r>
          <a:r>
            <a:rPr lang="en-GB" sz="700" i="1" baseline="0"/>
            <a:t>Trunnion offset</a:t>
          </a:r>
          <a:r>
            <a:rPr lang="en-GB" sz="700" baseline="0"/>
            <a:t>'.</a:t>
          </a:r>
          <a:endParaRPr lang="en-GB" sz="7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lnDef>
      <a:spPr/>
      <a:bodyPr/>
      <a:lstStyle/>
      <a:style>
        <a:lnRef idx="1">
          <a:schemeClr val="dk1"/>
        </a:lnRef>
        <a:fillRef idx="0">
          <a:schemeClr val="dk1"/>
        </a:fillRef>
        <a:effectRef idx="0">
          <a:schemeClr val="dk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51"/>
  <sheetViews>
    <sheetView workbookViewId="0">
      <selection sqref="A1:F4"/>
    </sheetView>
  </sheetViews>
  <sheetFormatPr defaultColWidth="2.6640625" defaultRowHeight="14.4"/>
  <sheetData>
    <row r="1" spans="1:51" ht="18.600000000000001" customHeight="1">
      <c r="A1" s="196"/>
      <c r="B1" s="197"/>
      <c r="C1" s="198"/>
      <c r="D1" s="198"/>
      <c r="E1" s="198"/>
      <c r="F1" s="199"/>
      <c r="G1" s="1" t="s">
        <v>0</v>
      </c>
      <c r="H1" s="2"/>
      <c r="I1" s="7"/>
      <c r="J1" s="7"/>
      <c r="K1" s="5"/>
      <c r="L1" s="7"/>
      <c r="M1" s="7"/>
      <c r="N1" s="3" t="s">
        <v>1</v>
      </c>
      <c r="O1" s="7"/>
      <c r="P1" s="7"/>
      <c r="Q1" s="7"/>
      <c r="R1" s="4" t="s">
        <v>2</v>
      </c>
      <c r="S1" s="9"/>
      <c r="T1" s="7"/>
      <c r="U1" s="8"/>
      <c r="V1" s="1" t="s">
        <v>3</v>
      </c>
      <c r="W1" s="5"/>
      <c r="X1" s="5"/>
      <c r="Y1" s="7"/>
      <c r="Z1" s="7"/>
      <c r="AA1" s="7"/>
      <c r="AB1" s="7"/>
      <c r="AC1" s="7"/>
      <c r="AD1" s="7"/>
      <c r="AE1" s="7"/>
      <c r="AF1" s="7"/>
      <c r="AG1" s="8"/>
      <c r="AY1" s="10"/>
    </row>
    <row r="2" spans="1:51" ht="39" customHeight="1" thickBot="1">
      <c r="A2" s="200"/>
      <c r="B2" s="201"/>
      <c r="C2" s="202"/>
      <c r="D2" s="202"/>
      <c r="E2" s="202"/>
      <c r="F2" s="203"/>
      <c r="G2" s="189" t="s">
        <v>4</v>
      </c>
      <c r="H2" s="209"/>
      <c r="I2" s="209"/>
      <c r="J2" s="209"/>
      <c r="K2" s="209"/>
      <c r="L2" s="209"/>
      <c r="M2" s="210"/>
      <c r="N2" s="211" t="s">
        <v>11</v>
      </c>
      <c r="O2" s="212"/>
      <c r="P2" s="212"/>
      <c r="Q2" s="213"/>
      <c r="R2" s="189" t="s">
        <v>5</v>
      </c>
      <c r="S2" s="190"/>
      <c r="T2" s="190"/>
      <c r="U2" s="191"/>
      <c r="V2" s="186" t="s">
        <v>171</v>
      </c>
      <c r="W2" s="187"/>
      <c r="X2" s="187"/>
      <c r="Y2" s="187"/>
      <c r="Z2" s="187"/>
      <c r="AA2" s="187"/>
      <c r="AB2" s="187"/>
      <c r="AC2" s="187"/>
      <c r="AD2" s="187"/>
      <c r="AE2" s="187"/>
      <c r="AF2" s="187"/>
      <c r="AG2" s="188"/>
      <c r="AL2" s="10"/>
    </row>
    <row r="3" spans="1:51" ht="18.600000000000001" customHeight="1">
      <c r="A3" s="200"/>
      <c r="B3" s="201"/>
      <c r="C3" s="202"/>
      <c r="D3" s="202"/>
      <c r="E3" s="202"/>
      <c r="F3" s="203"/>
      <c r="G3" s="1" t="s">
        <v>6</v>
      </c>
      <c r="H3" s="6"/>
      <c r="I3" s="6"/>
      <c r="J3" s="6"/>
      <c r="K3" s="6"/>
      <c r="L3" s="6"/>
      <c r="M3" s="6"/>
      <c r="N3" s="6"/>
      <c r="O3" s="6"/>
      <c r="P3" s="6"/>
      <c r="Q3" s="2"/>
      <c r="R3" s="1" t="s">
        <v>7</v>
      </c>
      <c r="S3" s="6"/>
      <c r="T3" s="7"/>
      <c r="U3" s="8"/>
      <c r="V3" s="4" t="s">
        <v>8</v>
      </c>
      <c r="W3" s="7"/>
      <c r="X3" s="7"/>
      <c r="Y3" s="8"/>
      <c r="Z3" s="4" t="s">
        <v>9</v>
      </c>
      <c r="AA3" s="7"/>
      <c r="AB3" s="7"/>
      <c r="AC3" s="8"/>
      <c r="AD3" s="4" t="s">
        <v>10</v>
      </c>
      <c r="AE3" s="7"/>
      <c r="AF3" s="7"/>
      <c r="AG3" s="8"/>
    </row>
    <row r="4" spans="1:51" ht="37.200000000000003" customHeight="1" thickBot="1">
      <c r="A4" s="204"/>
      <c r="B4" s="205"/>
      <c r="C4" s="206"/>
      <c r="D4" s="206"/>
      <c r="E4" s="206"/>
      <c r="F4" s="207"/>
      <c r="G4" s="189" t="s">
        <v>17</v>
      </c>
      <c r="H4" s="187"/>
      <c r="I4" s="187"/>
      <c r="J4" s="187"/>
      <c r="K4" s="187"/>
      <c r="L4" s="187"/>
      <c r="M4" s="187"/>
      <c r="N4" s="187"/>
      <c r="O4" s="187"/>
      <c r="P4" s="187"/>
      <c r="Q4" s="188"/>
      <c r="R4" s="189" t="s">
        <v>12</v>
      </c>
      <c r="S4" s="190"/>
      <c r="T4" s="190"/>
      <c r="U4" s="191"/>
      <c r="V4" s="186" t="s">
        <v>15</v>
      </c>
      <c r="W4" s="187"/>
      <c r="X4" s="187"/>
      <c r="Y4" s="188"/>
      <c r="Z4" s="183">
        <v>41243</v>
      </c>
      <c r="AA4" s="184"/>
      <c r="AB4" s="184"/>
      <c r="AC4" s="185"/>
      <c r="AD4" s="180" t="s">
        <v>46</v>
      </c>
      <c r="AE4" s="181"/>
      <c r="AF4" s="181"/>
      <c r="AG4" s="182"/>
    </row>
    <row r="5" spans="1:51">
      <c r="A5" s="208" t="s">
        <v>13</v>
      </c>
      <c r="B5" s="193"/>
      <c r="C5" s="178" t="s">
        <v>16</v>
      </c>
      <c r="D5" s="192"/>
      <c r="E5" s="192"/>
      <c r="F5" s="192"/>
      <c r="G5" s="192"/>
      <c r="H5" s="192"/>
      <c r="I5" s="192"/>
      <c r="J5" s="192"/>
      <c r="K5" s="192"/>
      <c r="L5" s="192"/>
      <c r="M5" s="192"/>
      <c r="N5" s="192"/>
      <c r="O5" s="192"/>
      <c r="P5" s="192"/>
      <c r="Q5" s="192"/>
      <c r="R5" s="192"/>
      <c r="S5" s="192"/>
      <c r="T5" s="192"/>
      <c r="U5" s="192"/>
      <c r="V5" s="192"/>
      <c r="W5" s="192"/>
      <c r="X5" s="192"/>
      <c r="Y5" s="192"/>
      <c r="Z5" s="192"/>
      <c r="AA5" s="192"/>
      <c r="AB5" s="192"/>
      <c r="AC5" s="192"/>
      <c r="AD5" s="192"/>
      <c r="AE5" s="193"/>
      <c r="AF5" s="178" t="s">
        <v>14</v>
      </c>
      <c r="AG5" s="179"/>
    </row>
    <row r="6" spans="1:51">
      <c r="A6" s="62"/>
      <c r="B6" s="63"/>
      <c r="C6" s="68"/>
      <c r="D6" s="69"/>
      <c r="E6" s="69"/>
      <c r="F6" s="69"/>
      <c r="G6" s="69"/>
      <c r="H6" s="69"/>
      <c r="I6" s="69"/>
      <c r="J6" s="69"/>
      <c r="K6" s="69"/>
      <c r="L6" s="69"/>
      <c r="M6" s="69"/>
      <c r="N6" s="69"/>
      <c r="O6" s="69"/>
      <c r="P6" s="69"/>
      <c r="Q6" s="69"/>
      <c r="R6" s="69"/>
      <c r="S6" s="69"/>
      <c r="T6" s="69"/>
      <c r="U6" s="69"/>
      <c r="V6" s="69"/>
      <c r="W6" s="69"/>
      <c r="X6" s="69"/>
      <c r="Y6" s="69"/>
      <c r="Z6" s="69"/>
      <c r="AA6" s="69"/>
      <c r="AB6" s="69"/>
      <c r="AC6" s="69"/>
      <c r="AD6" s="69"/>
      <c r="AE6" s="70"/>
      <c r="AF6" s="87"/>
      <c r="AG6" s="88"/>
    </row>
    <row r="7" spans="1:51">
      <c r="A7" s="64"/>
      <c r="B7" s="65"/>
      <c r="C7" s="71"/>
      <c r="D7" s="194" t="s">
        <v>41</v>
      </c>
      <c r="E7" s="195"/>
      <c r="F7" s="195"/>
      <c r="G7" s="195"/>
      <c r="H7" s="195"/>
      <c r="I7" s="195"/>
      <c r="J7" s="195"/>
      <c r="K7" s="195"/>
      <c r="L7" s="195"/>
      <c r="M7" s="195"/>
      <c r="N7" s="195"/>
      <c r="O7" s="195"/>
      <c r="P7" s="195"/>
      <c r="Q7" s="195"/>
      <c r="R7" s="195"/>
      <c r="S7" s="195"/>
      <c r="T7" s="195"/>
      <c r="U7" s="195"/>
      <c r="V7" s="195"/>
      <c r="W7" s="195"/>
      <c r="X7" s="195"/>
      <c r="Y7" s="195"/>
      <c r="Z7" s="195"/>
      <c r="AA7" s="195"/>
      <c r="AB7" s="195"/>
      <c r="AC7" s="195"/>
      <c r="AD7" s="195"/>
      <c r="AE7" s="72"/>
      <c r="AF7" s="89"/>
      <c r="AG7" s="90"/>
    </row>
    <row r="8" spans="1:51">
      <c r="A8" s="64"/>
      <c r="B8" s="65"/>
      <c r="C8" s="71"/>
      <c r="D8" s="195"/>
      <c r="E8" s="195"/>
      <c r="F8" s="195"/>
      <c r="G8" s="195"/>
      <c r="H8" s="195"/>
      <c r="I8" s="195"/>
      <c r="J8" s="195"/>
      <c r="K8" s="195"/>
      <c r="L8" s="195"/>
      <c r="M8" s="195"/>
      <c r="N8" s="195"/>
      <c r="O8" s="195"/>
      <c r="P8" s="195"/>
      <c r="Q8" s="195"/>
      <c r="R8" s="195"/>
      <c r="S8" s="195"/>
      <c r="T8" s="195"/>
      <c r="U8" s="195"/>
      <c r="V8" s="195"/>
      <c r="W8" s="195"/>
      <c r="X8" s="195"/>
      <c r="Y8" s="195"/>
      <c r="Z8" s="195"/>
      <c r="AA8" s="195"/>
      <c r="AB8" s="195"/>
      <c r="AC8" s="195"/>
      <c r="AD8" s="195"/>
      <c r="AE8" s="72"/>
      <c r="AF8" s="89"/>
      <c r="AG8" s="90"/>
    </row>
    <row r="9" spans="1:51">
      <c r="A9" s="64"/>
      <c r="B9" s="65"/>
      <c r="C9" s="71"/>
      <c r="D9" s="195"/>
      <c r="E9" s="195"/>
      <c r="F9" s="195"/>
      <c r="G9" s="195"/>
      <c r="H9" s="195"/>
      <c r="I9" s="195"/>
      <c r="J9" s="195"/>
      <c r="K9" s="195"/>
      <c r="L9" s="195"/>
      <c r="M9" s="195"/>
      <c r="N9" s="195"/>
      <c r="O9" s="195"/>
      <c r="P9" s="195"/>
      <c r="Q9" s="195"/>
      <c r="R9" s="195"/>
      <c r="S9" s="195"/>
      <c r="T9" s="195"/>
      <c r="U9" s="195"/>
      <c r="V9" s="195"/>
      <c r="W9" s="195"/>
      <c r="X9" s="195"/>
      <c r="Y9" s="195"/>
      <c r="Z9" s="195"/>
      <c r="AA9" s="195"/>
      <c r="AB9" s="195"/>
      <c r="AC9" s="195"/>
      <c r="AD9" s="195"/>
      <c r="AE9" s="72"/>
      <c r="AF9" s="89"/>
      <c r="AG9" s="90"/>
    </row>
    <row r="10" spans="1:51">
      <c r="A10" s="64"/>
      <c r="B10" s="65"/>
      <c r="C10" s="71"/>
      <c r="D10" s="73"/>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2"/>
      <c r="AF10" s="89"/>
      <c r="AG10" s="90"/>
    </row>
    <row r="11" spans="1:51">
      <c r="A11" s="64"/>
      <c r="B11" s="65"/>
      <c r="C11" s="71"/>
      <c r="D11" s="194" t="s">
        <v>143</v>
      </c>
      <c r="E11" s="195"/>
      <c r="F11" s="195"/>
      <c r="G11" s="195"/>
      <c r="H11" s="195"/>
      <c r="I11" s="195"/>
      <c r="J11" s="195"/>
      <c r="K11" s="195"/>
      <c r="L11" s="195"/>
      <c r="M11" s="195"/>
      <c r="N11" s="195"/>
      <c r="O11" s="195"/>
      <c r="P11" s="195"/>
      <c r="Q11" s="195"/>
      <c r="R11" s="195"/>
      <c r="S11" s="195"/>
      <c r="T11" s="195"/>
      <c r="U11" s="195"/>
      <c r="V11" s="195"/>
      <c r="W11" s="195"/>
      <c r="X11" s="195"/>
      <c r="Y11" s="195"/>
      <c r="Z11" s="195"/>
      <c r="AA11" s="195"/>
      <c r="AB11" s="195"/>
      <c r="AC11" s="195"/>
      <c r="AD11" s="195"/>
      <c r="AE11" s="72"/>
      <c r="AF11" s="89"/>
      <c r="AG11" s="90"/>
    </row>
    <row r="12" spans="1:51">
      <c r="A12" s="64"/>
      <c r="B12" s="65"/>
      <c r="C12" s="71"/>
      <c r="D12" s="195"/>
      <c r="E12" s="195"/>
      <c r="F12" s="195"/>
      <c r="G12" s="195"/>
      <c r="H12" s="195"/>
      <c r="I12" s="195"/>
      <c r="J12" s="195"/>
      <c r="K12" s="195"/>
      <c r="L12" s="195"/>
      <c r="M12" s="195"/>
      <c r="N12" s="195"/>
      <c r="O12" s="195"/>
      <c r="P12" s="195"/>
      <c r="Q12" s="195"/>
      <c r="R12" s="195"/>
      <c r="S12" s="195"/>
      <c r="T12" s="195"/>
      <c r="U12" s="195"/>
      <c r="V12" s="195"/>
      <c r="W12" s="195"/>
      <c r="X12" s="195"/>
      <c r="Y12" s="195"/>
      <c r="Z12" s="195"/>
      <c r="AA12" s="195"/>
      <c r="AB12" s="195"/>
      <c r="AC12" s="195"/>
      <c r="AD12" s="195"/>
      <c r="AE12" s="72"/>
      <c r="AF12" s="89"/>
      <c r="AG12" s="90"/>
    </row>
    <row r="13" spans="1:51">
      <c r="A13" s="64"/>
      <c r="B13" s="65"/>
      <c r="C13" s="71"/>
      <c r="D13" s="73"/>
      <c r="E13" s="73"/>
      <c r="F13" s="73"/>
      <c r="G13" s="73"/>
      <c r="H13" s="73"/>
      <c r="I13" s="73"/>
      <c r="J13" s="73"/>
      <c r="K13" s="73"/>
      <c r="L13" s="73"/>
      <c r="M13" s="73"/>
      <c r="N13" s="73"/>
      <c r="O13" s="73"/>
      <c r="P13" s="73"/>
      <c r="Q13" s="73"/>
      <c r="R13" s="73"/>
      <c r="S13" s="73"/>
      <c r="T13" s="73"/>
      <c r="U13" s="73"/>
      <c r="V13" s="73"/>
      <c r="W13" s="73"/>
      <c r="X13" s="73"/>
      <c r="Y13" s="73"/>
      <c r="Z13" s="73"/>
      <c r="AA13" s="73"/>
      <c r="AB13" s="73"/>
      <c r="AC13" s="73"/>
      <c r="AD13" s="73"/>
      <c r="AE13" s="72"/>
      <c r="AF13" s="89"/>
      <c r="AG13" s="90"/>
    </row>
    <row r="14" spans="1:51">
      <c r="A14" s="64"/>
      <c r="B14" s="65"/>
      <c r="C14" s="71"/>
      <c r="D14" s="194" t="s">
        <v>42</v>
      </c>
      <c r="E14" s="195"/>
      <c r="F14" s="195"/>
      <c r="G14" s="195"/>
      <c r="H14" s="195"/>
      <c r="I14" s="195"/>
      <c r="J14" s="195"/>
      <c r="K14" s="195"/>
      <c r="L14" s="195"/>
      <c r="M14" s="195"/>
      <c r="N14" s="195"/>
      <c r="O14" s="195"/>
      <c r="P14" s="195"/>
      <c r="Q14" s="195"/>
      <c r="R14" s="195"/>
      <c r="S14" s="195"/>
      <c r="T14" s="195"/>
      <c r="U14" s="195"/>
      <c r="V14" s="195"/>
      <c r="W14" s="195"/>
      <c r="X14" s="195"/>
      <c r="Y14" s="195"/>
      <c r="Z14" s="195"/>
      <c r="AA14" s="195"/>
      <c r="AB14" s="195"/>
      <c r="AC14" s="195"/>
      <c r="AD14" s="195"/>
      <c r="AE14" s="72"/>
      <c r="AF14" s="89"/>
      <c r="AG14" s="90"/>
    </row>
    <row r="15" spans="1:51">
      <c r="A15" s="64"/>
      <c r="B15" s="65"/>
      <c r="C15" s="71"/>
      <c r="D15" s="195"/>
      <c r="E15" s="195"/>
      <c r="F15" s="195"/>
      <c r="G15" s="195"/>
      <c r="H15" s="195"/>
      <c r="I15" s="195"/>
      <c r="J15" s="195"/>
      <c r="K15" s="195"/>
      <c r="L15" s="195"/>
      <c r="M15" s="195"/>
      <c r="N15" s="195"/>
      <c r="O15" s="195"/>
      <c r="P15" s="195"/>
      <c r="Q15" s="195"/>
      <c r="R15" s="195"/>
      <c r="S15" s="195"/>
      <c r="T15" s="195"/>
      <c r="U15" s="195"/>
      <c r="V15" s="195"/>
      <c r="W15" s="195"/>
      <c r="X15" s="195"/>
      <c r="Y15" s="195"/>
      <c r="Z15" s="195"/>
      <c r="AA15" s="195"/>
      <c r="AB15" s="195"/>
      <c r="AC15" s="195"/>
      <c r="AD15" s="195"/>
      <c r="AE15" s="72"/>
      <c r="AF15" s="89"/>
      <c r="AG15" s="90"/>
    </row>
    <row r="16" spans="1:51">
      <c r="A16" s="64"/>
      <c r="B16" s="65"/>
      <c r="C16" s="71"/>
      <c r="D16" s="195"/>
      <c r="E16" s="195"/>
      <c r="F16" s="195"/>
      <c r="G16" s="195"/>
      <c r="H16" s="195"/>
      <c r="I16" s="195"/>
      <c r="J16" s="195"/>
      <c r="K16" s="195"/>
      <c r="L16" s="195"/>
      <c r="M16" s="195"/>
      <c r="N16" s="195"/>
      <c r="O16" s="195"/>
      <c r="P16" s="195"/>
      <c r="Q16" s="195"/>
      <c r="R16" s="195"/>
      <c r="S16" s="195"/>
      <c r="T16" s="195"/>
      <c r="U16" s="195"/>
      <c r="V16" s="195"/>
      <c r="W16" s="195"/>
      <c r="X16" s="195"/>
      <c r="Y16" s="195"/>
      <c r="Z16" s="195"/>
      <c r="AA16" s="195"/>
      <c r="AB16" s="195"/>
      <c r="AC16" s="195"/>
      <c r="AD16" s="195"/>
      <c r="AE16" s="72"/>
      <c r="AF16" s="89"/>
      <c r="AG16" s="90"/>
    </row>
    <row r="17" spans="1:33">
      <c r="A17" s="64"/>
      <c r="B17" s="65"/>
      <c r="C17" s="71"/>
      <c r="D17" s="73"/>
      <c r="E17" s="73"/>
      <c r="F17" s="73"/>
      <c r="G17" s="73"/>
      <c r="H17" s="73"/>
      <c r="I17" s="73"/>
      <c r="J17" s="73"/>
      <c r="K17" s="73"/>
      <c r="L17" s="73"/>
      <c r="M17" s="73"/>
      <c r="N17" s="73"/>
      <c r="O17" s="73"/>
      <c r="P17" s="73"/>
      <c r="Q17" s="73"/>
      <c r="R17" s="73"/>
      <c r="S17" s="73"/>
      <c r="T17" s="73"/>
      <c r="U17" s="73"/>
      <c r="V17" s="73"/>
      <c r="W17" s="73"/>
      <c r="X17" s="73"/>
      <c r="Y17" s="73"/>
      <c r="Z17" s="73"/>
      <c r="AA17" s="73"/>
      <c r="AB17" s="73"/>
      <c r="AC17" s="73"/>
      <c r="AD17" s="73"/>
      <c r="AE17" s="72"/>
      <c r="AF17" s="89"/>
      <c r="AG17" s="90"/>
    </row>
    <row r="18" spans="1:33">
      <c r="A18" s="64"/>
      <c r="B18" s="65"/>
      <c r="C18" s="71"/>
      <c r="D18" s="74" t="s">
        <v>43</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2"/>
      <c r="AF18" s="89"/>
      <c r="AG18" s="90"/>
    </row>
    <row r="19" spans="1:33">
      <c r="A19" s="64"/>
      <c r="B19" s="65"/>
      <c r="C19" s="71"/>
      <c r="D19" s="73"/>
      <c r="E19" s="73"/>
      <c r="F19" s="73"/>
      <c r="G19" s="73"/>
      <c r="H19" s="73"/>
      <c r="I19" s="73"/>
      <c r="J19" s="73"/>
      <c r="K19" s="73"/>
      <c r="L19" s="73"/>
      <c r="M19" s="73"/>
      <c r="N19" s="73"/>
      <c r="O19" s="73"/>
      <c r="P19" s="73"/>
      <c r="Q19" s="73"/>
      <c r="R19" s="73"/>
      <c r="S19" s="73"/>
      <c r="T19" s="73"/>
      <c r="U19" s="73"/>
      <c r="V19" s="73"/>
      <c r="W19" s="73"/>
      <c r="X19" s="73"/>
      <c r="Y19" s="73"/>
      <c r="Z19" s="73"/>
      <c r="AA19" s="73"/>
      <c r="AB19" s="73"/>
      <c r="AC19" s="73"/>
      <c r="AD19" s="73"/>
      <c r="AE19" s="72"/>
      <c r="AF19" s="89"/>
      <c r="AG19" s="90"/>
    </row>
    <row r="20" spans="1:33" ht="14.4" customHeight="1">
      <c r="A20" s="64"/>
      <c r="B20" s="65"/>
      <c r="C20" s="71"/>
      <c r="D20" s="73"/>
      <c r="E20" s="73"/>
      <c r="F20" s="73"/>
      <c r="G20" s="75" t="s">
        <v>19</v>
      </c>
      <c r="H20" s="76" t="s">
        <v>18</v>
      </c>
      <c r="I20" s="93" t="s">
        <v>26</v>
      </c>
      <c r="J20" s="73"/>
      <c r="K20" s="73"/>
      <c r="L20" s="73"/>
      <c r="M20" s="73"/>
      <c r="N20" s="73"/>
      <c r="O20" s="73"/>
      <c r="P20" s="73"/>
      <c r="Q20" s="73"/>
      <c r="R20" s="73"/>
      <c r="S20" s="73"/>
      <c r="T20" s="73"/>
      <c r="U20" s="73"/>
      <c r="V20" s="73"/>
      <c r="W20" s="73"/>
      <c r="X20" s="73"/>
      <c r="Y20" s="73"/>
      <c r="Z20" s="73"/>
      <c r="AA20" s="73"/>
      <c r="AB20" s="73"/>
      <c r="AC20" s="73"/>
      <c r="AD20" s="73"/>
      <c r="AE20" s="72"/>
      <c r="AF20" s="89"/>
      <c r="AG20" s="90"/>
    </row>
    <row r="21" spans="1:33">
      <c r="A21" s="64"/>
      <c r="B21" s="65"/>
      <c r="C21" s="71"/>
      <c r="D21" s="73"/>
      <c r="E21" s="73"/>
      <c r="F21" s="73"/>
      <c r="G21" s="73"/>
      <c r="H21" s="73"/>
      <c r="I21" s="73"/>
      <c r="J21" s="73"/>
      <c r="K21" s="73"/>
      <c r="L21" s="73"/>
      <c r="M21" s="73"/>
      <c r="N21" s="73"/>
      <c r="O21" s="73"/>
      <c r="P21" s="73"/>
      <c r="Q21" s="73"/>
      <c r="R21" s="73"/>
      <c r="S21" s="73"/>
      <c r="T21" s="73"/>
      <c r="U21" s="73"/>
      <c r="V21" s="73"/>
      <c r="W21" s="73"/>
      <c r="X21" s="73"/>
      <c r="Y21" s="73"/>
      <c r="Z21" s="73"/>
      <c r="AA21" s="73"/>
      <c r="AB21" s="73"/>
      <c r="AC21" s="73"/>
      <c r="AD21" s="73"/>
      <c r="AE21" s="72"/>
      <c r="AF21" s="89"/>
      <c r="AG21" s="90"/>
    </row>
    <row r="22" spans="1:33" ht="14.4" customHeight="1">
      <c r="A22" s="64"/>
      <c r="B22" s="65"/>
      <c r="C22" s="71"/>
      <c r="D22" s="73"/>
      <c r="E22" s="73"/>
      <c r="F22" s="73"/>
      <c r="G22" s="78" t="s">
        <v>20</v>
      </c>
      <c r="H22" s="76" t="s">
        <v>18</v>
      </c>
      <c r="I22" s="93" t="s">
        <v>21</v>
      </c>
      <c r="J22" s="73"/>
      <c r="K22" s="73"/>
      <c r="L22" s="73"/>
      <c r="M22" s="73"/>
      <c r="N22" s="73"/>
      <c r="O22" s="73"/>
      <c r="P22" s="73"/>
      <c r="Q22" s="73"/>
      <c r="R22" s="73"/>
      <c r="S22" s="73"/>
      <c r="T22" s="73"/>
      <c r="U22" s="73"/>
      <c r="V22" s="73"/>
      <c r="W22" s="73"/>
      <c r="X22" s="73"/>
      <c r="Y22" s="73"/>
      <c r="Z22" s="73"/>
      <c r="AA22" s="73"/>
      <c r="AB22" s="73"/>
      <c r="AC22" s="73"/>
      <c r="AD22" s="79" t="s">
        <v>38</v>
      </c>
      <c r="AE22" s="72"/>
      <c r="AF22" s="89"/>
      <c r="AG22" s="90"/>
    </row>
    <row r="23" spans="1:33">
      <c r="A23" s="64"/>
      <c r="B23" s="65"/>
      <c r="C23" s="71"/>
      <c r="D23" s="73"/>
      <c r="E23" s="73"/>
      <c r="F23" s="73"/>
      <c r="G23" s="73"/>
      <c r="H23" s="76"/>
      <c r="I23" s="77"/>
      <c r="J23" s="73"/>
      <c r="K23" s="73"/>
      <c r="L23" s="73"/>
      <c r="M23" s="73"/>
      <c r="N23" s="73"/>
      <c r="O23" s="73"/>
      <c r="P23" s="73"/>
      <c r="Q23" s="73"/>
      <c r="R23" s="73"/>
      <c r="S23" s="73"/>
      <c r="T23" s="73"/>
      <c r="U23" s="73"/>
      <c r="V23" s="73"/>
      <c r="W23" s="73"/>
      <c r="X23" s="73"/>
      <c r="Y23" s="73"/>
      <c r="Z23" s="73"/>
      <c r="AA23" s="73"/>
      <c r="AB23" s="73"/>
      <c r="AC23" s="73"/>
      <c r="AD23" s="73"/>
      <c r="AE23" s="72"/>
      <c r="AF23" s="89"/>
      <c r="AG23" s="90"/>
    </row>
    <row r="24" spans="1:33">
      <c r="A24" s="64"/>
      <c r="B24" s="65"/>
      <c r="C24" s="71"/>
      <c r="D24" s="73"/>
      <c r="E24" s="73" t="s">
        <v>32</v>
      </c>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72"/>
      <c r="AF24" s="89"/>
      <c r="AG24" s="90"/>
    </row>
    <row r="25" spans="1:33">
      <c r="A25" s="64"/>
      <c r="B25" s="65"/>
      <c r="C25" s="71"/>
      <c r="D25" s="73"/>
      <c r="E25" s="73"/>
      <c r="F25" s="73"/>
      <c r="G25" s="73"/>
      <c r="H25" s="73"/>
      <c r="I25" s="73"/>
      <c r="J25" s="73"/>
      <c r="K25" s="73"/>
      <c r="L25" s="73"/>
      <c r="M25" s="73"/>
      <c r="N25" s="73"/>
      <c r="O25" s="73"/>
      <c r="P25" s="73"/>
      <c r="Q25" s="73"/>
      <c r="R25" s="73"/>
      <c r="S25" s="73"/>
      <c r="T25" s="73"/>
      <c r="U25" s="73"/>
      <c r="V25" s="73"/>
      <c r="W25" s="73"/>
      <c r="X25" s="73"/>
      <c r="Y25" s="73"/>
      <c r="Z25" s="73"/>
      <c r="AA25" s="73"/>
      <c r="AB25" s="73"/>
      <c r="AC25" s="73"/>
      <c r="AD25" s="73"/>
      <c r="AE25" s="72"/>
      <c r="AF25" s="89"/>
      <c r="AG25" s="90"/>
    </row>
    <row r="26" spans="1:33" ht="14.4" customHeight="1">
      <c r="A26" s="64"/>
      <c r="B26" s="65"/>
      <c r="C26" s="71"/>
      <c r="D26" s="73"/>
      <c r="E26" s="73" t="s">
        <v>33</v>
      </c>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2"/>
      <c r="AF26" s="89"/>
      <c r="AG26" s="90"/>
    </row>
    <row r="27" spans="1:33">
      <c r="A27" s="64"/>
      <c r="B27" s="65"/>
      <c r="C27" s="71"/>
      <c r="D27" s="73"/>
      <c r="E27" s="73"/>
      <c r="F27" s="73"/>
      <c r="G27" s="73"/>
      <c r="H27" s="73"/>
      <c r="I27" s="73"/>
      <c r="J27" s="73"/>
      <c r="K27" s="73"/>
      <c r="L27" s="73"/>
      <c r="M27" s="73"/>
      <c r="N27" s="73"/>
      <c r="O27" s="73"/>
      <c r="P27" s="73"/>
      <c r="Q27" s="73"/>
      <c r="R27" s="73"/>
      <c r="S27" s="73"/>
      <c r="T27" s="73"/>
      <c r="U27" s="73"/>
      <c r="V27" s="73"/>
      <c r="W27" s="73"/>
      <c r="X27" s="73"/>
      <c r="Y27" s="73"/>
      <c r="Z27" s="73"/>
      <c r="AA27" s="73"/>
      <c r="AB27" s="73"/>
      <c r="AC27" s="73"/>
      <c r="AD27" s="73"/>
      <c r="AE27" s="72"/>
      <c r="AF27" s="89"/>
      <c r="AG27" s="90"/>
    </row>
    <row r="28" spans="1:33">
      <c r="A28" s="64"/>
      <c r="B28" s="65"/>
      <c r="C28" s="71"/>
      <c r="D28" s="73"/>
      <c r="E28" s="73"/>
      <c r="F28" s="73"/>
      <c r="G28" s="73"/>
      <c r="H28" s="73"/>
      <c r="I28" s="73"/>
      <c r="J28" s="73"/>
      <c r="K28" s="73"/>
      <c r="L28" s="78" t="s">
        <v>27</v>
      </c>
      <c r="M28" s="76" t="s">
        <v>23</v>
      </c>
      <c r="N28" s="93" t="s">
        <v>24</v>
      </c>
      <c r="O28" s="73"/>
      <c r="P28" s="73"/>
      <c r="Q28" s="73"/>
      <c r="R28" s="73"/>
      <c r="S28" s="73"/>
      <c r="T28" s="73"/>
      <c r="U28" s="73"/>
      <c r="V28" s="73"/>
      <c r="W28" s="73"/>
      <c r="X28" s="73"/>
      <c r="Y28" s="73"/>
      <c r="Z28" s="73"/>
      <c r="AA28" s="73"/>
      <c r="AB28" s="73"/>
      <c r="AC28" s="73"/>
      <c r="AD28" s="73"/>
      <c r="AE28" s="72"/>
      <c r="AF28" s="89"/>
      <c r="AG28" s="90"/>
    </row>
    <row r="29" spans="1:33">
      <c r="A29" s="64"/>
      <c r="B29" s="65"/>
      <c r="C29" s="71"/>
      <c r="D29" s="73"/>
      <c r="E29" s="73"/>
      <c r="F29" s="73"/>
      <c r="G29" s="73"/>
      <c r="H29" s="73"/>
      <c r="I29" s="73"/>
      <c r="J29" s="73"/>
      <c r="K29" s="73"/>
      <c r="L29" s="78" t="s">
        <v>28</v>
      </c>
      <c r="M29" s="76" t="s">
        <v>23</v>
      </c>
      <c r="N29" s="93" t="s">
        <v>25</v>
      </c>
      <c r="O29" s="73"/>
      <c r="P29" s="73"/>
      <c r="Q29" s="73"/>
      <c r="R29" s="73"/>
      <c r="S29" s="73"/>
      <c r="T29" s="73"/>
      <c r="U29" s="73"/>
      <c r="V29" s="73"/>
      <c r="W29" s="73"/>
      <c r="X29" s="73"/>
      <c r="Y29" s="73"/>
      <c r="Z29" s="73"/>
      <c r="AA29" s="73"/>
      <c r="AB29" s="73"/>
      <c r="AC29" s="73"/>
      <c r="AD29" s="73"/>
      <c r="AE29" s="72"/>
      <c r="AF29" s="89"/>
      <c r="AG29" s="90"/>
    </row>
    <row r="30" spans="1:33">
      <c r="A30" s="64"/>
      <c r="B30" s="65"/>
      <c r="C30" s="71"/>
      <c r="D30" s="73"/>
      <c r="E30" s="73"/>
      <c r="F30" s="73"/>
      <c r="G30" s="73"/>
      <c r="H30" s="73"/>
      <c r="I30" s="73"/>
      <c r="J30" s="73"/>
      <c r="K30" s="73"/>
      <c r="L30" s="73"/>
      <c r="M30" s="73"/>
      <c r="N30" s="73"/>
      <c r="O30" s="73"/>
      <c r="P30" s="73"/>
      <c r="Q30" s="73"/>
      <c r="R30" s="73"/>
      <c r="S30" s="73"/>
      <c r="T30" s="73"/>
      <c r="U30" s="73"/>
      <c r="V30" s="73"/>
      <c r="W30" s="73"/>
      <c r="X30" s="73"/>
      <c r="Y30" s="73"/>
      <c r="Z30" s="73"/>
      <c r="AA30" s="73"/>
      <c r="AB30" s="73"/>
      <c r="AC30" s="73"/>
      <c r="AD30" s="73"/>
      <c r="AE30" s="72"/>
      <c r="AF30" s="89"/>
      <c r="AG30" s="90"/>
    </row>
    <row r="31" spans="1:33" ht="14.4" customHeight="1">
      <c r="A31" s="64"/>
      <c r="B31" s="65"/>
      <c r="C31" s="71"/>
      <c r="D31" s="73"/>
      <c r="E31" s="73" t="s">
        <v>34</v>
      </c>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2"/>
      <c r="AF31" s="89"/>
      <c r="AG31" s="90"/>
    </row>
    <row r="32" spans="1:33" ht="14.4" customHeight="1">
      <c r="A32" s="64"/>
      <c r="B32" s="65"/>
      <c r="C32" s="71"/>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73"/>
      <c r="AD32" s="73"/>
      <c r="AE32" s="72"/>
      <c r="AF32" s="89"/>
      <c r="AG32" s="90"/>
    </row>
    <row r="33" spans="1:33" ht="14.4" customHeight="1">
      <c r="A33" s="64"/>
      <c r="B33" s="65"/>
      <c r="C33" s="71"/>
      <c r="D33" s="73"/>
      <c r="E33" s="73"/>
      <c r="F33" s="73"/>
      <c r="G33" s="73"/>
      <c r="H33" s="73"/>
      <c r="I33" s="73"/>
      <c r="J33" s="73"/>
      <c r="K33" s="73"/>
      <c r="L33" s="78" t="s">
        <v>27</v>
      </c>
      <c r="M33" s="76" t="s">
        <v>23</v>
      </c>
      <c r="N33" s="93" t="s">
        <v>130</v>
      </c>
      <c r="O33" s="73"/>
      <c r="P33" s="73"/>
      <c r="Q33" s="73"/>
      <c r="R33" s="73"/>
      <c r="S33" s="73"/>
      <c r="T33" s="73"/>
      <c r="U33" s="73"/>
      <c r="V33" s="73"/>
      <c r="W33" s="73"/>
      <c r="X33" s="73"/>
      <c r="Y33" s="73"/>
      <c r="Z33" s="73"/>
      <c r="AA33" s="73"/>
      <c r="AB33" s="73"/>
      <c r="AC33" s="73"/>
      <c r="AD33" s="73"/>
      <c r="AE33" s="72"/>
      <c r="AF33" s="89"/>
      <c r="AG33" s="90"/>
    </row>
    <row r="34" spans="1:33">
      <c r="A34" s="64"/>
      <c r="B34" s="65"/>
      <c r="C34" s="71"/>
      <c r="D34" s="73"/>
      <c r="E34" s="73"/>
      <c r="F34" s="73"/>
      <c r="G34" s="73"/>
      <c r="H34" s="73"/>
      <c r="I34" s="73"/>
      <c r="J34" s="73"/>
      <c r="K34" s="73"/>
      <c r="L34" s="78" t="s">
        <v>28</v>
      </c>
      <c r="M34" s="76" t="s">
        <v>23</v>
      </c>
      <c r="N34" s="93" t="s">
        <v>131</v>
      </c>
      <c r="O34" s="73"/>
      <c r="P34" s="73"/>
      <c r="Q34" s="73"/>
      <c r="R34" s="73"/>
      <c r="S34" s="73"/>
      <c r="T34" s="73"/>
      <c r="U34" s="73"/>
      <c r="V34" s="73"/>
      <c r="W34" s="73"/>
      <c r="X34" s="73"/>
      <c r="Y34" s="73"/>
      <c r="Z34" s="73"/>
      <c r="AA34" s="73"/>
      <c r="AB34" s="73"/>
      <c r="AC34" s="73"/>
      <c r="AD34" s="73"/>
      <c r="AE34" s="72"/>
      <c r="AF34" s="89"/>
      <c r="AG34" s="90"/>
    </row>
    <row r="35" spans="1:33">
      <c r="A35" s="64"/>
      <c r="B35" s="65"/>
      <c r="C35" s="71"/>
      <c r="D35" s="73"/>
      <c r="E35" s="73"/>
      <c r="F35" s="73"/>
      <c r="G35" s="73"/>
      <c r="H35" s="73"/>
      <c r="I35" s="73"/>
      <c r="J35" s="73"/>
      <c r="K35" s="73"/>
      <c r="L35" s="73"/>
      <c r="M35" s="73"/>
      <c r="N35" s="73"/>
      <c r="O35" s="73"/>
      <c r="P35" s="73"/>
      <c r="Q35" s="73"/>
      <c r="R35" s="73"/>
      <c r="S35" s="73"/>
      <c r="T35" s="73"/>
      <c r="U35" s="73"/>
      <c r="V35" s="73"/>
      <c r="W35" s="73"/>
      <c r="X35" s="73"/>
      <c r="Y35" s="73"/>
      <c r="Z35" s="73"/>
      <c r="AA35" s="73"/>
      <c r="AB35" s="73"/>
      <c r="AC35" s="73"/>
      <c r="AD35" s="73"/>
      <c r="AE35" s="72"/>
      <c r="AF35" s="89"/>
      <c r="AG35" s="90"/>
    </row>
    <row r="36" spans="1:33">
      <c r="A36" s="64"/>
      <c r="B36" s="65"/>
      <c r="C36" s="71"/>
      <c r="D36" s="73"/>
      <c r="E36" s="73" t="s">
        <v>35</v>
      </c>
      <c r="F36" s="73"/>
      <c r="G36" s="73"/>
      <c r="H36" s="73"/>
      <c r="I36" s="73"/>
      <c r="J36" s="73"/>
      <c r="K36" s="73"/>
      <c r="L36" s="73"/>
      <c r="M36" s="73"/>
      <c r="N36" s="73"/>
      <c r="O36" s="73"/>
      <c r="P36" s="73"/>
      <c r="Q36" s="73"/>
      <c r="R36" s="73"/>
      <c r="S36" s="73"/>
      <c r="T36" s="73"/>
      <c r="U36" s="73"/>
      <c r="V36" s="73"/>
      <c r="W36" s="73"/>
      <c r="X36" s="73"/>
      <c r="Y36" s="73"/>
      <c r="Z36" s="73"/>
      <c r="AA36" s="73"/>
      <c r="AB36" s="73"/>
      <c r="AC36" s="73"/>
      <c r="AD36" s="73"/>
      <c r="AE36" s="72"/>
      <c r="AF36" s="89"/>
      <c r="AG36" s="90"/>
    </row>
    <row r="37" spans="1:33" ht="14.4" customHeight="1">
      <c r="A37" s="64"/>
      <c r="B37" s="65"/>
      <c r="C37" s="71"/>
      <c r="D37" s="73"/>
      <c r="E37" s="73"/>
      <c r="F37" s="73"/>
      <c r="G37" s="75"/>
      <c r="H37" s="76"/>
      <c r="I37" s="77"/>
      <c r="J37" s="73"/>
      <c r="K37" s="73"/>
      <c r="L37" s="73"/>
      <c r="M37" s="73"/>
      <c r="N37" s="73"/>
      <c r="O37" s="73"/>
      <c r="P37" s="73"/>
      <c r="Q37" s="73"/>
      <c r="R37" s="73"/>
      <c r="S37" s="73"/>
      <c r="T37" s="73"/>
      <c r="U37" s="73"/>
      <c r="V37" s="73"/>
      <c r="W37" s="73"/>
      <c r="X37" s="73"/>
      <c r="Y37" s="73"/>
      <c r="Z37" s="73"/>
      <c r="AA37" s="73"/>
      <c r="AB37" s="73"/>
      <c r="AC37" s="73"/>
      <c r="AD37" s="73"/>
      <c r="AE37" s="72"/>
      <c r="AF37" s="89"/>
      <c r="AG37" s="90"/>
    </row>
    <row r="38" spans="1:33" ht="14.4" customHeight="1">
      <c r="A38" s="64"/>
      <c r="B38" s="65"/>
      <c r="C38" s="71"/>
      <c r="D38" s="73"/>
      <c r="E38" s="73"/>
      <c r="F38" s="73"/>
      <c r="G38" s="73"/>
      <c r="H38" s="73"/>
      <c r="I38" s="73"/>
      <c r="J38" s="78" t="s">
        <v>27</v>
      </c>
      <c r="K38" s="76" t="s">
        <v>23</v>
      </c>
      <c r="L38" s="93" t="s">
        <v>25</v>
      </c>
      <c r="M38" s="73"/>
      <c r="N38" s="73"/>
      <c r="O38" s="73"/>
      <c r="P38" s="73"/>
      <c r="Q38" s="73"/>
      <c r="R38" s="73"/>
      <c r="S38" s="73"/>
      <c r="T38" s="73"/>
      <c r="U38" s="73"/>
      <c r="V38" s="73"/>
      <c r="W38" s="73"/>
      <c r="X38" s="73"/>
      <c r="Y38" s="73"/>
      <c r="Z38" s="73"/>
      <c r="AA38" s="73"/>
      <c r="AB38" s="73"/>
      <c r="AC38" s="73"/>
      <c r="AD38" s="73"/>
      <c r="AE38" s="72"/>
      <c r="AF38" s="89"/>
      <c r="AG38" s="90"/>
    </row>
    <row r="39" spans="1:33" ht="14.4" customHeight="1">
      <c r="A39" s="64"/>
      <c r="B39" s="65"/>
      <c r="C39" s="71"/>
      <c r="D39" s="73"/>
      <c r="E39" s="78"/>
      <c r="F39" s="76"/>
      <c r="G39" s="77"/>
      <c r="H39" s="73"/>
      <c r="I39" s="73"/>
      <c r="J39" s="78" t="s">
        <v>28</v>
      </c>
      <c r="K39" s="76" t="s">
        <v>23</v>
      </c>
      <c r="L39" s="93" t="s">
        <v>132</v>
      </c>
      <c r="M39" s="73"/>
      <c r="N39" s="73"/>
      <c r="O39" s="73"/>
      <c r="P39" s="73"/>
      <c r="Q39" s="73"/>
      <c r="R39" s="73"/>
      <c r="S39" s="73"/>
      <c r="T39" s="73"/>
      <c r="U39" s="73"/>
      <c r="V39" s="73"/>
      <c r="W39" s="73"/>
      <c r="X39" s="73"/>
      <c r="Y39" s="73"/>
      <c r="Z39" s="73"/>
      <c r="AA39" s="73"/>
      <c r="AB39" s="73"/>
      <c r="AC39" s="73"/>
      <c r="AD39" s="80"/>
      <c r="AE39" s="72"/>
      <c r="AF39" s="89"/>
      <c r="AG39" s="90"/>
    </row>
    <row r="40" spans="1:33" ht="14.4" customHeight="1">
      <c r="A40" s="64"/>
      <c r="B40" s="65"/>
      <c r="C40" s="71"/>
      <c r="D40" s="73"/>
      <c r="E40" s="73"/>
      <c r="F40" s="73"/>
      <c r="G40" s="73"/>
      <c r="H40" s="73"/>
      <c r="I40" s="73"/>
      <c r="J40" s="73"/>
      <c r="K40" s="73"/>
      <c r="L40" s="73"/>
      <c r="M40" s="73"/>
      <c r="N40" s="73"/>
      <c r="O40" s="73"/>
      <c r="P40" s="73"/>
      <c r="Q40" s="73"/>
      <c r="R40" s="73"/>
      <c r="S40" s="73"/>
      <c r="T40" s="73" t="s">
        <v>22</v>
      </c>
      <c r="U40" s="73"/>
      <c r="V40" s="73"/>
      <c r="W40" s="81" t="s">
        <v>45</v>
      </c>
      <c r="X40" s="76" t="s">
        <v>23</v>
      </c>
      <c r="Y40" s="73" t="s">
        <v>44</v>
      </c>
      <c r="Z40" s="73"/>
      <c r="AA40" s="73"/>
      <c r="AB40" s="73"/>
      <c r="AC40" s="73"/>
      <c r="AD40" s="73"/>
      <c r="AE40" s="72"/>
      <c r="AF40" s="89"/>
      <c r="AG40" s="90"/>
    </row>
    <row r="41" spans="1:33">
      <c r="A41" s="64"/>
      <c r="B41" s="65"/>
      <c r="C41" s="71"/>
      <c r="D41" s="73"/>
      <c r="E41" s="73"/>
      <c r="F41" s="73"/>
      <c r="G41" s="73"/>
      <c r="H41" s="73"/>
      <c r="I41" s="73"/>
      <c r="J41" s="73"/>
      <c r="K41" s="73"/>
      <c r="L41" s="73"/>
      <c r="M41" s="73"/>
      <c r="N41" s="73"/>
      <c r="O41" s="73"/>
      <c r="P41" s="73"/>
      <c r="Q41" s="73"/>
      <c r="R41" s="73"/>
      <c r="S41" s="73"/>
      <c r="T41" s="73"/>
      <c r="U41" s="73"/>
      <c r="V41" s="73"/>
      <c r="W41" s="81" t="s">
        <v>39</v>
      </c>
      <c r="X41" s="76" t="s">
        <v>23</v>
      </c>
      <c r="Y41" s="73" t="s">
        <v>40</v>
      </c>
      <c r="Z41" s="73"/>
      <c r="AA41" s="73"/>
      <c r="AB41" s="73"/>
      <c r="AC41" s="73"/>
      <c r="AD41" s="73"/>
      <c r="AE41" s="72"/>
      <c r="AF41" s="89"/>
      <c r="AG41" s="90"/>
    </row>
    <row r="42" spans="1:33">
      <c r="A42" s="64"/>
      <c r="B42" s="65"/>
      <c r="C42" s="71"/>
      <c r="D42" s="73"/>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2"/>
      <c r="AF42" s="89"/>
      <c r="AG42" s="90"/>
    </row>
    <row r="43" spans="1:33">
      <c r="A43" s="64"/>
      <c r="B43" s="65"/>
      <c r="C43" s="71"/>
      <c r="D43" s="73"/>
      <c r="E43" s="73"/>
      <c r="F43" s="73"/>
      <c r="G43" s="73"/>
      <c r="H43" s="73"/>
      <c r="I43" s="73"/>
      <c r="J43" s="73"/>
      <c r="K43" s="73"/>
      <c r="L43" s="73"/>
      <c r="M43" s="73"/>
      <c r="N43" s="73"/>
      <c r="O43" s="73"/>
      <c r="P43" s="73"/>
      <c r="Q43" s="73"/>
      <c r="R43" s="73"/>
      <c r="S43" s="73"/>
      <c r="T43" s="73"/>
      <c r="U43" s="73"/>
      <c r="V43" s="73"/>
      <c r="W43" s="73"/>
      <c r="X43" s="73"/>
      <c r="Y43" s="73"/>
      <c r="Z43" s="73"/>
      <c r="AA43" s="73"/>
      <c r="AB43" s="73"/>
      <c r="AC43" s="73"/>
      <c r="AD43" s="73"/>
      <c r="AE43" s="72"/>
      <c r="AF43" s="89"/>
      <c r="AG43" s="90"/>
    </row>
    <row r="44" spans="1:33">
      <c r="A44" s="64"/>
      <c r="B44" s="65"/>
      <c r="C44" s="71"/>
      <c r="D44" s="73"/>
      <c r="E44" s="73"/>
      <c r="F44" s="73"/>
      <c r="G44" s="73"/>
      <c r="H44" s="73"/>
      <c r="I44" s="73"/>
      <c r="J44" s="73"/>
      <c r="K44" s="73"/>
      <c r="L44" s="73"/>
      <c r="M44" s="73"/>
      <c r="N44" s="73"/>
      <c r="O44" s="73"/>
      <c r="P44" s="73"/>
      <c r="Q44" s="73"/>
      <c r="R44" s="73"/>
      <c r="S44" s="73"/>
      <c r="T44" s="73"/>
      <c r="U44" s="73"/>
      <c r="V44" s="73"/>
      <c r="W44" s="73"/>
      <c r="X44" s="73"/>
      <c r="Y44" s="73"/>
      <c r="Z44" s="73"/>
      <c r="AA44" s="73"/>
      <c r="AB44" s="73"/>
      <c r="AC44" s="73"/>
      <c r="AD44" s="73"/>
      <c r="AE44" s="72"/>
      <c r="AF44" s="89"/>
      <c r="AG44" s="90"/>
    </row>
    <row r="45" spans="1:33">
      <c r="A45" s="64"/>
      <c r="B45" s="65"/>
      <c r="C45" s="71"/>
      <c r="D45" s="73"/>
      <c r="E45" s="73"/>
      <c r="F45" s="73"/>
      <c r="G45" s="73"/>
      <c r="H45" s="73"/>
      <c r="I45" s="73"/>
      <c r="J45" s="73"/>
      <c r="K45" s="73"/>
      <c r="L45" s="73"/>
      <c r="M45" s="73"/>
      <c r="N45" s="73"/>
      <c r="O45" s="73"/>
      <c r="P45" s="73"/>
      <c r="Q45" s="73"/>
      <c r="R45" s="73"/>
      <c r="S45" s="73"/>
      <c r="T45" s="73"/>
      <c r="U45" s="73"/>
      <c r="V45" s="73"/>
      <c r="W45" s="73"/>
      <c r="X45" s="73"/>
      <c r="Y45" s="73"/>
      <c r="Z45" s="73"/>
      <c r="AA45" s="73"/>
      <c r="AB45" s="73"/>
      <c r="AC45" s="73"/>
      <c r="AD45" s="73"/>
      <c r="AE45" s="72"/>
      <c r="AF45" s="89"/>
      <c r="AG45" s="90"/>
    </row>
    <row r="46" spans="1:33">
      <c r="A46" s="64"/>
      <c r="B46" s="65"/>
      <c r="C46" s="71"/>
      <c r="D46" s="73"/>
      <c r="E46" s="73"/>
      <c r="F46" s="73"/>
      <c r="G46" s="73"/>
      <c r="H46" s="73"/>
      <c r="I46" s="73"/>
      <c r="J46" s="73"/>
      <c r="K46" s="73"/>
      <c r="L46" s="73"/>
      <c r="M46" s="73"/>
      <c r="N46" s="73"/>
      <c r="O46" s="73"/>
      <c r="P46" s="73"/>
      <c r="Q46" s="73"/>
      <c r="R46" s="73"/>
      <c r="S46" s="73"/>
      <c r="T46" s="73"/>
      <c r="U46" s="73"/>
      <c r="V46" s="73"/>
      <c r="W46" s="73"/>
      <c r="X46" s="73"/>
      <c r="Y46" s="73"/>
      <c r="Z46" s="73"/>
      <c r="AA46" s="73"/>
      <c r="AB46" s="73"/>
      <c r="AC46" s="73"/>
      <c r="AD46" s="73"/>
      <c r="AE46" s="72"/>
      <c r="AF46" s="89"/>
      <c r="AG46" s="90"/>
    </row>
    <row r="47" spans="1:33">
      <c r="A47" s="64"/>
      <c r="B47" s="65"/>
      <c r="C47" s="71"/>
      <c r="D47" s="82" t="s">
        <v>29</v>
      </c>
      <c r="E47" s="73"/>
      <c r="F47" s="73"/>
      <c r="G47" s="73"/>
      <c r="H47" s="73"/>
      <c r="I47" s="73"/>
      <c r="J47" s="73"/>
      <c r="K47" s="73"/>
      <c r="L47" s="73"/>
      <c r="M47" s="73"/>
      <c r="N47" s="73"/>
      <c r="O47" s="73"/>
      <c r="P47" s="73"/>
      <c r="Q47" s="73"/>
      <c r="R47" s="73"/>
      <c r="S47" s="73"/>
      <c r="T47" s="73"/>
      <c r="U47" s="73"/>
      <c r="V47" s="73"/>
      <c r="W47" s="73"/>
      <c r="X47" s="73"/>
      <c r="Y47" s="73"/>
      <c r="Z47" s="73"/>
      <c r="AA47" s="73"/>
      <c r="AB47" s="73"/>
      <c r="AC47" s="73"/>
      <c r="AD47" s="73"/>
      <c r="AE47" s="72"/>
      <c r="AF47" s="89"/>
      <c r="AG47" s="90"/>
    </row>
    <row r="48" spans="1:33">
      <c r="A48" s="64"/>
      <c r="B48" s="65"/>
      <c r="C48" s="71"/>
      <c r="D48" s="83" t="s">
        <v>30</v>
      </c>
      <c r="E48" s="79" t="s">
        <v>31</v>
      </c>
      <c r="F48" s="73"/>
      <c r="G48" s="73"/>
      <c r="H48" s="73"/>
      <c r="I48" s="73"/>
      <c r="J48" s="73"/>
      <c r="K48" s="73"/>
      <c r="L48" s="73"/>
      <c r="M48" s="73"/>
      <c r="N48" s="73"/>
      <c r="O48" s="73"/>
      <c r="P48" s="73"/>
      <c r="Q48" s="73"/>
      <c r="R48" s="73"/>
      <c r="S48" s="73"/>
      <c r="T48" s="73"/>
      <c r="U48" s="73"/>
      <c r="V48" s="73"/>
      <c r="W48" s="73"/>
      <c r="X48" s="73"/>
      <c r="Y48" s="73"/>
      <c r="Z48" s="73"/>
      <c r="AA48" s="73"/>
      <c r="AB48" s="73"/>
      <c r="AC48" s="73"/>
      <c r="AD48" s="73"/>
      <c r="AE48" s="72"/>
      <c r="AF48" s="89"/>
      <c r="AG48" s="90"/>
    </row>
    <row r="49" spans="1:33">
      <c r="A49" s="64"/>
      <c r="B49" s="65"/>
      <c r="C49" s="71"/>
      <c r="D49" s="83" t="s">
        <v>36</v>
      </c>
      <c r="E49" s="79" t="s">
        <v>37</v>
      </c>
      <c r="F49" s="73"/>
      <c r="G49" s="73"/>
      <c r="H49" s="73"/>
      <c r="I49" s="73"/>
      <c r="J49" s="73"/>
      <c r="K49" s="73"/>
      <c r="L49" s="73"/>
      <c r="M49" s="73"/>
      <c r="N49" s="73"/>
      <c r="O49" s="73"/>
      <c r="P49" s="73"/>
      <c r="Q49" s="73"/>
      <c r="R49" s="73"/>
      <c r="S49" s="73"/>
      <c r="T49" s="73"/>
      <c r="U49" s="73"/>
      <c r="V49" s="73"/>
      <c r="W49" s="73"/>
      <c r="X49" s="73"/>
      <c r="Y49" s="73"/>
      <c r="Z49" s="73"/>
      <c r="AA49" s="73"/>
      <c r="AB49" s="73"/>
      <c r="AC49" s="73"/>
      <c r="AD49" s="73"/>
      <c r="AE49" s="72"/>
      <c r="AF49" s="89"/>
      <c r="AG49" s="90"/>
    </row>
    <row r="50" spans="1:33">
      <c r="A50" s="64"/>
      <c r="B50" s="65"/>
      <c r="C50" s="71"/>
      <c r="D50" s="73"/>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2"/>
      <c r="AF50" s="89"/>
      <c r="AG50" s="90"/>
    </row>
    <row r="51" spans="1:33" ht="15" thickBot="1">
      <c r="A51" s="66"/>
      <c r="B51" s="67"/>
      <c r="C51" s="84"/>
      <c r="D51" s="85"/>
      <c r="E51" s="85"/>
      <c r="F51" s="85"/>
      <c r="G51" s="85"/>
      <c r="H51" s="85"/>
      <c r="I51" s="85"/>
      <c r="J51" s="85"/>
      <c r="K51" s="85"/>
      <c r="L51" s="85"/>
      <c r="M51" s="85"/>
      <c r="N51" s="85"/>
      <c r="O51" s="85"/>
      <c r="P51" s="85"/>
      <c r="Q51" s="85"/>
      <c r="R51" s="85"/>
      <c r="S51" s="85"/>
      <c r="T51" s="85"/>
      <c r="U51" s="85"/>
      <c r="V51" s="85"/>
      <c r="W51" s="85"/>
      <c r="X51" s="85"/>
      <c r="Y51" s="85"/>
      <c r="Z51" s="85"/>
      <c r="AA51" s="85"/>
      <c r="AB51" s="85"/>
      <c r="AC51" s="85"/>
      <c r="AD51" s="85"/>
      <c r="AE51" s="86"/>
      <c r="AF51" s="91"/>
      <c r="AG51" s="92"/>
    </row>
  </sheetData>
  <sheetProtection password="8C51" sheet="1" objects="1" scenarios="1" selectLockedCells="1"/>
  <mergeCells count="16">
    <mergeCell ref="D7:AD9"/>
    <mergeCell ref="D11:AD12"/>
    <mergeCell ref="D14:AD16"/>
    <mergeCell ref="A1:F4"/>
    <mergeCell ref="A5:B5"/>
    <mergeCell ref="G2:M2"/>
    <mergeCell ref="G4:Q4"/>
    <mergeCell ref="N2:Q2"/>
    <mergeCell ref="AF5:AG5"/>
    <mergeCell ref="AD4:AG4"/>
    <mergeCell ref="Z4:AC4"/>
    <mergeCell ref="V4:Y4"/>
    <mergeCell ref="R2:U2"/>
    <mergeCell ref="R4:U4"/>
    <mergeCell ref="V2:AG2"/>
    <mergeCell ref="C5:AE5"/>
  </mergeCells>
  <pageMargins left="1.1417322834645669" right="0" top="0.15748031496062992" bottom="0.35433070866141736" header="0" footer="0"/>
  <pageSetup paperSize="9" orientation="portrait" r:id="rId1"/>
  <headerFooter>
    <oddFooter>&amp;L&amp;8© Petrofac Engineering Ltd&amp;R&amp;8&amp;F</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B77"/>
  <sheetViews>
    <sheetView tabSelected="1" zoomScale="120" zoomScaleNormal="120" workbookViewId="0">
      <selection activeCell="AE5" sqref="AE5:AJ5"/>
    </sheetView>
  </sheetViews>
  <sheetFormatPr defaultColWidth="0" defaultRowHeight="0" customHeight="1" zeroHeight="1"/>
  <cols>
    <col min="1" max="74" width="1.88671875" style="102" customWidth="1"/>
    <col min="75" max="16384" width="1.88671875" style="102" hidden="1"/>
  </cols>
  <sheetData>
    <row r="1" spans="1:80" s="100" customFormat="1" ht="18.600000000000001" customHeight="1">
      <c r="A1" s="256"/>
      <c r="B1" s="257"/>
      <c r="C1" s="258"/>
      <c r="D1" s="258"/>
      <c r="E1" s="258"/>
      <c r="F1" s="258"/>
      <c r="G1" s="258"/>
      <c r="H1" s="259"/>
      <c r="I1" s="107" t="s">
        <v>0</v>
      </c>
      <c r="J1" s="108"/>
      <c r="K1" s="109"/>
      <c r="L1" s="109"/>
      <c r="M1" s="109"/>
      <c r="N1" s="109"/>
      <c r="O1" s="109"/>
      <c r="P1" s="110"/>
      <c r="Q1" s="109"/>
      <c r="R1" s="109"/>
      <c r="S1" s="111" t="s">
        <v>1</v>
      </c>
      <c r="T1" s="109"/>
      <c r="U1" s="109"/>
      <c r="V1" s="109"/>
      <c r="W1" s="109"/>
      <c r="X1" s="109"/>
      <c r="Y1" s="112" t="s">
        <v>2</v>
      </c>
      <c r="Z1" s="113"/>
      <c r="AA1" s="113"/>
      <c r="AB1" s="113"/>
      <c r="AC1" s="109"/>
      <c r="AD1" s="114"/>
      <c r="AE1" s="107" t="s">
        <v>3</v>
      </c>
      <c r="AF1" s="110"/>
      <c r="AG1" s="110"/>
      <c r="AH1" s="110"/>
      <c r="AI1" s="110"/>
      <c r="AJ1" s="109"/>
      <c r="AK1" s="109"/>
      <c r="AL1" s="109"/>
      <c r="AM1" s="109"/>
      <c r="AN1" s="109"/>
      <c r="AO1" s="109"/>
      <c r="AP1" s="109"/>
      <c r="AQ1" s="109"/>
      <c r="AR1" s="109"/>
      <c r="AS1" s="109"/>
      <c r="AT1" s="109"/>
      <c r="AU1" s="109"/>
      <c r="AV1" s="114"/>
    </row>
    <row r="2" spans="1:80" s="100" customFormat="1" ht="39" customHeight="1" thickBot="1">
      <c r="A2" s="260"/>
      <c r="B2" s="261"/>
      <c r="C2" s="262"/>
      <c r="D2" s="262"/>
      <c r="E2" s="262"/>
      <c r="F2" s="262"/>
      <c r="G2" s="262"/>
      <c r="H2" s="263"/>
      <c r="I2" s="247" t="str">
        <f>Notes!G2</f>
        <v>GREATER STELLA AREA DEVELOPMENT</v>
      </c>
      <c r="J2" s="268"/>
      <c r="K2" s="268"/>
      <c r="L2" s="268"/>
      <c r="M2" s="268"/>
      <c r="N2" s="268"/>
      <c r="O2" s="268"/>
      <c r="P2" s="268"/>
      <c r="Q2" s="268"/>
      <c r="R2" s="269"/>
      <c r="S2" s="270" t="str">
        <f>Notes!N2</f>
        <v>JU11805D</v>
      </c>
      <c r="T2" s="271"/>
      <c r="U2" s="271"/>
      <c r="V2" s="271"/>
      <c r="W2" s="271"/>
      <c r="X2" s="272"/>
      <c r="Y2" s="247" t="str">
        <f>Notes!R2</f>
        <v>ITHACA ENERGY</v>
      </c>
      <c r="Z2" s="248"/>
      <c r="AA2" s="248"/>
      <c r="AB2" s="248"/>
      <c r="AC2" s="248"/>
      <c r="AD2" s="249"/>
      <c r="AE2" s="244" t="str">
        <f>Notes!V2</f>
        <v>FPF1-HC-007</v>
      </c>
      <c r="AF2" s="245"/>
      <c r="AG2" s="245"/>
      <c r="AH2" s="245"/>
      <c r="AI2" s="245"/>
      <c r="AJ2" s="245"/>
      <c r="AK2" s="245"/>
      <c r="AL2" s="245"/>
      <c r="AM2" s="245"/>
      <c r="AN2" s="245"/>
      <c r="AO2" s="245"/>
      <c r="AP2" s="245"/>
      <c r="AQ2" s="245"/>
      <c r="AR2" s="245"/>
      <c r="AS2" s="245"/>
      <c r="AT2" s="245"/>
      <c r="AU2" s="245"/>
      <c r="AV2" s="246"/>
      <c r="BA2" s="101"/>
    </row>
    <row r="3" spans="1:80" s="100" customFormat="1" ht="18.600000000000001" customHeight="1">
      <c r="A3" s="260"/>
      <c r="B3" s="261"/>
      <c r="C3" s="262"/>
      <c r="D3" s="262"/>
      <c r="E3" s="262"/>
      <c r="F3" s="262"/>
      <c r="G3" s="262"/>
      <c r="H3" s="263"/>
      <c r="I3" s="107" t="s">
        <v>6</v>
      </c>
      <c r="J3" s="115"/>
      <c r="K3" s="115"/>
      <c r="L3" s="115"/>
      <c r="M3" s="115"/>
      <c r="N3" s="115"/>
      <c r="O3" s="115"/>
      <c r="P3" s="115"/>
      <c r="Q3" s="115"/>
      <c r="R3" s="115"/>
      <c r="S3" s="115"/>
      <c r="T3" s="115"/>
      <c r="U3" s="115"/>
      <c r="V3" s="115"/>
      <c r="W3" s="115"/>
      <c r="X3" s="108"/>
      <c r="Y3" s="107" t="s">
        <v>7</v>
      </c>
      <c r="Z3" s="115"/>
      <c r="AA3" s="115"/>
      <c r="AB3" s="115"/>
      <c r="AC3" s="109"/>
      <c r="AD3" s="114"/>
      <c r="AE3" s="112" t="s">
        <v>8</v>
      </c>
      <c r="AF3" s="109"/>
      <c r="AG3" s="109"/>
      <c r="AH3" s="109"/>
      <c r="AI3" s="109"/>
      <c r="AJ3" s="114"/>
      <c r="AK3" s="112" t="s">
        <v>9</v>
      </c>
      <c r="AL3" s="109"/>
      <c r="AM3" s="109"/>
      <c r="AN3" s="109"/>
      <c r="AO3" s="109"/>
      <c r="AP3" s="114"/>
      <c r="AQ3" s="112" t="s">
        <v>10</v>
      </c>
      <c r="AR3" s="109"/>
      <c r="AS3" s="109"/>
      <c r="AT3" s="109"/>
      <c r="AU3" s="109"/>
      <c r="AV3" s="114"/>
    </row>
    <row r="4" spans="1:80" s="100" customFormat="1" ht="37.200000000000003" customHeight="1" thickBot="1">
      <c r="A4" s="264"/>
      <c r="B4" s="265"/>
      <c r="C4" s="266"/>
      <c r="D4" s="266"/>
      <c r="E4" s="266"/>
      <c r="F4" s="266"/>
      <c r="G4" s="266"/>
      <c r="H4" s="267"/>
      <c r="I4" s="247" t="str">
        <f>Notes!G4</f>
        <v>Trunnion Calculation
Ellipse Method</v>
      </c>
      <c r="J4" s="245"/>
      <c r="K4" s="245"/>
      <c r="L4" s="245"/>
      <c r="M4" s="245"/>
      <c r="N4" s="245"/>
      <c r="O4" s="245"/>
      <c r="P4" s="245"/>
      <c r="Q4" s="245"/>
      <c r="R4" s="245"/>
      <c r="S4" s="245"/>
      <c r="T4" s="245"/>
      <c r="U4" s="245"/>
      <c r="V4" s="245"/>
      <c r="W4" s="245"/>
      <c r="X4" s="246"/>
      <c r="Y4" s="247" t="str">
        <f>Notes!R4</f>
        <v>Piping Stress</v>
      </c>
      <c r="Z4" s="248"/>
      <c r="AA4" s="248"/>
      <c r="AB4" s="248"/>
      <c r="AC4" s="248"/>
      <c r="AD4" s="249"/>
      <c r="AE4" s="244" t="str">
        <f>Notes!V4</f>
        <v>A</v>
      </c>
      <c r="AF4" s="245"/>
      <c r="AG4" s="245"/>
      <c r="AH4" s="245"/>
      <c r="AI4" s="245"/>
      <c r="AJ4" s="246"/>
      <c r="AK4" s="250">
        <f>Notes!Z4</f>
        <v>41243</v>
      </c>
      <c r="AL4" s="251"/>
      <c r="AM4" s="251"/>
      <c r="AN4" s="251"/>
      <c r="AO4" s="251"/>
      <c r="AP4" s="252"/>
      <c r="AQ4" s="253" t="str">
        <f>IF(COUNT(BE11:BE60)=0,"1 of 1",CB7&amp;" of "&amp;COUNT(BE11:BE60))</f>
        <v>1 of 1</v>
      </c>
      <c r="AR4" s="254"/>
      <c r="AS4" s="254"/>
      <c r="AT4" s="254"/>
      <c r="AU4" s="254"/>
      <c r="AV4" s="255"/>
    </row>
    <row r="5" spans="1:80" ht="10.199999999999999" customHeight="1">
      <c r="A5" s="273" t="s">
        <v>13</v>
      </c>
      <c r="B5" s="274"/>
      <c r="C5" s="116"/>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8" t="s">
        <v>169</v>
      </c>
      <c r="AE5" s="214" t="s">
        <v>180</v>
      </c>
      <c r="AF5" s="215"/>
      <c r="AG5" s="215"/>
      <c r="AH5" s="215"/>
      <c r="AI5" s="215"/>
      <c r="AJ5" s="216"/>
      <c r="AK5" s="229" t="s">
        <v>168</v>
      </c>
      <c r="AL5" s="230"/>
      <c r="AM5" s="230"/>
      <c r="AN5" s="230"/>
      <c r="AO5" s="230"/>
      <c r="AP5" s="231"/>
      <c r="AQ5" s="215"/>
      <c r="AR5" s="215"/>
      <c r="AS5" s="215"/>
      <c r="AT5" s="216"/>
      <c r="AU5" s="295" t="s">
        <v>14</v>
      </c>
      <c r="AV5" s="296"/>
    </row>
    <row r="6" spans="1:80" ht="10.199999999999999" customHeight="1">
      <c r="A6" s="119"/>
      <c r="B6" s="120"/>
      <c r="C6" s="121"/>
      <c r="D6" s="122"/>
      <c r="E6" s="122"/>
      <c r="F6" s="122"/>
      <c r="G6" s="122"/>
      <c r="H6" s="122"/>
      <c r="I6" s="122"/>
      <c r="J6" s="122"/>
      <c r="K6" s="122"/>
      <c r="L6" s="122"/>
      <c r="M6" s="122"/>
      <c r="N6" s="122"/>
      <c r="O6" s="122"/>
      <c r="P6" s="122"/>
      <c r="Q6" s="122"/>
      <c r="R6" s="122"/>
      <c r="S6" s="122"/>
      <c r="T6" s="122"/>
      <c r="U6" s="122"/>
      <c r="V6" s="122"/>
      <c r="W6" s="122"/>
      <c r="X6" s="122"/>
      <c r="Y6" s="122"/>
      <c r="Z6" s="122"/>
      <c r="AA6" s="122"/>
      <c r="AB6" s="122"/>
      <c r="AC6" s="122"/>
      <c r="AD6" s="122"/>
      <c r="AE6" s="122"/>
      <c r="AF6" s="122"/>
      <c r="AG6" s="122"/>
      <c r="AH6" s="122"/>
      <c r="AI6" s="122"/>
      <c r="AJ6" s="122"/>
      <c r="AK6" s="122"/>
      <c r="AL6" s="122"/>
      <c r="AM6" s="122"/>
      <c r="AN6" s="122"/>
      <c r="AO6" s="122"/>
      <c r="AP6" s="122"/>
      <c r="AQ6" s="122"/>
      <c r="AR6" s="123" t="s">
        <v>75</v>
      </c>
      <c r="AS6" s="123"/>
      <c r="AT6" s="124"/>
      <c r="AU6" s="121"/>
      <c r="AV6" s="125"/>
    </row>
    <row r="7" spans="1:80" ht="10.199999999999999" customHeight="1">
      <c r="A7" s="126"/>
      <c r="B7" s="127"/>
      <c r="C7" s="128"/>
      <c r="D7" s="129" t="s">
        <v>124</v>
      </c>
      <c r="E7" s="130"/>
      <c r="F7" s="130"/>
      <c r="G7" s="130"/>
      <c r="H7" s="130"/>
      <c r="I7" s="130"/>
      <c r="J7" s="130"/>
      <c r="K7" s="130"/>
      <c r="L7" s="130"/>
      <c r="M7" s="130"/>
      <c r="N7" s="130"/>
      <c r="O7" s="130"/>
      <c r="P7" s="130"/>
      <c r="Q7" s="130"/>
      <c r="R7" s="130"/>
      <c r="S7" s="130"/>
      <c r="T7" s="130"/>
      <c r="U7" s="130"/>
      <c r="V7" s="130"/>
      <c r="W7" s="130"/>
      <c r="X7" s="130"/>
      <c r="Y7" s="130"/>
      <c r="Z7" s="130"/>
      <c r="AA7" s="130"/>
      <c r="AB7" s="130"/>
      <c r="AC7" s="130"/>
      <c r="AD7" s="130"/>
      <c r="AE7" s="130"/>
      <c r="AF7" s="130"/>
      <c r="AG7" s="130"/>
      <c r="AH7" s="130"/>
      <c r="AI7" s="130"/>
      <c r="AJ7" s="130"/>
      <c r="AK7" s="130"/>
      <c r="AL7" s="130"/>
      <c r="AM7" s="130"/>
      <c r="AN7" s="130"/>
      <c r="AO7" s="130"/>
      <c r="AP7" s="130"/>
      <c r="AQ7" s="130"/>
      <c r="AR7" s="130"/>
      <c r="AS7" s="130"/>
      <c r="AT7" s="127"/>
      <c r="AU7" s="128"/>
      <c r="AV7" s="131"/>
      <c r="CB7" s="102">
        <f>IF(ISNA(MATCH(AQ5,BE11:BE60,0)),0,MATCH(AQ5,BE11:BE60,0))</f>
        <v>0</v>
      </c>
    </row>
    <row r="8" spans="1:80" ht="10.199999999999999" customHeight="1">
      <c r="A8" s="126"/>
      <c r="B8" s="127"/>
      <c r="C8" s="128"/>
      <c r="D8" s="130"/>
      <c r="E8" s="130"/>
      <c r="F8" s="130"/>
      <c r="G8" s="130"/>
      <c r="H8" s="130"/>
      <c r="I8" s="130"/>
      <c r="J8" s="130"/>
      <c r="K8" s="130"/>
      <c r="L8" s="130"/>
      <c r="M8" s="130"/>
      <c r="N8" s="132" t="s">
        <v>47</v>
      </c>
      <c r="O8" s="133" t="s">
        <v>23</v>
      </c>
      <c r="P8" s="297">
        <v>8</v>
      </c>
      <c r="Q8" s="298"/>
      <c r="R8" s="299"/>
      <c r="S8" s="130"/>
      <c r="T8" s="130"/>
      <c r="U8" s="134"/>
      <c r="V8" s="134"/>
      <c r="W8" s="132"/>
      <c r="X8" s="132"/>
      <c r="Y8" s="130"/>
      <c r="Z8" s="130"/>
      <c r="AA8" s="130"/>
      <c r="AB8" s="130"/>
      <c r="AC8" s="130"/>
      <c r="AD8" s="130"/>
      <c r="AE8" s="130"/>
      <c r="AF8" s="130"/>
      <c r="AG8" s="133"/>
      <c r="AH8" s="133"/>
      <c r="AI8" s="132"/>
      <c r="AJ8" s="132"/>
      <c r="AK8" s="130"/>
      <c r="AL8" s="130"/>
      <c r="AM8" s="130"/>
      <c r="AN8" s="130"/>
      <c r="AO8" s="130"/>
      <c r="AP8" s="130"/>
      <c r="AQ8" s="130"/>
      <c r="AR8" s="130"/>
      <c r="AS8" s="133"/>
      <c r="AT8" s="135"/>
      <c r="AU8" s="128"/>
      <c r="AV8" s="131"/>
    </row>
    <row r="9" spans="1:80" ht="10.199999999999999" customHeight="1">
      <c r="A9" s="126"/>
      <c r="B9" s="127"/>
      <c r="C9" s="128"/>
      <c r="D9" s="130"/>
      <c r="E9" s="130"/>
      <c r="F9" s="130"/>
      <c r="G9" s="130"/>
      <c r="H9" s="130"/>
      <c r="I9" s="130"/>
      <c r="J9" s="130"/>
      <c r="K9" s="130"/>
      <c r="L9" s="130"/>
      <c r="M9" s="130"/>
      <c r="N9" s="132" t="s">
        <v>72</v>
      </c>
      <c r="O9" s="133" t="s">
        <v>23</v>
      </c>
      <c r="P9" s="300">
        <f>VLOOKUP(P8,'Pipe Schedules'!$A$7:$B$48,2)</f>
        <v>219.07</v>
      </c>
      <c r="Q9" s="301"/>
      <c r="R9" s="302"/>
      <c r="S9" s="134"/>
      <c r="T9" s="134"/>
      <c r="U9" s="134"/>
      <c r="V9" s="134"/>
      <c r="W9" s="132"/>
      <c r="X9" s="132"/>
      <c r="Y9" s="130"/>
      <c r="Z9" s="130"/>
      <c r="AA9" s="130"/>
      <c r="AB9" s="132"/>
      <c r="AC9" s="133"/>
      <c r="AD9" s="133"/>
      <c r="AE9" s="133"/>
      <c r="AF9" s="133"/>
      <c r="AG9" s="133"/>
      <c r="AH9" s="133"/>
      <c r="AI9" s="132"/>
      <c r="AJ9" s="132"/>
      <c r="AK9" s="130"/>
      <c r="AL9" s="130"/>
      <c r="AM9" s="130"/>
      <c r="AN9" s="132"/>
      <c r="AO9" s="133"/>
      <c r="AP9" s="133"/>
      <c r="AQ9" s="133"/>
      <c r="AR9" s="133"/>
      <c r="AS9" s="133"/>
      <c r="AT9" s="135"/>
      <c r="AU9" s="128"/>
      <c r="AV9" s="131"/>
      <c r="BA9" s="103"/>
      <c r="BB9" s="103"/>
      <c r="BC9" s="103"/>
      <c r="BE9" s="235" t="s">
        <v>163</v>
      </c>
      <c r="BF9" s="236"/>
      <c r="BG9" s="239" t="s">
        <v>164</v>
      </c>
      <c r="BH9" s="240"/>
      <c r="BI9" s="239" t="s">
        <v>165</v>
      </c>
      <c r="BJ9" s="240"/>
      <c r="BK9" s="240"/>
      <c r="BL9" s="239" t="s">
        <v>166</v>
      </c>
      <c r="BM9" s="240"/>
      <c r="BN9" s="240"/>
      <c r="BO9" s="239" t="s">
        <v>167</v>
      </c>
      <c r="BP9" s="240"/>
      <c r="BQ9" s="240"/>
      <c r="BR9" s="239"/>
      <c r="BS9" s="240"/>
      <c r="BT9" s="242"/>
    </row>
    <row r="10" spans="1:80" ht="10.199999999999999" customHeight="1">
      <c r="A10" s="126"/>
      <c r="B10" s="127"/>
      <c r="C10" s="128"/>
      <c r="D10" s="130"/>
      <c r="E10" s="130"/>
      <c r="F10" s="130"/>
      <c r="G10" s="130"/>
      <c r="H10" s="130"/>
      <c r="I10" s="130"/>
      <c r="J10" s="130"/>
      <c r="K10" s="130"/>
      <c r="L10" s="130"/>
      <c r="M10" s="130"/>
      <c r="N10" s="132" t="s">
        <v>68</v>
      </c>
      <c r="O10" s="133" t="s">
        <v>23</v>
      </c>
      <c r="P10" s="306">
        <f>P9/2</f>
        <v>109.535</v>
      </c>
      <c r="Q10" s="307"/>
      <c r="R10" s="308"/>
      <c r="S10" s="134"/>
      <c r="T10" s="134"/>
      <c r="U10" s="134"/>
      <c r="V10" s="134"/>
      <c r="W10" s="132"/>
      <c r="X10" s="132"/>
      <c r="Y10" s="130"/>
      <c r="Z10" s="130"/>
      <c r="AA10" s="130"/>
      <c r="AB10" s="132"/>
      <c r="AC10" s="133"/>
      <c r="AD10" s="133"/>
      <c r="AE10" s="133"/>
      <c r="AF10" s="133"/>
      <c r="AG10" s="133"/>
      <c r="AH10" s="133"/>
      <c r="AI10" s="132"/>
      <c r="AJ10" s="132"/>
      <c r="AK10" s="130"/>
      <c r="AL10" s="130"/>
      <c r="AM10" s="130"/>
      <c r="AN10" s="132"/>
      <c r="AO10" s="133"/>
      <c r="AP10" s="133"/>
      <c r="AQ10" s="133"/>
      <c r="AR10" s="133"/>
      <c r="AS10" s="133"/>
      <c r="AT10" s="135"/>
      <c r="AU10" s="128"/>
      <c r="AV10" s="131"/>
      <c r="BA10" s="104"/>
      <c r="BB10" s="104"/>
      <c r="BC10" s="104"/>
      <c r="BE10" s="237"/>
      <c r="BF10" s="238"/>
      <c r="BG10" s="241"/>
      <c r="BH10" s="241"/>
      <c r="BI10" s="241"/>
      <c r="BJ10" s="241"/>
      <c r="BK10" s="241"/>
      <c r="BL10" s="241"/>
      <c r="BM10" s="241"/>
      <c r="BN10" s="241"/>
      <c r="BO10" s="241"/>
      <c r="BP10" s="241"/>
      <c r="BQ10" s="241"/>
      <c r="BR10" s="241"/>
      <c r="BS10" s="241"/>
      <c r="BT10" s="243"/>
    </row>
    <row r="11" spans="1:80" ht="10.199999999999999" customHeight="1">
      <c r="A11" s="126"/>
      <c r="B11" s="127"/>
      <c r="C11" s="128"/>
      <c r="D11" s="130"/>
      <c r="E11" s="130"/>
      <c r="F11" s="130"/>
      <c r="G11" s="130"/>
      <c r="H11" s="130"/>
      <c r="I11" s="130"/>
      <c r="J11" s="130"/>
      <c r="K11" s="130"/>
      <c r="L11" s="130"/>
      <c r="M11" s="130"/>
      <c r="N11" s="132" t="s">
        <v>67</v>
      </c>
      <c r="O11" s="133" t="s">
        <v>23</v>
      </c>
      <c r="P11" s="217" t="s">
        <v>55</v>
      </c>
      <c r="Q11" s="218"/>
      <c r="R11" s="219"/>
      <c r="S11" s="133"/>
      <c r="T11" s="133"/>
      <c r="U11" s="130"/>
      <c r="V11" s="130"/>
      <c r="W11" s="132"/>
      <c r="X11" s="132"/>
      <c r="Y11" s="130"/>
      <c r="Z11" s="130"/>
      <c r="AA11" s="130"/>
      <c r="AB11" s="130"/>
      <c r="AC11" s="130"/>
      <c r="AD11" s="130"/>
      <c r="AE11" s="130"/>
      <c r="AF11" s="130"/>
      <c r="AG11" s="133"/>
      <c r="AH11" s="133"/>
      <c r="AI11" s="130"/>
      <c r="AJ11" s="130"/>
      <c r="AK11" s="130"/>
      <c r="AL11" s="130"/>
      <c r="AM11" s="130"/>
      <c r="AN11" s="130"/>
      <c r="AO11" s="130"/>
      <c r="AP11" s="130"/>
      <c r="AQ11" s="130"/>
      <c r="AR11" s="130"/>
      <c r="AS11" s="130"/>
      <c r="AT11" s="127"/>
      <c r="AU11" s="128"/>
      <c r="AV11" s="131"/>
      <c r="BE11" s="223"/>
      <c r="BF11" s="224"/>
      <c r="BG11" s="225"/>
      <c r="BH11" s="225"/>
      <c r="BI11" s="227"/>
      <c r="BJ11" s="227"/>
      <c r="BK11" s="227"/>
      <c r="BL11" s="227"/>
      <c r="BM11" s="227"/>
      <c r="BN11" s="227"/>
      <c r="BO11" s="227" t="str">
        <f>IF(OR(BI11="",BL11=""),"",IF(OR(AND(UPPER(BI11)="X",UPPER(BL11)="Y"),AND(UPPER(BI11)="Y",UPPER(BL11)="X")),"z",IF(OR(AND(UPPER(BI11)="X",UPPER(BL11)="Z"),AND(UPPER(BI11)="Z",UPPER(BL11)="X")),"y","x")))</f>
        <v/>
      </c>
      <c r="BP11" s="227"/>
      <c r="BQ11" s="227"/>
      <c r="BR11" s="224"/>
      <c r="BS11" s="224"/>
      <c r="BT11" s="228"/>
    </row>
    <row r="12" spans="1:80" ht="10.199999999999999" customHeight="1">
      <c r="A12" s="126"/>
      <c r="B12" s="127"/>
      <c r="C12" s="128"/>
      <c r="D12" s="130"/>
      <c r="E12" s="130"/>
      <c r="F12" s="130"/>
      <c r="G12" s="130"/>
      <c r="H12" s="130"/>
      <c r="I12" s="130"/>
      <c r="J12" s="130"/>
      <c r="K12" s="130"/>
      <c r="L12" s="130"/>
      <c r="M12" s="130"/>
      <c r="N12" s="132" t="s">
        <v>100</v>
      </c>
      <c r="O12" s="133" t="s">
        <v>23</v>
      </c>
      <c r="P12" s="280">
        <f>INDEX('Pipe Schedules'!$C$7:$T$48,MATCH(P8,'Pipe Schedules'!$A$7:$A$48,0),MATCH(P11,'Pipe Schedules'!$C$6:$T$6,0))</f>
        <v>8.18</v>
      </c>
      <c r="Q12" s="281"/>
      <c r="R12" s="282"/>
      <c r="S12" s="133"/>
      <c r="T12" s="133"/>
      <c r="U12" s="130"/>
      <c r="V12" s="130"/>
      <c r="W12" s="132"/>
      <c r="X12" s="132"/>
      <c r="Y12" s="130"/>
      <c r="Z12" s="130"/>
      <c r="AA12" s="130"/>
      <c r="AB12" s="132"/>
      <c r="AC12" s="133"/>
      <c r="AD12" s="133"/>
      <c r="AE12" s="133"/>
      <c r="AF12" s="133"/>
      <c r="AG12" s="133"/>
      <c r="AH12" s="133"/>
      <c r="AI12" s="130"/>
      <c r="AJ12" s="130"/>
      <c r="AK12" s="130"/>
      <c r="AL12" s="130"/>
      <c r="AM12" s="130"/>
      <c r="AN12" s="130"/>
      <c r="AO12" s="130"/>
      <c r="AP12" s="130"/>
      <c r="AQ12" s="130"/>
      <c r="AR12" s="130"/>
      <c r="AS12" s="130"/>
      <c r="AT12" s="127"/>
      <c r="AU12" s="128"/>
      <c r="AV12" s="131"/>
      <c r="BA12" s="103"/>
      <c r="BB12" s="103"/>
      <c r="BC12" s="103"/>
      <c r="BE12" s="223"/>
      <c r="BF12" s="224"/>
      <c r="BG12" s="225"/>
      <c r="BH12" s="225"/>
      <c r="BI12" s="226"/>
      <c r="BJ12" s="226"/>
      <c r="BK12" s="226"/>
      <c r="BL12" s="227"/>
      <c r="BM12" s="227"/>
      <c r="BN12" s="227"/>
      <c r="BO12" s="227" t="str">
        <f t="shared" ref="BO12:BO28" si="0">IF(OR(BI12="",BL12=""),"",IF(OR(AND(UPPER(BI12)="X",UPPER(BL12)="Y"),AND(UPPER(BI12)="Y",UPPER(BL12)="X")),"z",IF(OR(AND(UPPER(BI12)="X",UPPER(BL12)="Z"),AND(UPPER(BI12)="Z",UPPER(BL12)="X")),"y","x")))</f>
        <v/>
      </c>
      <c r="BP12" s="227"/>
      <c r="BQ12" s="227"/>
      <c r="BR12" s="224"/>
      <c r="BS12" s="224"/>
      <c r="BT12" s="228"/>
    </row>
    <row r="13" spans="1:80" ht="10.199999999999999" customHeight="1">
      <c r="A13" s="126"/>
      <c r="B13" s="127"/>
      <c r="C13" s="128"/>
      <c r="D13" s="130"/>
      <c r="E13" s="130"/>
      <c r="F13" s="130"/>
      <c r="G13" s="130"/>
      <c r="H13" s="130"/>
      <c r="I13" s="130"/>
      <c r="J13" s="130"/>
      <c r="K13" s="130"/>
      <c r="L13" s="130"/>
      <c r="M13" s="130"/>
      <c r="N13" s="132" t="s">
        <v>74</v>
      </c>
      <c r="O13" s="133" t="s">
        <v>23</v>
      </c>
      <c r="P13" s="278">
        <v>0</v>
      </c>
      <c r="Q13" s="279"/>
      <c r="R13" s="309"/>
      <c r="S13" s="133"/>
      <c r="T13" s="133"/>
      <c r="U13" s="130"/>
      <c r="V13" s="130"/>
      <c r="W13" s="130"/>
      <c r="X13" s="130"/>
      <c r="Y13" s="130"/>
      <c r="Z13" s="130"/>
      <c r="AA13" s="130"/>
      <c r="AB13" s="130"/>
      <c r="AC13" s="130"/>
      <c r="AD13" s="130"/>
      <c r="AE13" s="130"/>
      <c r="AF13" s="130"/>
      <c r="AG13" s="130"/>
      <c r="AH13" s="130"/>
      <c r="AI13" s="130"/>
      <c r="AJ13" s="130"/>
      <c r="AK13" s="130"/>
      <c r="AL13" s="130"/>
      <c r="AM13" s="130"/>
      <c r="AN13" s="130"/>
      <c r="AO13" s="130"/>
      <c r="AP13" s="130"/>
      <c r="AQ13" s="130"/>
      <c r="AR13" s="130"/>
      <c r="AS13" s="130"/>
      <c r="AT13" s="127"/>
      <c r="AU13" s="128"/>
      <c r="AV13" s="131"/>
      <c r="BE13" s="223"/>
      <c r="BF13" s="224"/>
      <c r="BG13" s="225"/>
      <c r="BH13" s="225"/>
      <c r="BI13" s="226"/>
      <c r="BJ13" s="226"/>
      <c r="BK13" s="226"/>
      <c r="BL13" s="227"/>
      <c r="BM13" s="227"/>
      <c r="BN13" s="227"/>
      <c r="BO13" s="227" t="str">
        <f t="shared" si="0"/>
        <v/>
      </c>
      <c r="BP13" s="227"/>
      <c r="BQ13" s="227"/>
      <c r="BR13" s="224"/>
      <c r="BS13" s="224"/>
      <c r="BT13" s="228"/>
    </row>
    <row r="14" spans="1:80" ht="10.199999999999999" customHeight="1">
      <c r="A14" s="126"/>
      <c r="B14" s="127"/>
      <c r="C14" s="128"/>
      <c r="D14" s="130"/>
      <c r="E14" s="130"/>
      <c r="F14" s="130"/>
      <c r="G14" s="130"/>
      <c r="H14" s="130"/>
      <c r="I14" s="130"/>
      <c r="J14" s="130"/>
      <c r="K14" s="130"/>
      <c r="L14" s="130"/>
      <c r="M14" s="130"/>
      <c r="N14" s="132" t="s">
        <v>126</v>
      </c>
      <c r="O14" s="133" t="s">
        <v>23</v>
      </c>
      <c r="P14" s="289">
        <v>0.125</v>
      </c>
      <c r="Q14" s="290"/>
      <c r="R14" s="291"/>
      <c r="S14" s="133"/>
      <c r="T14" s="133"/>
      <c r="U14" s="130"/>
      <c r="V14" s="130"/>
      <c r="W14" s="130"/>
      <c r="X14" s="130"/>
      <c r="Y14" s="130"/>
      <c r="Z14" s="130"/>
      <c r="AA14" s="130"/>
      <c r="AB14" s="130"/>
      <c r="AC14" s="130"/>
      <c r="AD14" s="130"/>
      <c r="AE14" s="130"/>
      <c r="AF14" s="130"/>
      <c r="AG14" s="130"/>
      <c r="AH14" s="130"/>
      <c r="AI14" s="130"/>
      <c r="AJ14" s="130"/>
      <c r="AK14" s="130"/>
      <c r="AL14" s="130"/>
      <c r="AM14" s="130"/>
      <c r="AN14" s="130"/>
      <c r="AO14" s="130"/>
      <c r="AP14" s="130"/>
      <c r="AQ14" s="130"/>
      <c r="AR14" s="130"/>
      <c r="AS14" s="130"/>
      <c r="AT14" s="127"/>
      <c r="AU14" s="128"/>
      <c r="AV14" s="131"/>
      <c r="BE14" s="223"/>
      <c r="BF14" s="224"/>
      <c r="BG14" s="225"/>
      <c r="BH14" s="225"/>
      <c r="BI14" s="226"/>
      <c r="BJ14" s="226"/>
      <c r="BK14" s="226"/>
      <c r="BL14" s="227"/>
      <c r="BM14" s="227"/>
      <c r="BN14" s="227"/>
      <c r="BO14" s="227" t="str">
        <f t="shared" si="0"/>
        <v/>
      </c>
      <c r="BP14" s="227"/>
      <c r="BQ14" s="227"/>
      <c r="BR14" s="224"/>
      <c r="BS14" s="224"/>
      <c r="BT14" s="228"/>
    </row>
    <row r="15" spans="1:80" ht="10.199999999999999" customHeight="1">
      <c r="A15" s="126"/>
      <c r="B15" s="127"/>
      <c r="C15" s="128"/>
      <c r="D15" s="130"/>
      <c r="E15" s="130"/>
      <c r="F15" s="130"/>
      <c r="G15" s="130"/>
      <c r="H15" s="130"/>
      <c r="I15" s="130"/>
      <c r="J15" s="130"/>
      <c r="K15" s="130"/>
      <c r="L15" s="130"/>
      <c r="M15" s="130"/>
      <c r="N15" s="130"/>
      <c r="O15" s="133" t="s">
        <v>23</v>
      </c>
      <c r="P15" s="283">
        <f>P12*P14</f>
        <v>1.0225</v>
      </c>
      <c r="Q15" s="284"/>
      <c r="R15" s="285"/>
      <c r="S15" s="130"/>
      <c r="T15" s="130"/>
      <c r="U15" s="130"/>
      <c r="V15" s="130"/>
      <c r="W15" s="130"/>
      <c r="X15" s="130"/>
      <c r="Y15" s="130"/>
      <c r="Z15" s="130"/>
      <c r="AA15" s="130"/>
      <c r="AB15" s="130"/>
      <c r="AC15" s="130"/>
      <c r="AD15" s="130"/>
      <c r="AE15" s="130"/>
      <c r="AF15" s="130"/>
      <c r="AG15" s="130"/>
      <c r="AH15" s="130"/>
      <c r="AI15" s="130"/>
      <c r="AJ15" s="130"/>
      <c r="AK15" s="130"/>
      <c r="AL15" s="130"/>
      <c r="AM15" s="130"/>
      <c r="AN15" s="130"/>
      <c r="AO15" s="130"/>
      <c r="AP15" s="130"/>
      <c r="AQ15" s="130"/>
      <c r="AR15" s="130"/>
      <c r="AS15" s="130"/>
      <c r="AT15" s="127"/>
      <c r="AU15" s="128"/>
      <c r="AV15" s="131"/>
      <c r="BA15" s="103"/>
      <c r="BB15" s="103"/>
      <c r="BC15" s="103"/>
      <c r="BE15" s="223"/>
      <c r="BF15" s="224"/>
      <c r="BG15" s="225"/>
      <c r="BH15" s="225"/>
      <c r="BI15" s="226"/>
      <c r="BJ15" s="226"/>
      <c r="BK15" s="226"/>
      <c r="BL15" s="227"/>
      <c r="BM15" s="227"/>
      <c r="BN15" s="227"/>
      <c r="BO15" s="227" t="str">
        <f t="shared" si="0"/>
        <v/>
      </c>
      <c r="BP15" s="227"/>
      <c r="BQ15" s="227"/>
      <c r="BR15" s="224"/>
      <c r="BS15" s="224"/>
      <c r="BT15" s="228"/>
    </row>
    <row r="16" spans="1:80" ht="10.199999999999999" customHeight="1">
      <c r="A16" s="126"/>
      <c r="B16" s="127"/>
      <c r="C16" s="128"/>
      <c r="D16" s="129" t="s">
        <v>125</v>
      </c>
      <c r="E16" s="130"/>
      <c r="F16" s="130"/>
      <c r="G16" s="130"/>
      <c r="H16" s="130"/>
      <c r="I16" s="130"/>
      <c r="J16" s="130"/>
      <c r="K16" s="130"/>
      <c r="L16" s="130"/>
      <c r="M16" s="130"/>
      <c r="N16" s="130"/>
      <c r="O16" s="130"/>
      <c r="P16" s="130"/>
      <c r="Q16" s="130"/>
      <c r="R16" s="130"/>
      <c r="S16" s="130"/>
      <c r="T16" s="130"/>
      <c r="U16" s="130"/>
      <c r="V16" s="130"/>
      <c r="W16" s="130"/>
      <c r="X16" s="130"/>
      <c r="Y16" s="130"/>
      <c r="Z16" s="130"/>
      <c r="AA16" s="130"/>
      <c r="AB16" s="130"/>
      <c r="AC16" s="130"/>
      <c r="AD16" s="130"/>
      <c r="AE16" s="130"/>
      <c r="AF16" s="130"/>
      <c r="AG16" s="130"/>
      <c r="AH16" s="130"/>
      <c r="AI16" s="130"/>
      <c r="AJ16" s="130"/>
      <c r="AK16" s="130"/>
      <c r="AL16" s="130"/>
      <c r="AM16" s="130"/>
      <c r="AN16" s="130"/>
      <c r="AO16" s="130"/>
      <c r="AP16" s="130"/>
      <c r="AQ16" s="130"/>
      <c r="AR16" s="130"/>
      <c r="AS16" s="130"/>
      <c r="AT16" s="127"/>
      <c r="AU16" s="128"/>
      <c r="AV16" s="131"/>
      <c r="BE16" s="223"/>
      <c r="BF16" s="224"/>
      <c r="BG16" s="225"/>
      <c r="BH16" s="225"/>
      <c r="BI16" s="226"/>
      <c r="BJ16" s="226"/>
      <c r="BK16" s="226"/>
      <c r="BL16" s="227"/>
      <c r="BM16" s="227"/>
      <c r="BN16" s="227"/>
      <c r="BO16" s="227" t="str">
        <f t="shared" si="0"/>
        <v/>
      </c>
      <c r="BP16" s="227"/>
      <c r="BQ16" s="227"/>
      <c r="BR16" s="224"/>
      <c r="BS16" s="224"/>
      <c r="BT16" s="228"/>
    </row>
    <row r="17" spans="1:83" ht="10.199999999999999" customHeight="1">
      <c r="A17" s="126"/>
      <c r="B17" s="127"/>
      <c r="C17" s="128"/>
      <c r="D17" s="130"/>
      <c r="E17" s="130"/>
      <c r="F17" s="130"/>
      <c r="G17" s="130"/>
      <c r="H17" s="130"/>
      <c r="I17" s="130"/>
      <c r="J17" s="130"/>
      <c r="K17" s="130"/>
      <c r="L17" s="130"/>
      <c r="M17" s="130"/>
      <c r="N17" s="132" t="s">
        <v>69</v>
      </c>
      <c r="O17" s="133" t="s">
        <v>23</v>
      </c>
      <c r="P17" s="297">
        <v>6</v>
      </c>
      <c r="Q17" s="298"/>
      <c r="R17" s="299"/>
      <c r="S17" s="134"/>
      <c r="T17" s="134"/>
      <c r="U17" s="130"/>
      <c r="V17" s="130"/>
      <c r="W17" s="132"/>
      <c r="X17" s="132"/>
      <c r="Y17" s="130"/>
      <c r="Z17" s="130"/>
      <c r="AA17" s="130"/>
      <c r="AB17" s="130"/>
      <c r="AC17" s="130"/>
      <c r="AD17" s="130"/>
      <c r="AE17" s="130"/>
      <c r="AF17" s="130"/>
      <c r="AG17" s="133"/>
      <c r="AH17" s="133"/>
      <c r="AI17" s="132"/>
      <c r="AJ17" s="132"/>
      <c r="AK17" s="130"/>
      <c r="AL17" s="130"/>
      <c r="AM17" s="130"/>
      <c r="AN17" s="130"/>
      <c r="AO17" s="130"/>
      <c r="AP17" s="130"/>
      <c r="AQ17" s="130"/>
      <c r="AR17" s="130"/>
      <c r="AS17" s="133"/>
      <c r="AT17" s="135"/>
      <c r="AU17" s="128"/>
      <c r="AV17" s="131"/>
      <c r="BE17" s="223"/>
      <c r="BF17" s="224"/>
      <c r="BG17" s="225"/>
      <c r="BH17" s="225"/>
      <c r="BI17" s="226"/>
      <c r="BJ17" s="226"/>
      <c r="BK17" s="226"/>
      <c r="BL17" s="227"/>
      <c r="BM17" s="227"/>
      <c r="BN17" s="227"/>
      <c r="BO17" s="227" t="str">
        <f t="shared" si="0"/>
        <v/>
      </c>
      <c r="BP17" s="227"/>
      <c r="BQ17" s="227"/>
      <c r="BR17" s="224"/>
      <c r="BS17" s="224"/>
      <c r="BT17" s="228"/>
    </row>
    <row r="18" spans="1:83" ht="10.199999999999999" customHeight="1">
      <c r="A18" s="126"/>
      <c r="B18" s="127"/>
      <c r="C18" s="128"/>
      <c r="D18" s="130"/>
      <c r="E18" s="130"/>
      <c r="F18" s="130"/>
      <c r="G18" s="130"/>
      <c r="H18" s="130"/>
      <c r="I18" s="130"/>
      <c r="J18" s="130"/>
      <c r="K18" s="130"/>
      <c r="L18" s="130"/>
      <c r="M18" s="130"/>
      <c r="N18" s="132" t="s">
        <v>73</v>
      </c>
      <c r="O18" s="133" t="s">
        <v>23</v>
      </c>
      <c r="P18" s="232">
        <f>VLOOKUP(P17,'Pipe Schedules'!$A$7:$B$48,2)</f>
        <v>168.27</v>
      </c>
      <c r="Q18" s="233"/>
      <c r="R18" s="234"/>
      <c r="S18" s="134"/>
      <c r="T18" s="134"/>
      <c r="U18" s="130"/>
      <c r="V18" s="130"/>
      <c r="W18" s="132"/>
      <c r="X18" s="132"/>
      <c r="Y18" s="130"/>
      <c r="Z18" s="130"/>
      <c r="AA18" s="130"/>
      <c r="AB18" s="132"/>
      <c r="AC18" s="133"/>
      <c r="AD18" s="133"/>
      <c r="AE18" s="133"/>
      <c r="AF18" s="133"/>
      <c r="AG18" s="133"/>
      <c r="AH18" s="133"/>
      <c r="AI18" s="132"/>
      <c r="AJ18" s="132"/>
      <c r="AK18" s="130"/>
      <c r="AL18" s="130"/>
      <c r="AM18" s="130"/>
      <c r="AN18" s="132"/>
      <c r="AO18" s="133"/>
      <c r="AP18" s="133"/>
      <c r="AQ18" s="133"/>
      <c r="AR18" s="133"/>
      <c r="AS18" s="133"/>
      <c r="AT18" s="135"/>
      <c r="AU18" s="128"/>
      <c r="AV18" s="131"/>
      <c r="BA18" s="103"/>
      <c r="BB18" s="103"/>
      <c r="BC18" s="103"/>
      <c r="BE18" s="223"/>
      <c r="BF18" s="224"/>
      <c r="BG18" s="225"/>
      <c r="BH18" s="225"/>
      <c r="BI18" s="226"/>
      <c r="BJ18" s="226"/>
      <c r="BK18" s="226"/>
      <c r="BL18" s="227"/>
      <c r="BM18" s="227"/>
      <c r="BN18" s="227"/>
      <c r="BO18" s="227" t="str">
        <f t="shared" si="0"/>
        <v/>
      </c>
      <c r="BP18" s="227"/>
      <c r="BQ18" s="227"/>
      <c r="BR18" s="224"/>
      <c r="BS18" s="224"/>
      <c r="BT18" s="228"/>
    </row>
    <row r="19" spans="1:83" ht="10.199999999999999" customHeight="1">
      <c r="A19" s="126"/>
      <c r="B19" s="127"/>
      <c r="C19" s="128"/>
      <c r="D19" s="130"/>
      <c r="E19" s="130"/>
      <c r="F19" s="130"/>
      <c r="G19" s="130"/>
      <c r="H19" s="130"/>
      <c r="I19" s="130"/>
      <c r="J19" s="130"/>
      <c r="K19" s="130"/>
      <c r="L19" s="130"/>
      <c r="M19" s="130"/>
      <c r="N19" s="132" t="s">
        <v>70</v>
      </c>
      <c r="O19" s="133" t="s">
        <v>23</v>
      </c>
      <c r="P19" s="306">
        <f>P18/2</f>
        <v>84.135000000000005</v>
      </c>
      <c r="Q19" s="307"/>
      <c r="R19" s="308"/>
      <c r="S19" s="134"/>
      <c r="T19" s="134"/>
      <c r="U19" s="130"/>
      <c r="V19" s="130"/>
      <c r="W19" s="132"/>
      <c r="X19" s="132"/>
      <c r="Y19" s="130"/>
      <c r="Z19" s="130"/>
      <c r="AA19" s="130"/>
      <c r="AB19" s="132"/>
      <c r="AC19" s="133"/>
      <c r="AD19" s="133"/>
      <c r="AE19" s="133"/>
      <c r="AF19" s="133"/>
      <c r="AG19" s="133"/>
      <c r="AH19" s="133"/>
      <c r="AI19" s="132"/>
      <c r="AJ19" s="132"/>
      <c r="AK19" s="130"/>
      <c r="AL19" s="130"/>
      <c r="AM19" s="130"/>
      <c r="AN19" s="132"/>
      <c r="AO19" s="133"/>
      <c r="AP19" s="133"/>
      <c r="AQ19" s="133"/>
      <c r="AR19" s="133"/>
      <c r="AS19" s="133"/>
      <c r="AT19" s="135"/>
      <c r="AU19" s="128"/>
      <c r="AV19" s="131"/>
      <c r="BA19" s="104"/>
      <c r="BB19" s="104"/>
      <c r="BC19" s="104"/>
      <c r="BE19" s="223"/>
      <c r="BF19" s="224"/>
      <c r="BG19" s="225"/>
      <c r="BH19" s="225"/>
      <c r="BI19" s="226"/>
      <c r="BJ19" s="226"/>
      <c r="BK19" s="226"/>
      <c r="BL19" s="227"/>
      <c r="BM19" s="227"/>
      <c r="BN19" s="227"/>
      <c r="BO19" s="227" t="str">
        <f t="shared" si="0"/>
        <v/>
      </c>
      <c r="BP19" s="227"/>
      <c r="BQ19" s="227"/>
      <c r="BR19" s="224"/>
      <c r="BS19" s="224"/>
      <c r="BT19" s="228"/>
    </row>
    <row r="20" spans="1:83" ht="10.199999999999999" customHeight="1">
      <c r="A20" s="126"/>
      <c r="B20" s="127"/>
      <c r="C20" s="128"/>
      <c r="D20" s="130"/>
      <c r="E20" s="130"/>
      <c r="F20" s="130"/>
      <c r="G20" s="130"/>
      <c r="H20" s="130"/>
      <c r="I20" s="130"/>
      <c r="J20" s="130"/>
      <c r="K20" s="130"/>
      <c r="L20" s="130"/>
      <c r="M20" s="130"/>
      <c r="N20" s="132" t="s">
        <v>71</v>
      </c>
      <c r="O20" s="133" t="s">
        <v>23</v>
      </c>
      <c r="P20" s="217" t="s">
        <v>55</v>
      </c>
      <c r="Q20" s="218"/>
      <c r="R20" s="219"/>
      <c r="S20" s="133"/>
      <c r="T20" s="133"/>
      <c r="U20" s="130"/>
      <c r="V20" s="130"/>
      <c r="W20" s="132"/>
      <c r="X20" s="132"/>
      <c r="Y20" s="130"/>
      <c r="Z20" s="130"/>
      <c r="AA20" s="130"/>
      <c r="AB20" s="130"/>
      <c r="AC20" s="130"/>
      <c r="AD20" s="130"/>
      <c r="AE20" s="130"/>
      <c r="AF20" s="130"/>
      <c r="AG20" s="133"/>
      <c r="AH20" s="133"/>
      <c r="AI20" s="132"/>
      <c r="AJ20" s="132"/>
      <c r="AK20" s="130"/>
      <c r="AL20" s="130"/>
      <c r="AM20" s="130"/>
      <c r="AN20" s="130"/>
      <c r="AO20" s="130"/>
      <c r="AP20" s="130"/>
      <c r="AQ20" s="130"/>
      <c r="AR20" s="130"/>
      <c r="AS20" s="133"/>
      <c r="AT20" s="135"/>
      <c r="AU20" s="128"/>
      <c r="AV20" s="131"/>
      <c r="BE20" s="223"/>
      <c r="BF20" s="224"/>
      <c r="BG20" s="225"/>
      <c r="BH20" s="225"/>
      <c r="BI20" s="226"/>
      <c r="BJ20" s="226"/>
      <c r="BK20" s="226"/>
      <c r="BL20" s="227"/>
      <c r="BM20" s="227"/>
      <c r="BN20" s="227"/>
      <c r="BO20" s="227" t="str">
        <f t="shared" si="0"/>
        <v/>
      </c>
      <c r="BP20" s="227"/>
      <c r="BQ20" s="227"/>
      <c r="BR20" s="224"/>
      <c r="BS20" s="224"/>
      <c r="BT20" s="228"/>
    </row>
    <row r="21" spans="1:83" ht="10.199999999999999" customHeight="1">
      <c r="A21" s="126"/>
      <c r="B21" s="127"/>
      <c r="C21" s="128"/>
      <c r="D21" s="130"/>
      <c r="E21" s="130"/>
      <c r="F21" s="130"/>
      <c r="G21" s="130"/>
      <c r="H21" s="130"/>
      <c r="I21" s="130"/>
      <c r="J21" s="130"/>
      <c r="K21" s="130"/>
      <c r="L21" s="130"/>
      <c r="M21" s="130"/>
      <c r="N21" s="132" t="s">
        <v>101</v>
      </c>
      <c r="O21" s="133" t="s">
        <v>23</v>
      </c>
      <c r="P21" s="280">
        <f>INDEX('Pipe Schedules'!$C$7:$T$48,MATCH(P17,'Pipe Schedules'!$A$7:$A$48,0),MATCH(P20,'Pipe Schedules'!$C$6:$T$6,0))</f>
        <v>7.11</v>
      </c>
      <c r="Q21" s="281"/>
      <c r="R21" s="282"/>
      <c r="S21" s="133"/>
      <c r="T21" s="133"/>
      <c r="U21" s="130"/>
      <c r="V21" s="130"/>
      <c r="W21" s="132"/>
      <c r="X21" s="132"/>
      <c r="Y21" s="130"/>
      <c r="Z21" s="130"/>
      <c r="AA21" s="130"/>
      <c r="AB21" s="132"/>
      <c r="AC21" s="133"/>
      <c r="AD21" s="133"/>
      <c r="AE21" s="133"/>
      <c r="AF21" s="133"/>
      <c r="AG21" s="133"/>
      <c r="AH21" s="133"/>
      <c r="AI21" s="132"/>
      <c r="AJ21" s="132"/>
      <c r="AK21" s="130"/>
      <c r="AL21" s="130"/>
      <c r="AM21" s="130"/>
      <c r="AN21" s="132"/>
      <c r="AO21" s="133"/>
      <c r="AP21" s="133"/>
      <c r="AQ21" s="133"/>
      <c r="AR21" s="133"/>
      <c r="AS21" s="133"/>
      <c r="AT21" s="135"/>
      <c r="AU21" s="128"/>
      <c r="AV21" s="131"/>
      <c r="BA21" s="103"/>
      <c r="BB21" s="103"/>
      <c r="BC21" s="103"/>
      <c r="BE21" s="223"/>
      <c r="BF21" s="224"/>
      <c r="BG21" s="225"/>
      <c r="BH21" s="225"/>
      <c r="BI21" s="226"/>
      <c r="BJ21" s="226"/>
      <c r="BK21" s="226"/>
      <c r="BL21" s="227"/>
      <c r="BM21" s="227"/>
      <c r="BN21" s="227"/>
      <c r="BO21" s="227" t="str">
        <f t="shared" si="0"/>
        <v/>
      </c>
      <c r="BP21" s="227"/>
      <c r="BQ21" s="227"/>
      <c r="BR21" s="224"/>
      <c r="BS21" s="224"/>
      <c r="BT21" s="228"/>
    </row>
    <row r="22" spans="1:83" ht="10.199999999999999" customHeight="1">
      <c r="A22" s="126"/>
      <c r="B22" s="127"/>
      <c r="C22" s="128"/>
      <c r="D22" s="130"/>
      <c r="E22" s="130"/>
      <c r="F22" s="130"/>
      <c r="G22" s="130"/>
      <c r="H22" s="130"/>
      <c r="I22" s="130"/>
      <c r="J22" s="130"/>
      <c r="K22" s="130"/>
      <c r="L22" s="130"/>
      <c r="M22" s="130"/>
      <c r="N22" s="132" t="s">
        <v>102</v>
      </c>
      <c r="O22" s="133" t="s">
        <v>23</v>
      </c>
      <c r="P22" s="343">
        <f>P18-2*P21</f>
        <v>154.05000000000001</v>
      </c>
      <c r="Q22" s="316"/>
      <c r="R22" s="344"/>
      <c r="S22" s="133"/>
      <c r="T22" s="133"/>
      <c r="U22" s="130"/>
      <c r="V22" s="130"/>
      <c r="W22" s="132"/>
      <c r="X22" s="132"/>
      <c r="Y22" s="130"/>
      <c r="Z22" s="130"/>
      <c r="AA22" s="130"/>
      <c r="AB22" s="132"/>
      <c r="AC22" s="133"/>
      <c r="AD22" s="133"/>
      <c r="AE22" s="133"/>
      <c r="AF22" s="133"/>
      <c r="AG22" s="133"/>
      <c r="AH22" s="133"/>
      <c r="AI22" s="132"/>
      <c r="AJ22" s="132"/>
      <c r="AK22" s="130"/>
      <c r="AL22" s="130"/>
      <c r="AM22" s="130"/>
      <c r="AN22" s="132"/>
      <c r="AO22" s="133"/>
      <c r="AP22" s="133"/>
      <c r="AQ22" s="133"/>
      <c r="AR22" s="133"/>
      <c r="AS22" s="133"/>
      <c r="AT22" s="135"/>
      <c r="AU22" s="128"/>
      <c r="AV22" s="131"/>
      <c r="BA22" s="103"/>
      <c r="BB22" s="103"/>
      <c r="BC22" s="103"/>
      <c r="BE22" s="223"/>
      <c r="BF22" s="224"/>
      <c r="BG22" s="225"/>
      <c r="BH22" s="225"/>
      <c r="BI22" s="226"/>
      <c r="BJ22" s="226"/>
      <c r="BK22" s="226"/>
      <c r="BL22" s="227"/>
      <c r="BM22" s="227"/>
      <c r="BN22" s="227"/>
      <c r="BO22" s="227" t="str">
        <f t="shared" si="0"/>
        <v/>
      </c>
      <c r="BP22" s="227"/>
      <c r="BQ22" s="227"/>
      <c r="BR22" s="224"/>
      <c r="BS22" s="224"/>
      <c r="BT22" s="228"/>
    </row>
    <row r="23" spans="1:83" ht="10.199999999999999" customHeight="1">
      <c r="A23" s="126"/>
      <c r="B23" s="127"/>
      <c r="C23" s="128"/>
      <c r="D23" s="130"/>
      <c r="E23" s="130"/>
      <c r="F23" s="130"/>
      <c r="G23" s="130"/>
      <c r="H23" s="130"/>
      <c r="I23" s="130"/>
      <c r="J23" s="130"/>
      <c r="K23" s="130"/>
      <c r="L23" s="130"/>
      <c r="M23" s="130"/>
      <c r="N23" s="132" t="s">
        <v>83</v>
      </c>
      <c r="O23" s="133" t="s">
        <v>23</v>
      </c>
      <c r="P23" s="278">
        <v>0</v>
      </c>
      <c r="Q23" s="279"/>
      <c r="R23" s="309"/>
      <c r="S23" s="133"/>
      <c r="T23" s="133"/>
      <c r="U23" s="130"/>
      <c r="V23" s="130"/>
      <c r="W23" s="130"/>
      <c r="X23" s="130"/>
      <c r="Y23" s="130"/>
      <c r="Z23" s="130"/>
      <c r="AA23" s="130"/>
      <c r="AB23" s="130"/>
      <c r="AC23" s="130"/>
      <c r="AD23" s="130"/>
      <c r="AE23" s="130"/>
      <c r="AF23" s="130"/>
      <c r="AG23" s="130"/>
      <c r="AH23" s="130"/>
      <c r="AI23" s="130"/>
      <c r="AJ23" s="130"/>
      <c r="AK23" s="130"/>
      <c r="AL23" s="130"/>
      <c r="AM23" s="133"/>
      <c r="AN23" s="133"/>
      <c r="AO23" s="130"/>
      <c r="AP23" s="130"/>
      <c r="AQ23" s="130"/>
      <c r="AR23" s="130"/>
      <c r="AS23" s="130"/>
      <c r="AT23" s="127"/>
      <c r="AU23" s="128"/>
      <c r="AV23" s="131"/>
      <c r="BE23" s="223"/>
      <c r="BF23" s="224"/>
      <c r="BG23" s="225"/>
      <c r="BH23" s="225"/>
      <c r="BI23" s="226"/>
      <c r="BJ23" s="226"/>
      <c r="BK23" s="226"/>
      <c r="BL23" s="227"/>
      <c r="BM23" s="227"/>
      <c r="BN23" s="227"/>
      <c r="BO23" s="227" t="str">
        <f t="shared" si="0"/>
        <v/>
      </c>
      <c r="BP23" s="227"/>
      <c r="BQ23" s="227"/>
      <c r="BR23" s="224"/>
      <c r="BS23" s="224"/>
      <c r="BT23" s="228"/>
    </row>
    <row r="24" spans="1:83" ht="10.199999999999999" customHeight="1">
      <c r="A24" s="126"/>
      <c r="B24" s="127"/>
      <c r="C24" s="128"/>
      <c r="D24" s="130"/>
      <c r="E24" s="130"/>
      <c r="F24" s="130"/>
      <c r="G24" s="130"/>
      <c r="H24" s="130"/>
      <c r="I24" s="130"/>
      <c r="J24" s="130"/>
      <c r="K24" s="130"/>
      <c r="L24" s="130"/>
      <c r="M24" s="130"/>
      <c r="N24" s="132" t="s">
        <v>94</v>
      </c>
      <c r="O24" s="133" t="s">
        <v>23</v>
      </c>
      <c r="P24" s="278">
        <v>0</v>
      </c>
      <c r="Q24" s="279"/>
      <c r="R24" s="309"/>
      <c r="S24" s="133"/>
      <c r="T24" s="133"/>
      <c r="U24" s="130"/>
      <c r="V24" s="130"/>
      <c r="W24" s="130"/>
      <c r="X24" s="130"/>
      <c r="Y24" s="130"/>
      <c r="Z24" s="130"/>
      <c r="AA24" s="130"/>
      <c r="AB24" s="130"/>
      <c r="AC24" s="130"/>
      <c r="AD24" s="130"/>
      <c r="AE24" s="130"/>
      <c r="AF24" s="130"/>
      <c r="AG24" s="130"/>
      <c r="AH24" s="130"/>
      <c r="AI24" s="130"/>
      <c r="AJ24" s="130"/>
      <c r="AK24" s="130"/>
      <c r="AL24" s="130"/>
      <c r="AM24" s="130"/>
      <c r="AN24" s="130"/>
      <c r="AO24" s="130"/>
      <c r="AP24" s="130"/>
      <c r="AQ24" s="130"/>
      <c r="AR24" s="130"/>
      <c r="AS24" s="130"/>
      <c r="AT24" s="127"/>
      <c r="AU24" s="128"/>
      <c r="AV24" s="131"/>
      <c r="BE24" s="223"/>
      <c r="BF24" s="224"/>
      <c r="BG24" s="225"/>
      <c r="BH24" s="225"/>
      <c r="BI24" s="226"/>
      <c r="BJ24" s="226"/>
      <c r="BK24" s="226"/>
      <c r="BL24" s="227"/>
      <c r="BM24" s="227"/>
      <c r="BN24" s="227"/>
      <c r="BO24" s="227" t="str">
        <f t="shared" si="0"/>
        <v/>
      </c>
      <c r="BP24" s="227"/>
      <c r="BQ24" s="227"/>
      <c r="BR24" s="224"/>
      <c r="BS24" s="224"/>
      <c r="BT24" s="228"/>
      <c r="CB24" s="102" t="s">
        <v>135</v>
      </c>
    </row>
    <row r="25" spans="1:83" ht="10.199999999999999" customHeight="1">
      <c r="A25" s="126"/>
      <c r="B25" s="127"/>
      <c r="C25" s="128"/>
      <c r="D25" s="130"/>
      <c r="E25" s="130"/>
      <c r="F25" s="130"/>
      <c r="G25" s="130"/>
      <c r="H25" s="130"/>
      <c r="I25" s="130"/>
      <c r="J25" s="130"/>
      <c r="K25" s="130"/>
      <c r="L25" s="130"/>
      <c r="M25" s="130"/>
      <c r="N25" s="132" t="s">
        <v>103</v>
      </c>
      <c r="O25" s="133" t="s">
        <v>23</v>
      </c>
      <c r="P25" s="278">
        <v>0</v>
      </c>
      <c r="Q25" s="279"/>
      <c r="R25" s="309"/>
      <c r="S25" s="133"/>
      <c r="T25" s="133"/>
      <c r="U25" s="130"/>
      <c r="V25" s="130"/>
      <c r="W25" s="130"/>
      <c r="X25" s="130"/>
      <c r="Y25" s="130"/>
      <c r="Z25" s="130"/>
      <c r="AA25" s="130"/>
      <c r="AB25" s="130"/>
      <c r="AC25" s="130"/>
      <c r="AD25" s="130"/>
      <c r="AE25" s="130"/>
      <c r="AF25" s="130"/>
      <c r="AG25" s="130"/>
      <c r="AH25" s="130"/>
      <c r="AI25" s="132"/>
      <c r="AJ25" s="132"/>
      <c r="AK25" s="130"/>
      <c r="AL25" s="130"/>
      <c r="AM25" s="130"/>
      <c r="AN25" s="130"/>
      <c r="AO25" s="130"/>
      <c r="AP25" s="130"/>
      <c r="AQ25" s="130"/>
      <c r="AR25" s="130"/>
      <c r="AS25" s="133"/>
      <c r="AT25" s="135"/>
      <c r="AU25" s="128"/>
      <c r="AV25" s="131"/>
      <c r="BE25" s="223"/>
      <c r="BF25" s="224"/>
      <c r="BG25" s="225"/>
      <c r="BH25" s="225"/>
      <c r="BI25" s="226"/>
      <c r="BJ25" s="226"/>
      <c r="BK25" s="226"/>
      <c r="BL25" s="227"/>
      <c r="BM25" s="227"/>
      <c r="BN25" s="227"/>
      <c r="BO25" s="227" t="str">
        <f t="shared" si="0"/>
        <v/>
      </c>
      <c r="BP25" s="227"/>
      <c r="BQ25" s="227"/>
      <c r="BR25" s="224"/>
      <c r="BS25" s="224"/>
      <c r="BT25" s="228"/>
      <c r="CB25" s="102" t="s">
        <v>81</v>
      </c>
    </row>
    <row r="26" spans="1:83" ht="10.199999999999999" customHeight="1">
      <c r="A26" s="126"/>
      <c r="B26" s="127"/>
      <c r="C26" s="128"/>
      <c r="D26" s="130"/>
      <c r="E26" s="130"/>
      <c r="F26" s="130"/>
      <c r="G26" s="130"/>
      <c r="H26" s="130"/>
      <c r="I26" s="130"/>
      <c r="J26" s="130"/>
      <c r="K26" s="130"/>
      <c r="L26" s="130"/>
      <c r="M26" s="130"/>
      <c r="N26" s="132" t="s">
        <v>142</v>
      </c>
      <c r="O26" s="133" t="s">
        <v>23</v>
      </c>
      <c r="P26" s="289">
        <v>0.125</v>
      </c>
      <c r="Q26" s="290"/>
      <c r="R26" s="291"/>
      <c r="S26" s="133"/>
      <c r="T26" s="133"/>
      <c r="U26" s="130"/>
      <c r="V26" s="130"/>
      <c r="W26" s="130"/>
      <c r="X26" s="130"/>
      <c r="Y26" s="130"/>
      <c r="Z26" s="130"/>
      <c r="AA26" s="130"/>
      <c r="AB26" s="130"/>
      <c r="AC26" s="130"/>
      <c r="AD26" s="130"/>
      <c r="AE26" s="130"/>
      <c r="AF26" s="130"/>
      <c r="AG26" s="130"/>
      <c r="AH26" s="130"/>
      <c r="AI26" s="130"/>
      <c r="AJ26" s="130"/>
      <c r="AK26" s="130"/>
      <c r="AL26" s="130"/>
      <c r="AM26" s="130"/>
      <c r="AN26" s="130"/>
      <c r="AO26" s="130"/>
      <c r="AP26" s="130"/>
      <c r="AQ26" s="130"/>
      <c r="AR26" s="130"/>
      <c r="AS26" s="130"/>
      <c r="AT26" s="127"/>
      <c r="AU26" s="128"/>
      <c r="AV26" s="131"/>
      <c r="BE26" s="223"/>
      <c r="BF26" s="224"/>
      <c r="BG26" s="225"/>
      <c r="BH26" s="225"/>
      <c r="BI26" s="226"/>
      <c r="BJ26" s="226"/>
      <c r="BK26" s="226"/>
      <c r="BL26" s="227"/>
      <c r="BM26" s="227"/>
      <c r="BN26" s="227"/>
      <c r="BO26" s="227" t="str">
        <f t="shared" si="0"/>
        <v/>
      </c>
      <c r="BP26" s="227"/>
      <c r="BQ26" s="227"/>
      <c r="BR26" s="224"/>
      <c r="BS26" s="224"/>
      <c r="BT26" s="228"/>
      <c r="CB26" s="102" t="s">
        <v>82</v>
      </c>
    </row>
    <row r="27" spans="1:83" ht="10.199999999999999" customHeight="1">
      <c r="A27" s="126"/>
      <c r="B27" s="127"/>
      <c r="C27" s="128"/>
      <c r="D27" s="130"/>
      <c r="E27" s="130"/>
      <c r="F27" s="130"/>
      <c r="G27" s="130"/>
      <c r="H27" s="130"/>
      <c r="I27" s="130"/>
      <c r="J27" s="130"/>
      <c r="K27" s="130"/>
      <c r="L27" s="130"/>
      <c r="M27" s="130"/>
      <c r="N27" s="130"/>
      <c r="O27" s="133" t="s">
        <v>23</v>
      </c>
      <c r="P27" s="280">
        <f>P25*P26</f>
        <v>0</v>
      </c>
      <c r="Q27" s="281"/>
      <c r="R27" s="282"/>
      <c r="S27" s="130"/>
      <c r="T27" s="130"/>
      <c r="U27" s="130"/>
      <c r="V27" s="130"/>
      <c r="W27" s="130"/>
      <c r="X27" s="130"/>
      <c r="Y27" s="130"/>
      <c r="Z27" s="130"/>
      <c r="AA27" s="130"/>
      <c r="AB27" s="130"/>
      <c r="AC27" s="130"/>
      <c r="AD27" s="130"/>
      <c r="AE27" s="130"/>
      <c r="AF27" s="130"/>
      <c r="AG27" s="130"/>
      <c r="AH27" s="130"/>
      <c r="AI27" s="130"/>
      <c r="AJ27" s="130"/>
      <c r="AK27" s="130"/>
      <c r="AL27" s="130"/>
      <c r="AM27" s="130"/>
      <c r="AN27" s="130"/>
      <c r="AO27" s="130"/>
      <c r="AP27" s="130"/>
      <c r="AQ27" s="130"/>
      <c r="AR27" s="130"/>
      <c r="AS27" s="130"/>
      <c r="AT27" s="127"/>
      <c r="AU27" s="128"/>
      <c r="AV27" s="131"/>
      <c r="BE27" s="223"/>
      <c r="BF27" s="224"/>
      <c r="BG27" s="225"/>
      <c r="BH27" s="225"/>
      <c r="BI27" s="226"/>
      <c r="BJ27" s="226"/>
      <c r="BK27" s="226"/>
      <c r="BL27" s="227"/>
      <c r="BM27" s="227"/>
      <c r="BN27" s="227"/>
      <c r="BO27" s="227" t="str">
        <f t="shared" si="0"/>
        <v/>
      </c>
      <c r="BP27" s="227"/>
      <c r="BQ27" s="227"/>
      <c r="BR27" s="224"/>
      <c r="BS27" s="224"/>
      <c r="BT27" s="228"/>
    </row>
    <row r="28" spans="1:83" ht="10.199999999999999" customHeight="1">
      <c r="A28" s="126"/>
      <c r="B28" s="127"/>
      <c r="C28" s="128"/>
      <c r="D28" s="130"/>
      <c r="E28" s="130"/>
      <c r="F28" s="130"/>
      <c r="G28" s="130"/>
      <c r="H28" s="130"/>
      <c r="I28" s="130"/>
      <c r="J28" s="130"/>
      <c r="K28" s="130"/>
      <c r="L28" s="130"/>
      <c r="M28" s="130"/>
      <c r="N28" s="132" t="s">
        <v>129</v>
      </c>
      <c r="O28" s="133" t="s">
        <v>23</v>
      </c>
      <c r="P28" s="303">
        <v>0</v>
      </c>
      <c r="Q28" s="304"/>
      <c r="R28" s="305"/>
      <c r="S28" s="133"/>
      <c r="T28" s="133"/>
      <c r="U28" s="130"/>
      <c r="V28" s="130"/>
      <c r="W28" s="130"/>
      <c r="X28" s="130"/>
      <c r="Y28" s="130"/>
      <c r="Z28" s="130"/>
      <c r="AA28" s="130"/>
      <c r="AB28" s="130"/>
      <c r="AC28" s="130"/>
      <c r="AD28" s="130"/>
      <c r="AE28" s="130"/>
      <c r="AF28" s="130"/>
      <c r="AG28" s="130"/>
      <c r="AH28" s="130"/>
      <c r="AI28" s="132"/>
      <c r="AJ28" s="132"/>
      <c r="AK28" s="130"/>
      <c r="AL28" s="130"/>
      <c r="AM28" s="130"/>
      <c r="AN28" s="132"/>
      <c r="AO28" s="133"/>
      <c r="AP28" s="133"/>
      <c r="AQ28" s="133"/>
      <c r="AR28" s="133"/>
      <c r="AS28" s="133"/>
      <c r="AT28" s="135"/>
      <c r="AU28" s="128"/>
      <c r="AV28" s="131"/>
      <c r="BE28" s="223"/>
      <c r="BF28" s="224"/>
      <c r="BG28" s="225"/>
      <c r="BH28" s="225"/>
      <c r="BI28" s="226"/>
      <c r="BJ28" s="226"/>
      <c r="BK28" s="226"/>
      <c r="BL28" s="227"/>
      <c r="BM28" s="227"/>
      <c r="BN28" s="227"/>
      <c r="BO28" s="227" t="str">
        <f t="shared" si="0"/>
        <v/>
      </c>
      <c r="BP28" s="227"/>
      <c r="BQ28" s="227"/>
      <c r="BR28" s="224"/>
      <c r="BS28" s="224"/>
      <c r="BT28" s="228"/>
      <c r="CB28" s="103"/>
      <c r="CC28" s="103"/>
      <c r="CD28" s="103"/>
    </row>
    <row r="29" spans="1:83" ht="10.199999999999999" customHeight="1">
      <c r="A29" s="126"/>
      <c r="B29" s="127"/>
      <c r="C29" s="128"/>
      <c r="D29" s="129" t="s">
        <v>127</v>
      </c>
      <c r="E29" s="130"/>
      <c r="F29" s="130"/>
      <c r="G29" s="130"/>
      <c r="H29" s="130"/>
      <c r="I29" s="130"/>
      <c r="J29" s="130"/>
      <c r="K29" s="130"/>
      <c r="L29" s="130"/>
      <c r="M29" s="130"/>
      <c r="N29" s="130"/>
      <c r="O29" s="130"/>
      <c r="P29" s="130"/>
      <c r="Q29" s="130"/>
      <c r="R29" s="130"/>
      <c r="S29" s="130"/>
      <c r="T29" s="130"/>
      <c r="U29" s="130"/>
      <c r="V29" s="130"/>
      <c r="W29" s="130"/>
      <c r="X29" s="130"/>
      <c r="Y29" s="130"/>
      <c r="Z29" s="130"/>
      <c r="AA29" s="130"/>
      <c r="AB29" s="130"/>
      <c r="AC29" s="130"/>
      <c r="AD29" s="130"/>
      <c r="AE29" s="130"/>
      <c r="AF29" s="130"/>
      <c r="AG29" s="130"/>
      <c r="AH29" s="130"/>
      <c r="AI29" s="130"/>
      <c r="AJ29" s="130"/>
      <c r="AK29" s="130"/>
      <c r="AL29" s="130"/>
      <c r="AM29" s="130"/>
      <c r="AN29" s="130"/>
      <c r="AO29" s="130"/>
      <c r="AP29" s="130"/>
      <c r="AQ29" s="130"/>
      <c r="AR29" s="130"/>
      <c r="AS29" s="130"/>
      <c r="AT29" s="127"/>
      <c r="AU29" s="128"/>
      <c r="AV29" s="131"/>
      <c r="BE29" s="223"/>
      <c r="BF29" s="224"/>
      <c r="BG29" s="225"/>
      <c r="BH29" s="225"/>
      <c r="BI29" s="226"/>
      <c r="BJ29" s="226"/>
      <c r="BK29" s="226"/>
      <c r="BL29" s="227"/>
      <c r="BM29" s="227"/>
      <c r="BN29" s="227"/>
      <c r="BO29" s="227" t="str">
        <f t="shared" ref="BO29:BO60" si="1">IF(OR(BI29="",BL29=""),"",IF(OR(AND(UPPER(BI29)="X",UPPER(BL29)="Y"),AND(UPPER(BI29)="Y",UPPER(BL29)="X")),"z",IF(OR(AND(UPPER(BI29)="X",UPPER(BL29)="Z"),AND(UPPER(BI29)="Z",UPPER(BL29)="X")),"y","x")))</f>
        <v/>
      </c>
      <c r="BP29" s="227"/>
      <c r="BQ29" s="227"/>
      <c r="BR29" s="224"/>
      <c r="BS29" s="224"/>
      <c r="BT29" s="228"/>
    </row>
    <row r="30" spans="1:83" ht="10.199999999999999" customHeight="1">
      <c r="A30" s="126"/>
      <c r="B30" s="127"/>
      <c r="C30" s="128"/>
      <c r="D30" s="130"/>
      <c r="E30" s="130"/>
      <c r="F30" s="130"/>
      <c r="G30" s="104"/>
      <c r="H30" s="104"/>
      <c r="I30" s="104"/>
      <c r="J30" s="104"/>
      <c r="K30" s="104"/>
      <c r="L30" s="104"/>
      <c r="M30" s="104"/>
      <c r="N30" s="170" t="s">
        <v>76</v>
      </c>
      <c r="O30" s="133" t="s">
        <v>23</v>
      </c>
      <c r="P30" s="275">
        <v>0</v>
      </c>
      <c r="Q30" s="276"/>
      <c r="R30" s="277"/>
      <c r="S30" s="130" t="s">
        <v>84</v>
      </c>
      <c r="T30" s="130"/>
      <c r="U30" s="130"/>
      <c r="V30" s="130"/>
      <c r="W30" s="136"/>
      <c r="X30" s="136"/>
      <c r="Y30" s="130"/>
      <c r="Z30" s="130"/>
      <c r="AA30" s="130"/>
      <c r="AB30" s="130"/>
      <c r="AC30" s="130"/>
      <c r="AD30" s="130"/>
      <c r="AE30" s="130"/>
      <c r="AF30" s="130"/>
      <c r="AG30" s="130"/>
      <c r="AH30" s="130"/>
      <c r="AI30" s="130"/>
      <c r="AJ30" s="130"/>
      <c r="AK30" s="130"/>
      <c r="AL30" s="130"/>
      <c r="AM30" s="130"/>
      <c r="AN30" s="130"/>
      <c r="AO30" s="130"/>
      <c r="AP30" s="130"/>
      <c r="AQ30" s="130"/>
      <c r="AR30" s="130"/>
      <c r="AS30" s="130"/>
      <c r="AT30" s="127"/>
      <c r="AU30" s="128"/>
      <c r="AV30" s="131"/>
      <c r="BE30" s="223"/>
      <c r="BF30" s="224"/>
      <c r="BG30" s="225"/>
      <c r="BH30" s="225"/>
      <c r="BI30" s="226"/>
      <c r="BJ30" s="226"/>
      <c r="BK30" s="226"/>
      <c r="BL30" s="227"/>
      <c r="BM30" s="227"/>
      <c r="BN30" s="227"/>
      <c r="BO30" s="227" t="str">
        <f t="shared" si="1"/>
        <v/>
      </c>
      <c r="BP30" s="227"/>
      <c r="BQ30" s="227"/>
      <c r="BR30" s="224"/>
      <c r="BS30" s="224"/>
      <c r="BT30" s="228"/>
    </row>
    <row r="31" spans="1:83" ht="10.199999999999999" customHeight="1">
      <c r="A31" s="126"/>
      <c r="B31" s="127"/>
      <c r="C31" s="128"/>
      <c r="D31" s="130"/>
      <c r="E31" s="130"/>
      <c r="F31" s="130"/>
      <c r="G31" s="104"/>
      <c r="H31" s="104"/>
      <c r="I31" s="104"/>
      <c r="J31" s="104"/>
      <c r="K31" s="104"/>
      <c r="L31" s="104"/>
      <c r="M31" s="104"/>
      <c r="N31" s="171" t="s">
        <v>175</v>
      </c>
      <c r="O31" s="133" t="s">
        <v>23</v>
      </c>
      <c r="P31" s="278">
        <v>0</v>
      </c>
      <c r="Q31" s="279"/>
      <c r="R31" s="279"/>
      <c r="S31" s="336">
        <v>0</v>
      </c>
      <c r="T31" s="337"/>
      <c r="U31" s="338"/>
      <c r="V31" s="130" t="s">
        <v>78</v>
      </c>
      <c r="W31" s="133"/>
      <c r="X31" s="133"/>
      <c r="Y31" s="130"/>
      <c r="Z31" s="130"/>
      <c r="AA31" s="130"/>
      <c r="AB31" s="130"/>
      <c r="AC31" s="130"/>
      <c r="AD31" s="130"/>
      <c r="AE31" s="130"/>
      <c r="AF31" s="130"/>
      <c r="AG31" s="130"/>
      <c r="AH31" s="130"/>
      <c r="AI31" s="130"/>
      <c r="AJ31" s="130"/>
      <c r="AK31" s="130"/>
      <c r="AL31" s="130"/>
      <c r="AM31" s="130"/>
      <c r="AN31" s="130"/>
      <c r="AO31" s="130"/>
      <c r="AP31" s="130"/>
      <c r="AQ31" s="130"/>
      <c r="AR31" s="130"/>
      <c r="AS31" s="130"/>
      <c r="AT31" s="127"/>
      <c r="AU31" s="128"/>
      <c r="AV31" s="131"/>
      <c r="BE31" s="223"/>
      <c r="BF31" s="224"/>
      <c r="BG31" s="225"/>
      <c r="BH31" s="225"/>
      <c r="BI31" s="226"/>
      <c r="BJ31" s="226"/>
      <c r="BK31" s="226"/>
      <c r="BL31" s="227"/>
      <c r="BM31" s="227"/>
      <c r="BN31" s="227"/>
      <c r="BO31" s="227" t="str">
        <f t="shared" si="1"/>
        <v/>
      </c>
      <c r="BP31" s="227"/>
      <c r="BQ31" s="227"/>
      <c r="BR31" s="224"/>
      <c r="BS31" s="224"/>
      <c r="BT31" s="228"/>
      <c r="CC31" s="105" t="s">
        <v>128</v>
      </c>
      <c r="CD31" s="106">
        <v>0</v>
      </c>
    </row>
    <row r="32" spans="1:83" ht="10.199999999999999" customHeight="1">
      <c r="A32" s="126"/>
      <c r="B32" s="127"/>
      <c r="C32" s="128"/>
      <c r="D32" s="130"/>
      <c r="E32" s="130"/>
      <c r="F32" s="130"/>
      <c r="G32" s="104"/>
      <c r="H32" s="104"/>
      <c r="I32" s="104"/>
      <c r="J32" s="104"/>
      <c r="K32" s="104"/>
      <c r="L32" s="104"/>
      <c r="M32" s="104"/>
      <c r="N32" s="132" t="s">
        <v>105</v>
      </c>
      <c r="O32" s="133" t="s">
        <v>23</v>
      </c>
      <c r="P32" s="303">
        <v>0</v>
      </c>
      <c r="Q32" s="304"/>
      <c r="R32" s="305"/>
      <c r="S32" s="130" t="s">
        <v>77</v>
      </c>
      <c r="T32" s="130"/>
      <c r="U32" s="130"/>
      <c r="V32" s="130"/>
      <c r="W32" s="133"/>
      <c r="X32" s="133"/>
      <c r="Y32" s="130"/>
      <c r="Z32" s="130"/>
      <c r="AA32" s="130"/>
      <c r="AB32" s="130"/>
      <c r="AC32" s="130"/>
      <c r="AD32" s="130"/>
      <c r="AE32" s="130"/>
      <c r="AF32" s="130"/>
      <c r="AG32" s="130"/>
      <c r="AH32" s="130"/>
      <c r="AI32" s="130"/>
      <c r="AJ32" s="130"/>
      <c r="AK32" s="130"/>
      <c r="AL32" s="130"/>
      <c r="AM32" s="130"/>
      <c r="AN32" s="130"/>
      <c r="AO32" s="130"/>
      <c r="AP32" s="130"/>
      <c r="AQ32" s="130"/>
      <c r="AR32" s="130"/>
      <c r="AS32" s="130"/>
      <c r="AT32" s="127"/>
      <c r="AU32" s="128"/>
      <c r="AV32" s="131"/>
      <c r="BE32" s="223"/>
      <c r="BF32" s="224"/>
      <c r="BG32" s="225"/>
      <c r="BH32" s="225"/>
      <c r="BI32" s="226"/>
      <c r="BJ32" s="226"/>
      <c r="BK32" s="226"/>
      <c r="BL32" s="227"/>
      <c r="BM32" s="227"/>
      <c r="BN32" s="227"/>
      <c r="BO32" s="227" t="str">
        <f t="shared" si="1"/>
        <v/>
      </c>
      <c r="BP32" s="227"/>
      <c r="BQ32" s="227"/>
      <c r="BR32" s="224"/>
      <c r="BS32" s="224"/>
      <c r="BT32" s="228"/>
      <c r="CC32" s="105" t="s">
        <v>89</v>
      </c>
      <c r="CD32" s="335">
        <v>1</v>
      </c>
      <c r="CE32" s="335"/>
    </row>
    <row r="33" spans="1:106" ht="10.199999999999999" customHeight="1">
      <c r="A33" s="126"/>
      <c r="B33" s="127"/>
      <c r="C33" s="128"/>
      <c r="D33" s="129" t="s">
        <v>79</v>
      </c>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30"/>
      <c r="AC33" s="130"/>
      <c r="AD33" s="130"/>
      <c r="AE33" s="130"/>
      <c r="AF33" s="130"/>
      <c r="AG33" s="130"/>
      <c r="AH33" s="130"/>
      <c r="AI33" s="130"/>
      <c r="AJ33" s="130"/>
      <c r="AK33" s="130"/>
      <c r="AL33" s="130"/>
      <c r="AM33" s="130"/>
      <c r="AN33" s="130"/>
      <c r="AO33" s="130"/>
      <c r="AP33" s="130"/>
      <c r="AQ33" s="130"/>
      <c r="AR33" s="130"/>
      <c r="AS33" s="130"/>
      <c r="AT33" s="127"/>
      <c r="AU33" s="128"/>
      <c r="AV33" s="131"/>
      <c r="BE33" s="223"/>
      <c r="BF33" s="224"/>
      <c r="BG33" s="225"/>
      <c r="BH33" s="225"/>
      <c r="BI33" s="226"/>
      <c r="BJ33" s="226"/>
      <c r="BK33" s="226"/>
      <c r="BL33" s="227"/>
      <c r="BM33" s="227"/>
      <c r="BN33" s="227"/>
      <c r="BO33" s="227" t="str">
        <f t="shared" si="1"/>
        <v/>
      </c>
      <c r="BP33" s="227"/>
      <c r="BQ33" s="227"/>
      <c r="BR33" s="224"/>
      <c r="BS33" s="224"/>
      <c r="BT33" s="228"/>
      <c r="CC33" s="105" t="s">
        <v>90</v>
      </c>
      <c r="CD33" s="335">
        <v>1.5</v>
      </c>
      <c r="CE33" s="335"/>
    </row>
    <row r="34" spans="1:106" ht="10.199999999999999" customHeight="1">
      <c r="A34" s="126"/>
      <c r="B34" s="127"/>
      <c r="C34" s="128"/>
      <c r="D34" s="130"/>
      <c r="E34" s="130"/>
      <c r="F34" s="130"/>
      <c r="G34" s="130"/>
      <c r="H34" s="130"/>
      <c r="I34" s="130"/>
      <c r="J34" s="130"/>
      <c r="K34" s="130"/>
      <c r="L34" s="130"/>
      <c r="M34" s="130"/>
      <c r="N34" s="132" t="s">
        <v>80</v>
      </c>
      <c r="O34" s="133" t="s">
        <v>23</v>
      </c>
      <c r="P34" s="320" t="s">
        <v>135</v>
      </c>
      <c r="Q34" s="321"/>
      <c r="R34" s="321"/>
      <c r="S34" s="322"/>
      <c r="T34" s="323"/>
      <c r="U34" s="104"/>
      <c r="V34" s="130"/>
      <c r="W34" s="130"/>
      <c r="X34" s="130"/>
      <c r="Y34" s="130"/>
      <c r="Z34" s="132"/>
      <c r="AA34" s="132"/>
      <c r="AB34" s="130"/>
      <c r="AC34" s="130"/>
      <c r="AD34" s="130"/>
      <c r="AE34" s="130"/>
      <c r="AF34" s="130"/>
      <c r="AG34" s="130"/>
      <c r="AH34" s="130"/>
      <c r="AI34" s="130"/>
      <c r="AJ34" s="130"/>
      <c r="AK34" s="130"/>
      <c r="AL34" s="130"/>
      <c r="AM34" s="133"/>
      <c r="AN34" s="133"/>
      <c r="AO34" s="130"/>
      <c r="AP34" s="130"/>
      <c r="AQ34" s="130"/>
      <c r="AR34" s="130"/>
      <c r="AS34" s="130"/>
      <c r="AT34" s="127"/>
      <c r="AU34" s="128"/>
      <c r="AV34" s="131"/>
      <c r="BE34" s="223"/>
      <c r="BF34" s="224"/>
      <c r="BG34" s="225"/>
      <c r="BH34" s="225"/>
      <c r="BI34" s="226"/>
      <c r="BJ34" s="226"/>
      <c r="BK34" s="226"/>
      <c r="BL34" s="227"/>
      <c r="BM34" s="227"/>
      <c r="BN34" s="227"/>
      <c r="BO34" s="227" t="str">
        <f t="shared" si="1"/>
        <v/>
      </c>
      <c r="BP34" s="227"/>
      <c r="BQ34" s="227"/>
      <c r="BR34" s="224"/>
      <c r="BS34" s="224"/>
      <c r="BT34" s="228"/>
      <c r="CC34" s="105" t="s">
        <v>91</v>
      </c>
      <c r="CD34" s="335">
        <v>3</v>
      </c>
      <c r="CE34" s="335"/>
    </row>
    <row r="35" spans="1:106" ht="10.199999999999999" customHeight="1">
      <c r="A35" s="126"/>
      <c r="B35" s="127"/>
      <c r="C35" s="128"/>
      <c r="D35" s="130"/>
      <c r="E35" s="130"/>
      <c r="F35" s="130"/>
      <c r="G35" s="130"/>
      <c r="H35" s="130"/>
      <c r="I35" s="130"/>
      <c r="J35" s="130"/>
      <c r="K35" s="130"/>
      <c r="L35" s="130"/>
      <c r="M35" s="130"/>
      <c r="N35" s="132" t="s">
        <v>106</v>
      </c>
      <c r="O35" s="133" t="s">
        <v>23</v>
      </c>
      <c r="P35" s="217" t="s">
        <v>90</v>
      </c>
      <c r="Q35" s="218"/>
      <c r="R35" s="219"/>
      <c r="S35" s="104"/>
      <c r="T35" s="104"/>
      <c r="U35" s="104"/>
      <c r="V35" s="104"/>
      <c r="W35" s="104"/>
      <c r="X35" s="130"/>
      <c r="Y35" s="130"/>
      <c r="Z35" s="132"/>
      <c r="AA35" s="132"/>
      <c r="AB35" s="130"/>
      <c r="AC35" s="130"/>
      <c r="AD35" s="130"/>
      <c r="AE35" s="130"/>
      <c r="AF35" s="130"/>
      <c r="AG35" s="130"/>
      <c r="AH35" s="132"/>
      <c r="AI35" s="133"/>
      <c r="AJ35" s="133"/>
      <c r="AK35" s="133"/>
      <c r="AL35" s="133"/>
      <c r="AM35" s="133"/>
      <c r="AN35" s="133"/>
      <c r="AO35" s="130"/>
      <c r="AP35" s="130"/>
      <c r="AQ35" s="130"/>
      <c r="AR35" s="130"/>
      <c r="AS35" s="130"/>
      <c r="AT35" s="127"/>
      <c r="AU35" s="128"/>
      <c r="AV35" s="131"/>
      <c r="BE35" s="223"/>
      <c r="BF35" s="224"/>
      <c r="BG35" s="225"/>
      <c r="BH35" s="225"/>
      <c r="BI35" s="226"/>
      <c r="BJ35" s="226"/>
      <c r="BK35" s="226"/>
      <c r="BL35" s="227"/>
      <c r="BM35" s="227"/>
      <c r="BN35" s="227"/>
      <c r="BO35" s="227" t="str">
        <f t="shared" si="1"/>
        <v/>
      </c>
      <c r="BP35" s="227"/>
      <c r="BQ35" s="227"/>
      <c r="BR35" s="224"/>
      <c r="BS35" s="224"/>
      <c r="BT35" s="228"/>
      <c r="CC35" s="105" t="s">
        <v>92</v>
      </c>
      <c r="CD35" s="335">
        <v>5</v>
      </c>
      <c r="CE35" s="335"/>
    </row>
    <row r="36" spans="1:106" ht="10.199999999999999" customHeight="1">
      <c r="A36" s="126"/>
      <c r="B36" s="127"/>
      <c r="C36" s="128"/>
      <c r="D36" s="130"/>
      <c r="E36" s="130"/>
      <c r="F36" s="130"/>
      <c r="G36" s="130"/>
      <c r="H36" s="130"/>
      <c r="I36" s="130"/>
      <c r="J36" s="130"/>
      <c r="K36" s="130"/>
      <c r="L36" s="130"/>
      <c r="M36" s="130"/>
      <c r="N36" s="130"/>
      <c r="O36" s="133" t="s">
        <v>23</v>
      </c>
      <c r="P36" s="280">
        <f>VLOOKUP(P8,'Pipe Schedules'!$A$7:$U$48,21)*VLOOKUP(P35,Calculation!CC31:CD35,2,FALSE)*25.4</f>
        <v>304.79999999999995</v>
      </c>
      <c r="Q36" s="281"/>
      <c r="R36" s="282"/>
      <c r="S36" s="130"/>
      <c r="T36" s="130"/>
      <c r="U36" s="130"/>
      <c r="V36" s="130"/>
      <c r="W36" s="130"/>
      <c r="X36" s="130"/>
      <c r="Y36" s="130"/>
      <c r="Z36" s="130"/>
      <c r="AA36" s="130"/>
      <c r="AB36" s="130"/>
      <c r="AC36" s="130"/>
      <c r="AD36" s="130"/>
      <c r="AE36" s="130"/>
      <c r="AF36" s="130"/>
      <c r="AG36" s="130"/>
      <c r="AH36" s="130"/>
      <c r="AI36" s="130"/>
      <c r="AJ36" s="130"/>
      <c r="AK36" s="130"/>
      <c r="AL36" s="130"/>
      <c r="AM36" s="130"/>
      <c r="AN36" s="130"/>
      <c r="AO36" s="130"/>
      <c r="AP36" s="130"/>
      <c r="AQ36" s="130"/>
      <c r="AR36" s="130"/>
      <c r="AS36" s="130"/>
      <c r="AT36" s="127"/>
      <c r="AU36" s="128"/>
      <c r="AV36" s="131"/>
      <c r="BE36" s="223"/>
      <c r="BF36" s="224"/>
      <c r="BG36" s="225"/>
      <c r="BH36" s="225"/>
      <c r="BI36" s="226"/>
      <c r="BJ36" s="226"/>
      <c r="BK36" s="226"/>
      <c r="BL36" s="227"/>
      <c r="BM36" s="227"/>
      <c r="BN36" s="227"/>
      <c r="BO36" s="227" t="str">
        <f t="shared" si="1"/>
        <v/>
      </c>
      <c r="BP36" s="227"/>
      <c r="BQ36" s="227"/>
      <c r="BR36" s="224"/>
      <c r="BS36" s="224"/>
      <c r="BT36" s="228"/>
    </row>
    <row r="37" spans="1:106" ht="10.199999999999999" customHeight="1">
      <c r="A37" s="126"/>
      <c r="B37" s="127"/>
      <c r="C37" s="128"/>
      <c r="D37" s="130"/>
      <c r="E37" s="130"/>
      <c r="F37" s="130"/>
      <c r="G37" s="130"/>
      <c r="H37" s="130"/>
      <c r="I37" s="130"/>
      <c r="J37" s="130"/>
      <c r="K37" s="130"/>
      <c r="L37" s="130"/>
      <c r="M37" s="130"/>
      <c r="N37" s="132" t="s">
        <v>133</v>
      </c>
      <c r="O37" s="133" t="s">
        <v>23</v>
      </c>
      <c r="P37" s="306">
        <f>IF(P34="Non-Ellipse",P19,IF(P34="Elbow",P10*ASIN(P19/P10),IF(P25&gt;0,P19+P25,P19)))</f>
        <v>84.135000000000005</v>
      </c>
      <c r="Q37" s="307"/>
      <c r="R37" s="308"/>
      <c r="S37" s="130"/>
      <c r="T37" s="130"/>
      <c r="U37" s="130"/>
      <c r="V37" s="130"/>
      <c r="W37" s="130"/>
      <c r="X37" s="130"/>
      <c r="Y37" s="130"/>
      <c r="Z37" s="130"/>
      <c r="AA37" s="130"/>
      <c r="AB37" s="130"/>
      <c r="AC37" s="130"/>
      <c r="AD37" s="130"/>
      <c r="AE37" s="130"/>
      <c r="AF37" s="130"/>
      <c r="AG37" s="130"/>
      <c r="AH37" s="130"/>
      <c r="AI37" s="130"/>
      <c r="AJ37" s="130"/>
      <c r="AK37" s="130"/>
      <c r="AL37" s="130"/>
      <c r="AM37" s="130"/>
      <c r="AN37" s="130"/>
      <c r="AO37" s="130"/>
      <c r="AP37" s="130"/>
      <c r="AQ37" s="130"/>
      <c r="AR37" s="130"/>
      <c r="AS37" s="130"/>
      <c r="AT37" s="127"/>
      <c r="AU37" s="128"/>
      <c r="AV37" s="131"/>
      <c r="BA37" s="103"/>
      <c r="BB37" s="103"/>
      <c r="BC37" s="103"/>
      <c r="BE37" s="223"/>
      <c r="BF37" s="224"/>
      <c r="BG37" s="225"/>
      <c r="BH37" s="225"/>
      <c r="BI37" s="226"/>
      <c r="BJ37" s="226"/>
      <c r="BK37" s="226"/>
      <c r="BL37" s="227"/>
      <c r="BM37" s="227"/>
      <c r="BN37" s="227"/>
      <c r="BO37" s="227" t="str">
        <f t="shared" si="1"/>
        <v/>
      </c>
      <c r="BP37" s="227"/>
      <c r="BQ37" s="227"/>
      <c r="BR37" s="224"/>
      <c r="BS37" s="224"/>
      <c r="BT37" s="228"/>
    </row>
    <row r="38" spans="1:106" ht="10.199999999999999" customHeight="1">
      <c r="A38" s="126"/>
      <c r="B38" s="127"/>
      <c r="C38" s="128"/>
      <c r="D38" s="130"/>
      <c r="E38" s="130"/>
      <c r="F38" s="130"/>
      <c r="G38" s="130"/>
      <c r="H38" s="130"/>
      <c r="I38" s="130"/>
      <c r="J38" s="130"/>
      <c r="K38" s="130"/>
      <c r="L38" s="130"/>
      <c r="M38" s="130"/>
      <c r="N38" s="132" t="s">
        <v>134</v>
      </c>
      <c r="O38" s="133" t="s">
        <v>23</v>
      </c>
      <c r="P38" s="306">
        <f>IF(P34="Non-Ellipse",P19,IF(P34="Elbow",(P36+P10)*(ACOS((P36+P24-P19)/(P36+P10))-ACOS((P36+P24+P19)/(P36+P10)))/2,IF(P25&gt;0,P10*ASIN(P19/P10)+P25,P10*ASIN(P19/P10))))</f>
        <v>84.135000000000005</v>
      </c>
      <c r="Q38" s="307"/>
      <c r="R38" s="308"/>
      <c r="S38" s="130"/>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0"/>
      <c r="AR38" s="130"/>
      <c r="AS38" s="130"/>
      <c r="AT38" s="127"/>
      <c r="AU38" s="128"/>
      <c r="AV38" s="131"/>
      <c r="BA38" s="103"/>
      <c r="BB38" s="103"/>
      <c r="BC38" s="103"/>
      <c r="BE38" s="223"/>
      <c r="BF38" s="224"/>
      <c r="BG38" s="225"/>
      <c r="BH38" s="225"/>
      <c r="BI38" s="226"/>
      <c r="BJ38" s="226"/>
      <c r="BK38" s="226"/>
      <c r="BL38" s="227"/>
      <c r="BM38" s="227"/>
      <c r="BN38" s="227"/>
      <c r="BO38" s="227" t="str">
        <f t="shared" si="1"/>
        <v/>
      </c>
      <c r="BP38" s="227"/>
      <c r="BQ38" s="227"/>
      <c r="BR38" s="224"/>
      <c r="BS38" s="224"/>
      <c r="BT38" s="228"/>
    </row>
    <row r="39" spans="1:106" ht="10.199999999999999" customHeight="1">
      <c r="A39" s="126"/>
      <c r="B39" s="127"/>
      <c r="C39" s="128"/>
      <c r="D39" s="130"/>
      <c r="E39" s="130"/>
      <c r="F39" s="130"/>
      <c r="G39" s="130"/>
      <c r="H39" s="130"/>
      <c r="I39" s="130"/>
      <c r="J39" s="130"/>
      <c r="K39" s="130"/>
      <c r="L39" s="130"/>
      <c r="M39" s="130"/>
      <c r="N39" s="132" t="s">
        <v>116</v>
      </c>
      <c r="O39" s="133" t="s">
        <v>23</v>
      </c>
      <c r="P39" s="306">
        <f>PI()*P37*P38</f>
        <v>22238.386340639114</v>
      </c>
      <c r="Q39" s="307"/>
      <c r="R39" s="308"/>
      <c r="S39" s="130" t="s">
        <v>93</v>
      </c>
      <c r="T39" s="130"/>
      <c r="U39" s="130"/>
      <c r="V39" s="130"/>
      <c r="W39" s="130"/>
      <c r="X39" s="130"/>
      <c r="Y39" s="130"/>
      <c r="Z39" s="130"/>
      <c r="AA39" s="130"/>
      <c r="AB39" s="130"/>
      <c r="AC39" s="130"/>
      <c r="AD39" s="130"/>
      <c r="AE39" s="130"/>
      <c r="AF39" s="130"/>
      <c r="AG39" s="130"/>
      <c r="AH39" s="130"/>
      <c r="AI39" s="130"/>
      <c r="AJ39" s="130"/>
      <c r="AK39" s="104"/>
      <c r="AL39" s="104"/>
      <c r="AM39" s="104"/>
      <c r="AN39" s="104"/>
      <c r="AO39" s="130"/>
      <c r="AP39" s="130"/>
      <c r="AQ39" s="130"/>
      <c r="AR39" s="130"/>
      <c r="AS39" s="130"/>
      <c r="AT39" s="127"/>
      <c r="AU39" s="128"/>
      <c r="AV39" s="131"/>
      <c r="BE39" s="223"/>
      <c r="BF39" s="224"/>
      <c r="BG39" s="225"/>
      <c r="BH39" s="225"/>
      <c r="BI39" s="226"/>
      <c r="BJ39" s="226"/>
      <c r="BK39" s="226"/>
      <c r="BL39" s="227"/>
      <c r="BM39" s="227"/>
      <c r="BN39" s="227"/>
      <c r="BO39" s="227" t="str">
        <f t="shared" si="1"/>
        <v/>
      </c>
      <c r="BP39" s="227"/>
      <c r="BQ39" s="227"/>
      <c r="BR39" s="224"/>
      <c r="BS39" s="224"/>
      <c r="BT39" s="228"/>
    </row>
    <row r="40" spans="1:106" ht="10.199999999999999" customHeight="1">
      <c r="A40" s="126"/>
      <c r="B40" s="127"/>
      <c r="C40" s="128"/>
      <c r="D40" s="130"/>
      <c r="E40" s="130"/>
      <c r="F40" s="130"/>
      <c r="G40" s="130"/>
      <c r="H40" s="130"/>
      <c r="I40" s="130"/>
      <c r="J40" s="130"/>
      <c r="K40" s="130"/>
      <c r="L40" s="130"/>
      <c r="M40" s="130"/>
      <c r="N40" s="132" t="s">
        <v>117</v>
      </c>
      <c r="O40" s="133" t="s">
        <v>23</v>
      </c>
      <c r="P40" s="306">
        <f>IF(P34="Non-Ellipse",2*PI()*P37,PI()*(P37+P38)*(1+3*POWER((P37-P38)/(P37+P38),2)/(10+SQRT(4-3*POWER((P37-P38)/(P37+P38),2)))))</f>
        <v>528.63579581955457</v>
      </c>
      <c r="Q40" s="307"/>
      <c r="R40" s="308"/>
      <c r="S40" s="130"/>
      <c r="T40" s="130"/>
      <c r="U40" s="130"/>
      <c r="V40" s="130"/>
      <c r="W40" s="130"/>
      <c r="X40" s="130"/>
      <c r="Y40" s="130"/>
      <c r="Z40" s="130"/>
      <c r="AA40" s="130"/>
      <c r="AB40" s="130"/>
      <c r="AC40" s="130"/>
      <c r="AD40" s="130"/>
      <c r="AE40" s="130"/>
      <c r="AF40" s="130"/>
      <c r="AG40" s="130"/>
      <c r="AH40" s="130"/>
      <c r="AI40" s="130"/>
      <c r="AJ40" s="130"/>
      <c r="AK40" s="104"/>
      <c r="AL40" s="104"/>
      <c r="AM40" s="104"/>
      <c r="AN40" s="104"/>
      <c r="AO40" s="130"/>
      <c r="AP40" s="130"/>
      <c r="AQ40" s="130"/>
      <c r="AR40" s="130"/>
      <c r="AS40" s="130"/>
      <c r="AT40" s="127"/>
      <c r="AU40" s="128"/>
      <c r="AV40" s="131"/>
      <c r="BE40" s="223"/>
      <c r="BF40" s="224"/>
      <c r="BG40" s="225"/>
      <c r="BH40" s="225"/>
      <c r="BI40" s="226"/>
      <c r="BJ40" s="226"/>
      <c r="BK40" s="226"/>
      <c r="BL40" s="227"/>
      <c r="BM40" s="227"/>
      <c r="BN40" s="227"/>
      <c r="BO40" s="227" t="str">
        <f t="shared" si="1"/>
        <v/>
      </c>
      <c r="BP40" s="227"/>
      <c r="BQ40" s="227"/>
      <c r="BR40" s="224"/>
      <c r="BS40" s="224"/>
      <c r="BT40" s="228"/>
    </row>
    <row r="41" spans="1:106" ht="10.199999999999999" customHeight="1">
      <c r="A41" s="126"/>
      <c r="B41" s="127"/>
      <c r="C41" s="128"/>
      <c r="D41" s="130"/>
      <c r="E41" s="130"/>
      <c r="F41" s="130"/>
      <c r="G41" s="130"/>
      <c r="H41" s="130"/>
      <c r="I41" s="130"/>
      <c r="J41" s="130"/>
      <c r="K41" s="130"/>
      <c r="L41" s="130"/>
      <c r="M41" s="130"/>
      <c r="N41" s="132" t="s">
        <v>104</v>
      </c>
      <c r="O41" s="133" t="s">
        <v>23</v>
      </c>
      <c r="P41" s="310">
        <f>P12-P15-P13+P25-P27</f>
        <v>7.1574999999999998</v>
      </c>
      <c r="Q41" s="311"/>
      <c r="R41" s="312"/>
      <c r="S41" s="130"/>
      <c r="T41" s="130"/>
      <c r="U41" s="130"/>
      <c r="V41" s="130"/>
      <c r="W41" s="130"/>
      <c r="X41" s="130"/>
      <c r="Y41" s="130"/>
      <c r="Z41" s="130"/>
      <c r="AA41" s="130"/>
      <c r="AB41" s="130"/>
      <c r="AC41" s="130"/>
      <c r="AD41" s="130"/>
      <c r="AE41" s="130"/>
      <c r="AF41" s="130"/>
      <c r="AG41" s="130"/>
      <c r="AH41" s="130"/>
      <c r="AI41" s="130"/>
      <c r="AJ41" s="130"/>
      <c r="AK41" s="104"/>
      <c r="AL41" s="104"/>
      <c r="AM41" s="104"/>
      <c r="AN41" s="104"/>
      <c r="AO41" s="130"/>
      <c r="AP41" s="130"/>
      <c r="AQ41" s="130"/>
      <c r="AR41" s="130"/>
      <c r="AS41" s="130"/>
      <c r="AT41" s="127"/>
      <c r="AU41" s="128"/>
      <c r="AV41" s="131"/>
      <c r="BA41" s="103"/>
      <c r="BB41" s="103"/>
      <c r="BC41" s="103"/>
      <c r="BE41" s="223"/>
      <c r="BF41" s="224"/>
      <c r="BG41" s="225"/>
      <c r="BH41" s="225"/>
      <c r="BI41" s="226"/>
      <c r="BJ41" s="226"/>
      <c r="BK41" s="226"/>
      <c r="BL41" s="227"/>
      <c r="BM41" s="227"/>
      <c r="BN41" s="227"/>
      <c r="BO41" s="227" t="str">
        <f t="shared" si="1"/>
        <v/>
      </c>
      <c r="BP41" s="227"/>
      <c r="BQ41" s="227"/>
      <c r="BR41" s="224"/>
      <c r="BS41" s="224"/>
      <c r="BT41" s="228"/>
    </row>
    <row r="42" spans="1:106" ht="10.199999999999999" customHeight="1">
      <c r="A42" s="126"/>
      <c r="B42" s="127"/>
      <c r="C42" s="128"/>
      <c r="D42" s="130"/>
      <c r="E42" s="130"/>
      <c r="F42" s="130"/>
      <c r="G42" s="130"/>
      <c r="H42" s="130"/>
      <c r="I42" s="130"/>
      <c r="J42" s="130"/>
      <c r="K42" s="130"/>
      <c r="L42" s="130"/>
      <c r="M42" s="130"/>
      <c r="N42" s="132" t="str">
        <f ca="1">(IF(OR(CB47="",CB48="",CB49=""),"","Weight and Construction Tolerance"))</f>
        <v/>
      </c>
      <c r="O42" s="133" t="str">
        <f ca="1">(IF(OR(CB47="",CB48="",CB49=""),"","="))</f>
        <v/>
      </c>
      <c r="P42" s="221"/>
      <c r="Q42" s="222"/>
      <c r="R42" s="222"/>
      <c r="S42" s="130"/>
      <c r="T42" s="130"/>
      <c r="U42" s="130"/>
      <c r="V42" s="130"/>
      <c r="W42" s="130"/>
      <c r="X42" s="130"/>
      <c r="Y42" s="130"/>
      <c r="Z42" s="130"/>
      <c r="AA42" s="130"/>
      <c r="AB42" s="130"/>
      <c r="AC42" s="130"/>
      <c r="AD42" s="130"/>
      <c r="AE42" s="130"/>
      <c r="AF42" s="130"/>
      <c r="AG42" s="130"/>
      <c r="AH42" s="130"/>
      <c r="AI42" s="130"/>
      <c r="AJ42" s="130"/>
      <c r="AK42" s="130"/>
      <c r="AL42" s="130"/>
      <c r="AM42" s="130"/>
      <c r="AN42" s="130"/>
      <c r="AO42" s="130"/>
      <c r="AP42" s="130"/>
      <c r="AQ42" s="130"/>
      <c r="AR42" s="130"/>
      <c r="AS42" s="130"/>
      <c r="AT42" s="127"/>
      <c r="AU42" s="128"/>
      <c r="AV42" s="131"/>
      <c r="BE42" s="223"/>
      <c r="BF42" s="224"/>
      <c r="BG42" s="225"/>
      <c r="BH42" s="225"/>
      <c r="BI42" s="226"/>
      <c r="BJ42" s="226"/>
      <c r="BK42" s="226"/>
      <c r="BL42" s="227"/>
      <c r="BM42" s="227"/>
      <c r="BN42" s="227"/>
      <c r="BO42" s="227" t="str">
        <f t="shared" si="1"/>
        <v/>
      </c>
      <c r="BP42" s="227"/>
      <c r="BQ42" s="227"/>
      <c r="BR42" s="224"/>
      <c r="BS42" s="224"/>
      <c r="BT42" s="228"/>
    </row>
    <row r="43" spans="1:106" ht="10.199999999999999" customHeight="1">
      <c r="A43" s="126"/>
      <c r="B43" s="127"/>
      <c r="C43" s="128"/>
      <c r="D43" s="130"/>
      <c r="E43" s="130"/>
      <c r="F43" s="130"/>
      <c r="G43" s="130"/>
      <c r="H43" s="130"/>
      <c r="I43" s="130"/>
      <c r="J43" s="130"/>
      <c r="K43" s="130"/>
      <c r="L43" s="130"/>
      <c r="M43" s="130"/>
      <c r="N43" s="130"/>
      <c r="O43" s="130"/>
      <c r="P43" s="130"/>
      <c r="Q43" s="130"/>
      <c r="R43" s="130"/>
      <c r="S43" s="133"/>
      <c r="T43" s="130"/>
      <c r="U43" s="130"/>
      <c r="V43" s="130"/>
      <c r="W43" s="130"/>
      <c r="X43" s="130"/>
      <c r="Y43" s="130"/>
      <c r="Z43" s="130"/>
      <c r="AA43" s="130"/>
      <c r="AB43" s="130"/>
      <c r="AC43" s="130"/>
      <c r="AD43" s="130"/>
      <c r="AE43" s="130"/>
      <c r="AF43" s="130"/>
      <c r="AG43" s="130"/>
      <c r="AH43" s="130"/>
      <c r="AI43" s="130"/>
      <c r="AJ43" s="130"/>
      <c r="AK43" s="130"/>
      <c r="AL43" s="130"/>
      <c r="AM43" s="130"/>
      <c r="AN43" s="130"/>
      <c r="AO43" s="130"/>
      <c r="AP43" s="130"/>
      <c r="AQ43" s="130"/>
      <c r="AR43" s="130"/>
      <c r="AS43" s="130"/>
      <c r="AT43" s="127"/>
      <c r="AU43" s="128"/>
      <c r="AV43" s="131"/>
      <c r="BE43" s="223"/>
      <c r="BF43" s="224"/>
      <c r="BG43" s="225"/>
      <c r="BH43" s="225"/>
      <c r="BI43" s="226"/>
      <c r="BJ43" s="226"/>
      <c r="BK43" s="226"/>
      <c r="BL43" s="227"/>
      <c r="BM43" s="227"/>
      <c r="BN43" s="227"/>
      <c r="BO43" s="227" t="str">
        <f t="shared" si="1"/>
        <v/>
      </c>
      <c r="BP43" s="227"/>
      <c r="BQ43" s="227"/>
      <c r="BR43" s="224"/>
      <c r="BS43" s="224"/>
      <c r="BT43" s="228"/>
    </row>
    <row r="44" spans="1:106" ht="10.199999999999999" customHeight="1">
      <c r="A44" s="126"/>
      <c r="B44" s="127"/>
      <c r="C44" s="128"/>
      <c r="D44" s="172" t="s">
        <v>79</v>
      </c>
      <c r="E44" s="173"/>
      <c r="F44" s="173"/>
      <c r="G44" s="173"/>
      <c r="H44" s="173"/>
      <c r="I44" s="173"/>
      <c r="J44" s="173"/>
      <c r="K44" s="173"/>
      <c r="L44" s="173"/>
      <c r="M44" s="173"/>
      <c r="N44" s="173"/>
      <c r="O44" s="173"/>
      <c r="P44" s="176" t="s">
        <v>177</v>
      </c>
      <c r="Q44" s="173"/>
      <c r="R44" s="174"/>
      <c r="S44" s="286"/>
      <c r="T44" s="287"/>
      <c r="U44" s="288"/>
      <c r="V44" s="286"/>
      <c r="W44" s="287"/>
      <c r="X44" s="288"/>
      <c r="Y44" s="286"/>
      <c r="Z44" s="287"/>
      <c r="AA44" s="288"/>
      <c r="AB44" s="286"/>
      <c r="AC44" s="287"/>
      <c r="AD44" s="288"/>
      <c r="AE44" s="286"/>
      <c r="AF44" s="287"/>
      <c r="AG44" s="288"/>
      <c r="AH44" s="286"/>
      <c r="AI44" s="287"/>
      <c r="AJ44" s="288"/>
      <c r="AK44" s="286"/>
      <c r="AL44" s="287"/>
      <c r="AM44" s="288"/>
      <c r="AN44" s="286"/>
      <c r="AO44" s="287"/>
      <c r="AP44" s="288"/>
      <c r="AQ44" s="286"/>
      <c r="AR44" s="287"/>
      <c r="AS44" s="288"/>
      <c r="AT44" s="127"/>
      <c r="AU44" s="128"/>
      <c r="AV44" s="131"/>
      <c r="BE44" s="223"/>
      <c r="BF44" s="224"/>
      <c r="BG44" s="225"/>
      <c r="BH44" s="225"/>
      <c r="BI44" s="226"/>
      <c r="BJ44" s="226"/>
      <c r="BK44" s="226"/>
      <c r="BL44" s="227"/>
      <c r="BM44" s="227"/>
      <c r="BN44" s="227"/>
      <c r="BO44" s="227" t="str">
        <f t="shared" si="1"/>
        <v/>
      </c>
      <c r="BP44" s="227"/>
      <c r="BQ44" s="227"/>
      <c r="BR44" s="224"/>
      <c r="BS44" s="224"/>
      <c r="BT44" s="228"/>
      <c r="CB44" s="220" t="str">
        <f ca="1">IF($CB$7=0,"",TRIM(INDIRECT("'Case "&amp;COLUMN()-79&amp;"'!R4C3",FALSE)))</f>
        <v/>
      </c>
      <c r="CC44" s="220"/>
      <c r="CD44" s="220"/>
      <c r="CE44" s="220" t="str">
        <f ca="1">IF($CB$7=0,"",TRIM(INDIRECT("'Case "&amp;COLUMN()-81&amp;"'!R4C3",FALSE)))</f>
        <v/>
      </c>
      <c r="CF44" s="220"/>
      <c r="CG44" s="220"/>
      <c r="CH44" s="220" t="str">
        <f ca="1">IF($CB$7=0,"",TRIM(INDIRECT("'Case "&amp;COLUMN()-83&amp;"'!R4C3",FALSE)))</f>
        <v/>
      </c>
      <c r="CI44" s="220"/>
      <c r="CJ44" s="220"/>
      <c r="CK44" s="220" t="str">
        <f ca="1">IF($CB$7=0,"",TRIM(INDIRECT("'Case "&amp;COLUMN()-85&amp;"'!R4C3",FALSE)))</f>
        <v/>
      </c>
      <c r="CL44" s="220"/>
      <c r="CM44" s="220"/>
      <c r="CN44" s="220" t="str">
        <f ca="1">IF($CB$7=0,"",TRIM(INDIRECT("'Case "&amp;COLUMN()-87&amp;"'!R4C3",FALSE)))</f>
        <v/>
      </c>
      <c r="CO44" s="220"/>
      <c r="CP44" s="220"/>
      <c r="CQ44" s="220" t="str">
        <f ca="1">IF($CB$7=0,"",TRIM(INDIRECT("'Case "&amp;COLUMN()-89&amp;"'!R4C3",FALSE)))</f>
        <v/>
      </c>
      <c r="CR44" s="220"/>
      <c r="CS44" s="220"/>
      <c r="CT44" s="220" t="str">
        <f ca="1">IF($CB$7=0,"",TRIM(INDIRECT("'Case "&amp;COLUMN()-91&amp;"'!R4C3",FALSE)))</f>
        <v/>
      </c>
      <c r="CU44" s="220"/>
      <c r="CV44" s="220"/>
      <c r="CW44" s="220" t="str">
        <f ca="1">IF($CB$7=0,"",TRIM(INDIRECT("'Case "&amp;COLUMN()-93&amp;"'!R4C3",FALSE)))</f>
        <v/>
      </c>
      <c r="CX44" s="220"/>
      <c r="CY44" s="220"/>
      <c r="CZ44" s="220" t="str">
        <f ca="1">IF($CB$7=0,"",TRIM(INDIRECT("'Case "&amp;COLUMN()-95&amp;"'!R4C3",FALSE)))</f>
        <v/>
      </c>
      <c r="DA44" s="220"/>
      <c r="DB44" s="220"/>
    </row>
    <row r="45" spans="1:106" ht="10.199999999999999" customHeight="1">
      <c r="A45" s="126"/>
      <c r="B45" s="127"/>
      <c r="C45" s="128"/>
      <c r="D45" s="149"/>
      <c r="E45" s="138"/>
      <c r="F45" s="138"/>
      <c r="G45" s="138"/>
      <c r="H45" s="138"/>
      <c r="I45" s="138"/>
      <c r="J45" s="138"/>
      <c r="K45" s="138"/>
      <c r="L45" s="138"/>
      <c r="M45" s="138"/>
      <c r="N45" s="138"/>
      <c r="O45" s="138"/>
      <c r="P45" s="175" t="s">
        <v>176</v>
      </c>
      <c r="Q45" s="138"/>
      <c r="R45" s="138"/>
      <c r="S45" s="217"/>
      <c r="T45" s="218"/>
      <c r="U45" s="219"/>
      <c r="V45" s="217" t="str">
        <f ca="1">IF(CE45="","","("&amp;CE45&amp;")")</f>
        <v/>
      </c>
      <c r="W45" s="218"/>
      <c r="X45" s="219"/>
      <c r="Y45" s="217" t="str">
        <f ca="1">IF(CH45="","","("&amp;CH45&amp;")")</f>
        <v/>
      </c>
      <c r="Z45" s="218"/>
      <c r="AA45" s="219"/>
      <c r="AB45" s="217" t="str">
        <f ca="1">IF(CK45="","","("&amp;CK45&amp;")")</f>
        <v/>
      </c>
      <c r="AC45" s="218"/>
      <c r="AD45" s="219"/>
      <c r="AE45" s="217" t="str">
        <f ca="1">IF(CN45="","","("&amp;CN45&amp;")")</f>
        <v/>
      </c>
      <c r="AF45" s="218"/>
      <c r="AG45" s="219"/>
      <c r="AH45" s="217" t="str">
        <f ca="1">IF(CQ45="","","("&amp;CQ45&amp;")")</f>
        <v/>
      </c>
      <c r="AI45" s="218"/>
      <c r="AJ45" s="219"/>
      <c r="AK45" s="217" t="str">
        <f ca="1">IF(CT45="","","("&amp;CT45&amp;")")</f>
        <v/>
      </c>
      <c r="AL45" s="218"/>
      <c r="AM45" s="219"/>
      <c r="AN45" s="217" t="str">
        <f ca="1">IF(CW45="","","("&amp;CW45&amp;")")</f>
        <v/>
      </c>
      <c r="AO45" s="218"/>
      <c r="AP45" s="219"/>
      <c r="AQ45" s="217" t="str">
        <f ca="1">IF(CZ45="","","("&amp;CZ45&amp;")")</f>
        <v/>
      </c>
      <c r="AR45" s="218"/>
      <c r="AS45" s="219"/>
      <c r="AT45" s="127"/>
      <c r="AU45" s="128"/>
      <c r="AV45" s="131"/>
      <c r="BE45" s="223"/>
      <c r="BF45" s="224"/>
      <c r="BG45" s="225"/>
      <c r="BH45" s="225"/>
      <c r="BI45" s="226"/>
      <c r="BJ45" s="226"/>
      <c r="BK45" s="226"/>
      <c r="BL45" s="227"/>
      <c r="BM45" s="227"/>
      <c r="BN45" s="227"/>
      <c r="BO45" s="227" t="str">
        <f t="shared" si="1"/>
        <v/>
      </c>
      <c r="BP45" s="227"/>
      <c r="BQ45" s="227"/>
      <c r="BR45" s="224"/>
      <c r="BS45" s="224"/>
      <c r="BT45" s="228"/>
      <c r="CB45" s="220" t="str">
        <f ca="1">IF($CB$7=0,"",INDIRECT("'Case "&amp;COLUMN()-79&amp;"'!R4C4",FALSE))</f>
        <v/>
      </c>
      <c r="CC45" s="220"/>
      <c r="CD45" s="220"/>
      <c r="CE45" s="220" t="str">
        <f ca="1">IF($CB$7=0,"",INDIRECT("'Case "&amp;COLUMN()-81&amp;"'!R4C4",FALSE))</f>
        <v/>
      </c>
      <c r="CF45" s="220"/>
      <c r="CG45" s="220"/>
      <c r="CH45" s="220" t="str">
        <f ca="1">IF($CB$7=0,"",INDIRECT("'Case "&amp;COLUMN()-83&amp;"'!R4C4",FALSE))</f>
        <v/>
      </c>
      <c r="CI45" s="220"/>
      <c r="CJ45" s="220"/>
      <c r="CK45" s="220" t="str">
        <f ca="1">IF($CB$7=0,"",INDIRECT("'Case "&amp;COLUMN()-85&amp;"'!R4C4",FALSE))</f>
        <v/>
      </c>
      <c r="CL45" s="220"/>
      <c r="CM45" s="220"/>
      <c r="CN45" s="220" t="str">
        <f ca="1">IF($CB$7=0,"",INDIRECT("'Case "&amp;COLUMN()-87&amp;"'!R4C4",FALSE))</f>
        <v/>
      </c>
      <c r="CO45" s="220"/>
      <c r="CP45" s="220"/>
      <c r="CQ45" s="220" t="str">
        <f ca="1">IF($CB$7=0,"",INDIRECT("'Case "&amp;COLUMN()-89&amp;"'!R4C4",FALSE))</f>
        <v/>
      </c>
      <c r="CR45" s="220"/>
      <c r="CS45" s="220"/>
      <c r="CT45" s="220" t="str">
        <f ca="1">IF($CB$7=0,"",INDIRECT("'Case "&amp;COLUMN()-91&amp;"'!R4C4",FALSE))</f>
        <v/>
      </c>
      <c r="CU45" s="220"/>
      <c r="CV45" s="220"/>
      <c r="CW45" s="220" t="str">
        <f ca="1">IF($CB$7=0,"",INDIRECT("'Case "&amp;COLUMN()-93&amp;"'!R4C4",FALSE))</f>
        <v/>
      </c>
      <c r="CX45" s="220"/>
      <c r="CY45" s="220"/>
      <c r="CZ45" s="220" t="str">
        <f ca="1">IF($CB$7=0,"",INDIRECT("'Case "&amp;COLUMN()-95&amp;"'!R4C4",FALSE))</f>
        <v/>
      </c>
      <c r="DA45" s="220"/>
      <c r="DB45" s="220"/>
    </row>
    <row r="46" spans="1:106" ht="10.199999999999999" customHeight="1">
      <c r="A46" s="126"/>
      <c r="B46" s="127"/>
      <c r="C46" s="128"/>
      <c r="D46" s="137"/>
      <c r="E46" s="138"/>
      <c r="F46" s="138"/>
      <c r="G46" s="138"/>
      <c r="H46" s="138"/>
      <c r="I46" s="138"/>
      <c r="J46" s="138"/>
      <c r="K46" s="138"/>
      <c r="L46" s="138"/>
      <c r="M46" s="138"/>
      <c r="N46" s="139"/>
      <c r="O46" s="140"/>
      <c r="P46" s="139" t="s">
        <v>170</v>
      </c>
      <c r="Q46" s="138"/>
      <c r="R46" s="139" t="s">
        <v>77</v>
      </c>
      <c r="S46" s="232" t="str">
        <f>IF(OR(S47="",S48="",S49=""),"",$P32)</f>
        <v/>
      </c>
      <c r="T46" s="233"/>
      <c r="U46" s="234"/>
      <c r="V46" s="232" t="str">
        <f ca="1">IF(OR(V47="",V48="",V49=""),"",$P32)</f>
        <v/>
      </c>
      <c r="W46" s="233"/>
      <c r="X46" s="234"/>
      <c r="Y46" s="232" t="str">
        <f ca="1">IF(OR(Y47="",Y48="",Y49=""),"",$P32)</f>
        <v/>
      </c>
      <c r="Z46" s="233"/>
      <c r="AA46" s="234"/>
      <c r="AB46" s="232" t="str">
        <f ca="1">IF(OR(AB47="",AB48="",AB49=""),"",$P32)</f>
        <v/>
      </c>
      <c r="AC46" s="233"/>
      <c r="AD46" s="234"/>
      <c r="AE46" s="232" t="str">
        <f ca="1">IF(OR(AE47="",AE48="",AE49=""),"",$P32)</f>
        <v/>
      </c>
      <c r="AF46" s="233"/>
      <c r="AG46" s="234"/>
      <c r="AH46" s="232" t="str">
        <f ca="1">IF(OR(AH47="",AH48="",AH49=""),"",$P32)</f>
        <v/>
      </c>
      <c r="AI46" s="233"/>
      <c r="AJ46" s="234"/>
      <c r="AK46" s="232" t="str">
        <f ca="1">IF(OR(AK47="",AK48="",AK49=""),"",$P32)</f>
        <v/>
      </c>
      <c r="AL46" s="233"/>
      <c r="AM46" s="234"/>
      <c r="AN46" s="232" t="str">
        <f>IF(OR(AN47="",AN48="",AN49=""),"",$P32)</f>
        <v/>
      </c>
      <c r="AO46" s="233"/>
      <c r="AP46" s="234"/>
      <c r="AQ46" s="232" t="str">
        <f ca="1">IF(OR(AQ47="",AQ48="",AQ49=""),"",$P32)</f>
        <v/>
      </c>
      <c r="AR46" s="233"/>
      <c r="AS46" s="234"/>
      <c r="AT46" s="127"/>
      <c r="AU46" s="128"/>
      <c r="AV46" s="131"/>
      <c r="BE46" s="223"/>
      <c r="BF46" s="224"/>
      <c r="BG46" s="225"/>
      <c r="BH46" s="225"/>
      <c r="BI46" s="226"/>
      <c r="BJ46" s="226"/>
      <c r="BK46" s="226"/>
      <c r="BL46" s="227"/>
      <c r="BM46" s="227"/>
      <c r="BN46" s="227"/>
      <c r="BO46" s="227" t="str">
        <f>IF(OR(BI46="",BL46=""),"",IF(OR(AND(UPPER(BI46)="X",UPPER(BL46)="Y"),AND(UPPER(BI46)="Y",UPPER(BL46)="X")),"z",IF(OR(AND(UPPER(BI46)="X",UPPER(BL46)="Z"),AND(UPPER(BI46)="Z",UPPER(BL46)="X")),"y","x")))</f>
        <v/>
      </c>
      <c r="BP46" s="227"/>
      <c r="BQ46" s="227"/>
      <c r="BR46" s="224"/>
      <c r="BS46" s="224"/>
      <c r="BT46" s="228"/>
    </row>
    <row r="47" spans="1:106" ht="10.199999999999999" customHeight="1">
      <c r="A47" s="126"/>
      <c r="B47" s="127"/>
      <c r="C47" s="128"/>
      <c r="D47" s="137"/>
      <c r="E47" s="140"/>
      <c r="F47" s="138"/>
      <c r="G47" s="138"/>
      <c r="H47" s="138"/>
      <c r="I47" s="138"/>
      <c r="J47" s="138"/>
      <c r="K47" s="138"/>
      <c r="L47" s="138"/>
      <c r="M47" s="138"/>
      <c r="N47" s="138"/>
      <c r="O47" s="138"/>
      <c r="P47" s="139" t="s">
        <v>107</v>
      </c>
      <c r="Q47" s="138"/>
      <c r="R47" s="139" t="s">
        <v>85</v>
      </c>
      <c r="S47" s="319"/>
      <c r="T47" s="319"/>
      <c r="U47" s="319"/>
      <c r="V47" s="319" t="str">
        <f ca="1">IF(CE47="","",ROUNDUP((1+$P$42)*ABS(CE47),IF((1+$P$42)*ABS(CE47)&gt;1000,-2,IF((1+$P$42)*ABS(CE47)&gt;10,-1,0))))</f>
        <v/>
      </c>
      <c r="W47" s="319"/>
      <c r="X47" s="319"/>
      <c r="Y47" s="319" t="str">
        <f ca="1">IF(CH47="","",ROUNDUP((1+$P$42)*ABS(CH47),IF((1+$P$42)*ABS(CH47)&gt;1000,-2,IF((1+$P$42)*ABS(CH47)&gt;10,-1,0))))</f>
        <v/>
      </c>
      <c r="Z47" s="319"/>
      <c r="AA47" s="319"/>
      <c r="AB47" s="319" t="str">
        <f ca="1">IF(CK47="","",ROUNDUP(ABS(CK47),IF(ABS(CK47)&gt;1000,-2,IF(ABS(CK47)&gt;10,-1,0))))</f>
        <v/>
      </c>
      <c r="AC47" s="319"/>
      <c r="AD47" s="319"/>
      <c r="AE47" s="319" t="str">
        <f ca="1">IF(CN47="","",ROUNDUP(ABS(CN47),IF(ABS(CN47)&gt;1000,-2,IF(ABS(CN47)&gt;10,-1,0))))</f>
        <v/>
      </c>
      <c r="AF47" s="319"/>
      <c r="AG47" s="319"/>
      <c r="AH47" s="319" t="str">
        <f ca="1">IF(CQ47="","",ROUNDUP(ABS(CQ47),IF(ABS(CQ47)&gt;1000,-2,IF(ABS(CQ47)&gt;10,-1,0))))</f>
        <v/>
      </c>
      <c r="AI47" s="319"/>
      <c r="AJ47" s="319"/>
      <c r="AK47" s="319" t="str">
        <f ca="1">IF(CT47="","",ROUNDUP((1+$P$42)*ABS(CT47),IF((1+$P$42)*ABS(CT47)&gt;1000,-2,IF((1+$P$42)*ABS(CT47)&gt;10,-1,0))))</f>
        <v/>
      </c>
      <c r="AL47" s="319"/>
      <c r="AM47" s="319"/>
      <c r="AN47" s="319"/>
      <c r="AO47" s="319"/>
      <c r="AP47" s="319"/>
      <c r="AQ47" s="319" t="str">
        <f ca="1">IF(CZ47="","",ROUNDUP((1+$P$42)*ABS(CZ47),IF((1+$P$42)*ABS(CZ47)&gt;1000,-2,IF((1+$P$42)*ABS(CZ47)&gt;10,-1,0))))</f>
        <v/>
      </c>
      <c r="AR47" s="319"/>
      <c r="AS47" s="319"/>
      <c r="AT47" s="127"/>
      <c r="AU47" s="128"/>
      <c r="AV47" s="131"/>
      <c r="BE47" s="223"/>
      <c r="BF47" s="224"/>
      <c r="BG47" s="225"/>
      <c r="BH47" s="225"/>
      <c r="BI47" s="226"/>
      <c r="BJ47" s="226"/>
      <c r="BK47" s="226"/>
      <c r="BL47" s="227"/>
      <c r="BM47" s="227"/>
      <c r="BN47" s="227"/>
      <c r="BO47" s="227" t="str">
        <f t="shared" si="1"/>
        <v/>
      </c>
      <c r="BP47" s="227"/>
      <c r="BQ47" s="227"/>
      <c r="BR47" s="224"/>
      <c r="BS47" s="224"/>
      <c r="BT47" s="228"/>
      <c r="CB47" s="220" t="str">
        <f ca="1">IF($CB$7=0,"",INDIRECT("'Case "&amp;COLUMN()-79&amp;"'!R"&amp;5+$CB$7&amp;"C"&amp;(COLUMN()-3+IF(UPPER(INDIRECT("BI"&amp;10+$CB$7))="Y",11,IF(UPPER(INDIRECT("BI"&amp;10+$CB$7))="Z",22,0)))/11,FALSE))</f>
        <v/>
      </c>
      <c r="CC47" s="220"/>
      <c r="CD47" s="220"/>
      <c r="CE47" s="220" t="str">
        <f ca="1">IF($CB$7=0,"",INDIRECT("'Case "&amp;COLUMN()-81&amp;"'!R"&amp;5+$CB$7&amp;"C"&amp;(COLUMN()-6+IF(UPPER(INDIRECT("BI"&amp;10+$CB$7))="Y",11,IF(UPPER(INDIRECT("BI"&amp;10+$CB$7))="Z",22,0)))/11,FALSE))</f>
        <v/>
      </c>
      <c r="CF47" s="220"/>
      <c r="CG47" s="220"/>
      <c r="CH47" s="220" t="str">
        <f ca="1">IF($CB$7=0,"",INDIRECT("'Case "&amp;COLUMN()-83&amp;"'!R"&amp;5+$CB$7&amp;"C"&amp;(COLUMN()-9+IF(UPPER(INDIRECT("BI"&amp;10+$CB$7))="Y",11,IF(UPPER(INDIRECT("BI"&amp;10+$CB$7))="Z",22,0)))/11,FALSE))</f>
        <v/>
      </c>
      <c r="CI47" s="220"/>
      <c r="CJ47" s="220"/>
      <c r="CK47" s="220" t="str">
        <f ca="1">IF($CB$7=0,"",INDIRECT("'Case "&amp;COLUMN()-85&amp;"'!R"&amp;5+$CB$7&amp;"C"&amp;(COLUMN()-12+IF(UPPER(INDIRECT("BI"&amp;10+$CB$7))="Y",11,IF(UPPER(INDIRECT("BI"&amp;10+$CB$7))="Z",22,0)))/11,FALSE))</f>
        <v/>
      </c>
      <c r="CL47" s="220"/>
      <c r="CM47" s="220"/>
      <c r="CN47" s="220" t="str">
        <f ca="1">IF($CB$7=0,"",INDIRECT("'Case "&amp;COLUMN()-87&amp;"'!R"&amp;5+$CB$7&amp;"C"&amp;(COLUMN()-15+IF(UPPER(INDIRECT("BI"&amp;10+$CB$7))="Y",11,IF(UPPER(INDIRECT("BI"&amp;10+$CB$7))="Z",22,0)))/11,FALSE))</f>
        <v/>
      </c>
      <c r="CO47" s="220"/>
      <c r="CP47" s="220"/>
      <c r="CQ47" s="220" t="str">
        <f ca="1">IF($CB$7=0,"",INDIRECT("'Case "&amp;COLUMN()-89&amp;"'!R"&amp;5+$CB$7&amp;"C"&amp;(COLUMN()-18+IF(UPPER(INDIRECT("BI"&amp;10+$CB$7))="Y",11,IF(UPPER(INDIRECT("BI"&amp;10+$CB$7))="Z",22,0)))/11,FALSE))</f>
        <v/>
      </c>
      <c r="CR47" s="220"/>
      <c r="CS47" s="220"/>
      <c r="CT47" s="220" t="str">
        <f ca="1">IF($CB$7=0,"",INDIRECT("'Case "&amp;COLUMN()-91&amp;"'!R"&amp;5+$CB$7&amp;"C"&amp;(COLUMN()-21+IF(UPPER(INDIRECT("BI"&amp;10+$CB$7))="Y",11,IF(UPPER(INDIRECT("BI"&amp;10+$CB$7))="Z",22,0)))/11,FALSE))</f>
        <v/>
      </c>
      <c r="CU47" s="220"/>
      <c r="CV47" s="220"/>
      <c r="CW47" s="220" t="str">
        <f ca="1">IF($CB$7=0,"",INDIRECT("'Case "&amp;COLUMN()-93&amp;"'!R"&amp;5+$CB$7&amp;"C"&amp;(COLUMN()-24+IF(UPPER(INDIRECT("BI"&amp;10+$CB$7))="Y",11,IF(UPPER(INDIRECT("BI"&amp;10+$CB$7))="Z",22,0)))/11,FALSE))</f>
        <v/>
      </c>
      <c r="CX47" s="220"/>
      <c r="CY47" s="220"/>
      <c r="CZ47" s="220" t="str">
        <f ca="1">IF($CB$7=0,"",INDIRECT("'Case "&amp;COLUMN()-95&amp;"'!R"&amp;5+$CB$7&amp;"C"&amp;(COLUMN()-27+IF(UPPER(INDIRECT("BI"&amp;10+$CB$7))="Y",11,IF(UPPER(INDIRECT("BI"&amp;10+$CB$7))="Z",22,0)))/11,FALSE))</f>
        <v/>
      </c>
      <c r="DA47" s="220"/>
      <c r="DB47" s="220"/>
    </row>
    <row r="48" spans="1:106" ht="10.199999999999999" customHeight="1">
      <c r="A48" s="126"/>
      <c r="B48" s="127"/>
      <c r="C48" s="128"/>
      <c r="D48" s="137"/>
      <c r="E48" s="140"/>
      <c r="F48" s="138"/>
      <c r="G48" s="138"/>
      <c r="H48" s="138"/>
      <c r="I48" s="138"/>
      <c r="J48" s="138"/>
      <c r="K48" s="138"/>
      <c r="L48" s="138"/>
      <c r="M48" s="138"/>
      <c r="N48" s="138"/>
      <c r="O48" s="138"/>
      <c r="P48" s="139" t="s">
        <v>108</v>
      </c>
      <c r="Q48" s="138"/>
      <c r="R48" s="139" t="s">
        <v>85</v>
      </c>
      <c r="S48" s="319"/>
      <c r="T48" s="319"/>
      <c r="U48" s="319"/>
      <c r="V48" s="319" t="str">
        <f ca="1">IF(CE48="","",ROUNDUP((1+$P$42)*ABS(CE48),IF((1+$P$42)*ABS(CE48)&gt;1000,-2,IF((1+$P$42)*ABS(CE48)&gt;10,-1,0))))</f>
        <v/>
      </c>
      <c r="W48" s="319"/>
      <c r="X48" s="319"/>
      <c r="Y48" s="319" t="str">
        <f ca="1">IF(CH48="","",ROUNDUP((1+$P$42)*ABS(CH48),IF((1+$P$42)*ABS(CH48)&gt;1000,-2,IF((1+$P$42)*ABS(CH48)&gt;10,-1,0))))</f>
        <v/>
      </c>
      <c r="Z48" s="319"/>
      <c r="AA48" s="319"/>
      <c r="AB48" s="319" t="str">
        <f ca="1">IF(CK48="","",ROUNDUP(ABS(CK48),IF(ABS(CK48)&gt;1000,-2,IF(ABS(CK48)&gt;10,-1,0))))</f>
        <v/>
      </c>
      <c r="AC48" s="319"/>
      <c r="AD48" s="319"/>
      <c r="AE48" s="319" t="str">
        <f ca="1">IF(CN48="","",ROUNDUP(ABS(CN48),IF(ABS(CN48)&gt;1000,-2,IF(ABS(CN48)&gt;10,-1,0))))</f>
        <v/>
      </c>
      <c r="AF48" s="319"/>
      <c r="AG48" s="319"/>
      <c r="AH48" s="319" t="str">
        <f ca="1">IF(CQ48="","",ROUNDUP(ABS(CQ48),IF(ABS(CQ48)&gt;1000,-2,IF(ABS(CQ48)&gt;10,-1,0))))</f>
        <v/>
      </c>
      <c r="AI48" s="319"/>
      <c r="AJ48" s="319"/>
      <c r="AK48" s="319" t="str">
        <f ca="1">IF(CT48="","",ROUNDUP((1+$P$42)*ABS(CT48),IF((1+$P$42)*ABS(CT48)&gt;1000,-2,IF((1+$P$42)*ABS(CT48)&gt;10,-1,0))))</f>
        <v/>
      </c>
      <c r="AL48" s="319"/>
      <c r="AM48" s="319"/>
      <c r="AN48" s="319"/>
      <c r="AO48" s="319"/>
      <c r="AP48" s="319"/>
      <c r="AQ48" s="319" t="str">
        <f ca="1">IF(CZ48="","",ROUNDUP((1+$P$42)*ABS(CZ48),IF((1+$P$42)*ABS(CZ48)&gt;1000,-2,IF((1+$P$42)*ABS(CZ48)&gt;10,-1,0))))</f>
        <v/>
      </c>
      <c r="AR48" s="319"/>
      <c r="AS48" s="319"/>
      <c r="AT48" s="127"/>
      <c r="AU48" s="128"/>
      <c r="AV48" s="131"/>
      <c r="BE48" s="223"/>
      <c r="BF48" s="224"/>
      <c r="BG48" s="225"/>
      <c r="BH48" s="225"/>
      <c r="BI48" s="226"/>
      <c r="BJ48" s="226"/>
      <c r="BK48" s="226"/>
      <c r="BL48" s="227"/>
      <c r="BM48" s="227"/>
      <c r="BN48" s="227"/>
      <c r="BO48" s="227" t="str">
        <f t="shared" si="1"/>
        <v/>
      </c>
      <c r="BP48" s="227"/>
      <c r="BQ48" s="227"/>
      <c r="BR48" s="224"/>
      <c r="BS48" s="224"/>
      <c r="BT48" s="228"/>
      <c r="CB48" s="220" t="str">
        <f ca="1">IF($CB$7=0,"",INDIRECT("'Case "&amp;COLUMN()-79&amp;"'!R"&amp;5+$CB$7&amp;"C"&amp;(COLUMN()+8+IF(UPPER(INDIRECT("BL"&amp;10+$CB$7))="X",-11,IF(UPPER(INDIRECT("BL"&amp;10+$CB$7))="Z",11,0)))/11,FALSE))</f>
        <v/>
      </c>
      <c r="CC48" s="220"/>
      <c r="CD48" s="220"/>
      <c r="CE48" s="220" t="str">
        <f ca="1">IF($CB$7=0,"",INDIRECT("'Case "&amp;COLUMN()-81&amp;"'!R"&amp;5+$CB$7&amp;"C"&amp;(COLUMN()+5+IF(UPPER(INDIRECT("BL"&amp;10+$CB$7))="X",-11,IF(UPPER(INDIRECT("BL"&amp;10+$CB$7))="Z",11,0)))/11,FALSE))</f>
        <v/>
      </c>
      <c r="CF48" s="220"/>
      <c r="CG48" s="220"/>
      <c r="CH48" s="220" t="str">
        <f ca="1">IF($CB$7=0,"",INDIRECT("'Case "&amp;COLUMN()-83&amp;"'!R"&amp;5+$CB$7&amp;"C"&amp;(COLUMN()+2+IF(UPPER(INDIRECT("BL"&amp;10+$CB$7))="X",-11,IF(UPPER(INDIRECT("BL"&amp;10+$CB$7))="Z",11,0)))/11,FALSE))</f>
        <v/>
      </c>
      <c r="CI48" s="220"/>
      <c r="CJ48" s="220"/>
      <c r="CK48" s="220" t="str">
        <f ca="1">IF($CB$7=0,"",INDIRECT("'Case "&amp;COLUMN()-85&amp;"'!R"&amp;5+$CB$7&amp;"C"&amp;(COLUMN()-1+IF(UPPER(INDIRECT("BL"&amp;10+$CB$7))="X",-11,IF(UPPER(INDIRECT("BL"&amp;10+$CB$7))="Z",11,0)))/11,FALSE))</f>
        <v/>
      </c>
      <c r="CL48" s="220"/>
      <c r="CM48" s="220"/>
      <c r="CN48" s="220" t="str">
        <f ca="1">IF($CB$7=0,"",INDIRECT("'Case "&amp;COLUMN()-87&amp;"'!R"&amp;5+$CB$7&amp;"C"&amp;(COLUMN()-4+IF(UPPER(INDIRECT("BL"&amp;10+$CB$7))="X",-11,IF(UPPER(INDIRECT("BL"&amp;10+$CB$7))="Z",11,0)))/11,FALSE))</f>
        <v/>
      </c>
      <c r="CO48" s="220"/>
      <c r="CP48" s="220"/>
      <c r="CQ48" s="220" t="str">
        <f ca="1">IF($CB$7=0,"",INDIRECT("'Case "&amp;COLUMN()-89&amp;"'!R"&amp;5+$CB$7&amp;"C"&amp;(COLUMN()-7+IF(UPPER(INDIRECT("BL"&amp;10+$CB$7))="X",-11,IF(UPPER(INDIRECT("BL"&amp;10+$CB$7))="Z",11,0)))/11,FALSE))</f>
        <v/>
      </c>
      <c r="CR48" s="220"/>
      <c r="CS48" s="220"/>
      <c r="CT48" s="220" t="str">
        <f ca="1">IF($CB$7=0,"",INDIRECT("'Case "&amp;COLUMN()-91&amp;"'!R"&amp;5+$CB$7&amp;"C"&amp;(COLUMN()-10+IF(UPPER(INDIRECT("BL"&amp;10+$CB$7))="X",-11,IF(UPPER(INDIRECT("BL"&amp;10+$CB$7))="Z",11,0)))/11,FALSE))</f>
        <v/>
      </c>
      <c r="CU48" s="220"/>
      <c r="CV48" s="220"/>
      <c r="CW48" s="220" t="str">
        <f ca="1">IF($CB$7=0,"",INDIRECT("'Case "&amp;COLUMN()-93&amp;"'!R"&amp;5+$CB$7&amp;"C"&amp;(COLUMN()-13+IF(UPPER(INDIRECT("BL"&amp;10+$CB$7))="X",-11,IF(UPPER(INDIRECT("BL"&amp;10+$CB$7))="Z",11,0)))/11,FALSE))</f>
        <v/>
      </c>
      <c r="CX48" s="220"/>
      <c r="CY48" s="220"/>
      <c r="CZ48" s="220" t="str">
        <f ca="1">IF($CB$7=0,"",INDIRECT("'Case "&amp;COLUMN()-95&amp;"'!R"&amp;5+$CB$7&amp;"C"&amp;(COLUMN()-16+IF(UPPER(INDIRECT("BL"&amp;10+$CB$7))="X",-11,IF(UPPER(INDIRECT("BL"&amp;10+$CB$7))="Z",11,0)))/11,FALSE))</f>
        <v/>
      </c>
      <c r="DA48" s="220"/>
      <c r="DB48" s="220"/>
    </row>
    <row r="49" spans="1:106" ht="10.199999999999999" customHeight="1">
      <c r="A49" s="126"/>
      <c r="B49" s="127"/>
      <c r="C49" s="128"/>
      <c r="D49" s="137"/>
      <c r="E49" s="140"/>
      <c r="F49" s="138"/>
      <c r="G49" s="138"/>
      <c r="H49" s="138"/>
      <c r="I49" s="138"/>
      <c r="J49" s="138"/>
      <c r="K49" s="138"/>
      <c r="L49" s="138"/>
      <c r="M49" s="138"/>
      <c r="N49" s="138"/>
      <c r="O49" s="138"/>
      <c r="P49" s="139" t="s">
        <v>109</v>
      </c>
      <c r="Q49" s="138"/>
      <c r="R49" s="139" t="s">
        <v>85</v>
      </c>
      <c r="S49" s="319"/>
      <c r="T49" s="319"/>
      <c r="U49" s="319"/>
      <c r="V49" s="319" t="str">
        <f ca="1">IF(CE49="","",ROUNDUP((1+$P$42)*ABS(CE49),IF((1+$P$42)*ABS(CE49)&gt;1000,-2,IF((1+$P$42)*ABS(CE49)&gt;10,-1,0))))</f>
        <v/>
      </c>
      <c r="W49" s="319"/>
      <c r="X49" s="319"/>
      <c r="Y49" s="319" t="str">
        <f ca="1">IF(CH49="","",ROUNDUP((1+$P$42)*ABS(CH49),IF((1+$P$42)*ABS(CH49)&gt;1000,-2,IF((1+$P$42)*ABS(CH49)&gt;10,-1,0))))</f>
        <v/>
      </c>
      <c r="Z49" s="319"/>
      <c r="AA49" s="319"/>
      <c r="AB49" s="319" t="str">
        <f ca="1">IF(CK49="","",ROUNDUP(ABS(CK49),IF(ABS(CK49)&gt;1000,-2,IF(ABS(CK49)&gt;10,-1,0))))</f>
        <v/>
      </c>
      <c r="AC49" s="319"/>
      <c r="AD49" s="319"/>
      <c r="AE49" s="319" t="str">
        <f ca="1">IF(CN49="","",ROUNDUP(ABS(CN49),IF(ABS(CN49)&gt;1000,-2,IF(ABS(CN49)&gt;10,-1,0))))</f>
        <v/>
      </c>
      <c r="AF49" s="319"/>
      <c r="AG49" s="319"/>
      <c r="AH49" s="319" t="str">
        <f ca="1">IF(CQ49="","",ROUNDUP(ABS(CQ49),IF(ABS(CQ49)&gt;1000,-2,IF(ABS(CQ49)&gt;10,-1,0))))</f>
        <v/>
      </c>
      <c r="AI49" s="319"/>
      <c r="AJ49" s="319"/>
      <c r="AK49" s="319" t="str">
        <f ca="1">IF(CT49="","",ROUNDUP((1+$P$42)*ABS(CT49),IF((1+$P$42)*ABS(CT49)&gt;1000,-2,IF((1+$P$42)*ABS(CT49)&gt;10,-1,0))))</f>
        <v/>
      </c>
      <c r="AL49" s="319"/>
      <c r="AM49" s="319"/>
      <c r="AN49" s="319"/>
      <c r="AO49" s="319"/>
      <c r="AP49" s="319"/>
      <c r="AQ49" s="319" t="str">
        <f ca="1">IF(CZ49="","",ROUNDUP((1+$P$42)*ABS(CZ49),IF((1+$P$42)*ABS(CZ49)&gt;1000,-2,IF((1+$P$42)*ABS(CZ49)&gt;10,-1,0))))</f>
        <v/>
      </c>
      <c r="AR49" s="319"/>
      <c r="AS49" s="319"/>
      <c r="AT49" s="127"/>
      <c r="AU49" s="128"/>
      <c r="AV49" s="131"/>
      <c r="BE49" s="223"/>
      <c r="BF49" s="224"/>
      <c r="BG49" s="225"/>
      <c r="BH49" s="225"/>
      <c r="BI49" s="226"/>
      <c r="BJ49" s="226"/>
      <c r="BK49" s="226"/>
      <c r="BL49" s="227"/>
      <c r="BM49" s="227"/>
      <c r="BN49" s="227"/>
      <c r="BO49" s="227" t="str">
        <f t="shared" si="1"/>
        <v/>
      </c>
      <c r="BP49" s="227"/>
      <c r="BQ49" s="227"/>
      <c r="BR49" s="224"/>
      <c r="BS49" s="224"/>
      <c r="BT49" s="228"/>
      <c r="CB49" s="220" t="str">
        <f ca="1">IF($CB$7=0,"",INDIRECT("'Case "&amp;COLUMN()-79&amp;"'!R"&amp;5+$CB$7&amp;"C"&amp;(COLUMN()+19+IF(UPPER(INDIRECT("BO"&amp;10+$CB$7))="X",-22,IF(UPPER(INDIRECT("BO"&amp;10+$CB$7))="Y",-11,0)))/11,FALSE))</f>
        <v/>
      </c>
      <c r="CC49" s="220"/>
      <c r="CD49" s="220"/>
      <c r="CE49" s="220" t="str">
        <f ca="1">IF($CB$7=0,"",INDIRECT("'Case "&amp;COLUMN()-81&amp;"'!R"&amp;5+$CB$7&amp;"C"&amp;(COLUMN()+16+IF(UPPER(INDIRECT("BO"&amp;10+$CB$7))="X",-22,IF(UPPER(INDIRECT("BO"&amp;10+$CB$7))="Y",-11,0)))/11,FALSE))</f>
        <v/>
      </c>
      <c r="CF49" s="220"/>
      <c r="CG49" s="220"/>
      <c r="CH49" s="220" t="str">
        <f ca="1">IF($CB$7=0,"",INDIRECT("'Case "&amp;COLUMN()-83&amp;"'!R"&amp;5+$CB$7&amp;"C"&amp;(COLUMN()+13+IF(UPPER(INDIRECT("BO"&amp;10+$CB$7))="X",-22,IF(UPPER(INDIRECT("BO"&amp;10+$CB$7))="Y",-11,0)))/11,FALSE))</f>
        <v/>
      </c>
      <c r="CI49" s="220"/>
      <c r="CJ49" s="220"/>
      <c r="CK49" s="220" t="str">
        <f ca="1">IF($CB$7=0,"",INDIRECT("'Case "&amp;COLUMN()-85&amp;"'!R"&amp;5+$CB$7&amp;"C"&amp;(COLUMN()+10+IF(UPPER(INDIRECT("BO"&amp;10+$CB$7))="X",-22,IF(UPPER(INDIRECT("BO"&amp;10+$CB$7))="Y",-11,0)))/11,FALSE))</f>
        <v/>
      </c>
      <c r="CL49" s="220"/>
      <c r="CM49" s="220"/>
      <c r="CN49" s="220" t="str">
        <f ca="1">IF($CB$7=0,"",INDIRECT("'Case "&amp;COLUMN()-87&amp;"'!R"&amp;5+$CB$7&amp;"C"&amp;(COLUMN()+7+IF(UPPER(INDIRECT("BO"&amp;10+$CB$7))="X",-22,IF(UPPER(INDIRECT("BO"&amp;10+$CB$7))="Y",-11,0)))/11,FALSE))</f>
        <v/>
      </c>
      <c r="CO49" s="220"/>
      <c r="CP49" s="220"/>
      <c r="CQ49" s="220" t="str">
        <f ca="1">IF($CB$7=0,"",INDIRECT("'Case "&amp;COLUMN()-89&amp;"'!R"&amp;5+$CB$7&amp;"C"&amp;(COLUMN()+4+IF(UPPER(INDIRECT("BO"&amp;10+$CB$7))="X",-22,IF(UPPER(INDIRECT("BO"&amp;10+$CB$7))="Y",-11,0)))/11,FALSE))</f>
        <v/>
      </c>
      <c r="CR49" s="220"/>
      <c r="CS49" s="220"/>
      <c r="CT49" s="220" t="str">
        <f ca="1">IF($CB$7=0,"",INDIRECT("'Case "&amp;COLUMN()-91&amp;"'!R"&amp;5+$CB$7&amp;"C"&amp;(COLUMN()+1+IF(UPPER(INDIRECT("BO"&amp;10+$CB$7))="X",-22,IF(UPPER(INDIRECT("BO"&amp;10+$CB$7))="Y",-11,0)))/11,FALSE))</f>
        <v/>
      </c>
      <c r="CU49" s="220"/>
      <c r="CV49" s="220"/>
      <c r="CW49" s="220" t="str">
        <f ca="1">IF($CB$7=0,"",INDIRECT("'Case "&amp;COLUMN()-93&amp;"'!R"&amp;5+$CB$7&amp;"C"&amp;(COLUMN()-2+IF(UPPER(INDIRECT("BO"&amp;10+$CB$7))="X",-22,IF(UPPER(INDIRECT("BO"&amp;10+$CB$7))="Y",-11,0)))/11,FALSE))</f>
        <v/>
      </c>
      <c r="CX49" s="220"/>
      <c r="CY49" s="220"/>
      <c r="CZ49" s="220" t="str">
        <f ca="1">IF($CB$7=0,"",INDIRECT("'Case "&amp;COLUMN()-95&amp;"'!R"&amp;5+$CB$7&amp;"C"&amp;(COLUMN()-5+IF(UPPER(INDIRECT("BO"&amp;10+$CB$7))="X",-22,IF(UPPER(INDIRECT("BO"&amp;10+$CB$7))="Y",-11,0)))/11,FALSE))</f>
        <v/>
      </c>
      <c r="DA49" s="220"/>
      <c r="DB49" s="220"/>
    </row>
    <row r="50" spans="1:106" ht="10.199999999999999" customHeight="1">
      <c r="A50" s="126"/>
      <c r="B50" s="127"/>
      <c r="C50" s="128"/>
      <c r="D50" s="137"/>
      <c r="E50" s="138"/>
      <c r="F50" s="138"/>
      <c r="G50" s="138"/>
      <c r="H50" s="138"/>
      <c r="I50" s="138"/>
      <c r="J50" s="138"/>
      <c r="K50" s="138"/>
      <c r="L50" s="138"/>
      <c r="M50" s="139" t="s">
        <v>110</v>
      </c>
      <c r="N50" s="307" t="s">
        <v>111</v>
      </c>
      <c r="O50" s="307"/>
      <c r="P50" s="307"/>
      <c r="Q50" s="140"/>
      <c r="R50" s="141" t="s">
        <v>136</v>
      </c>
      <c r="S50" s="317" t="str">
        <f>IF(CB50=0,"",CB50/1000000)</f>
        <v/>
      </c>
      <c r="T50" s="317"/>
      <c r="U50" s="317"/>
      <c r="V50" s="317" t="str">
        <f ca="1">IF(CE50=0,"",CE50/1000000)</f>
        <v/>
      </c>
      <c r="W50" s="317"/>
      <c r="X50" s="317"/>
      <c r="Y50" s="317" t="str">
        <f ca="1">IF(CH50=0,"",CH50/1000000)</f>
        <v/>
      </c>
      <c r="Z50" s="317"/>
      <c r="AA50" s="317"/>
      <c r="AB50" s="317" t="str">
        <f ca="1">IF(CK50=0,"",CK50/1000000)</f>
        <v/>
      </c>
      <c r="AC50" s="317"/>
      <c r="AD50" s="317"/>
      <c r="AE50" s="317" t="str">
        <f ca="1">IF(CN50=0,"",CN50/1000000)</f>
        <v/>
      </c>
      <c r="AF50" s="317"/>
      <c r="AG50" s="317"/>
      <c r="AH50" s="317" t="str">
        <f ca="1">IF(CQ50=0,"",CQ50/1000000)</f>
        <v/>
      </c>
      <c r="AI50" s="317"/>
      <c r="AJ50" s="317"/>
      <c r="AK50" s="317" t="str">
        <f ca="1">IF(CT50=0,"",CT50/1000000)</f>
        <v/>
      </c>
      <c r="AL50" s="317"/>
      <c r="AM50" s="317"/>
      <c r="AN50" s="317" t="str">
        <f>IF(CW50=0,"",CW50/1000000)</f>
        <v/>
      </c>
      <c r="AO50" s="317"/>
      <c r="AP50" s="317"/>
      <c r="AQ50" s="317" t="str">
        <f ca="1">IF(CZ50=0,"",CZ50/1000000)</f>
        <v/>
      </c>
      <c r="AR50" s="317"/>
      <c r="AS50" s="317"/>
      <c r="AT50" s="127"/>
      <c r="AU50" s="128"/>
      <c r="AV50" s="131"/>
      <c r="BE50" s="223"/>
      <c r="BF50" s="224"/>
      <c r="BG50" s="225"/>
      <c r="BH50" s="225"/>
      <c r="BI50" s="226"/>
      <c r="BJ50" s="226"/>
      <c r="BK50" s="226"/>
      <c r="BL50" s="227"/>
      <c r="BM50" s="227"/>
      <c r="BN50" s="227"/>
      <c r="BO50" s="227" t="str">
        <f t="shared" si="1"/>
        <v/>
      </c>
      <c r="BP50" s="227"/>
      <c r="BQ50" s="227"/>
      <c r="BR50" s="224"/>
      <c r="BS50" s="224"/>
      <c r="BT50" s="228"/>
      <c r="CB50" s="220">
        <f>IF(S48="",0,S48*$P23)</f>
        <v>0</v>
      </c>
      <c r="CC50" s="220"/>
      <c r="CD50" s="220"/>
      <c r="CE50" s="220">
        <f ca="1">IF(V48="",0,V48*$P23)</f>
        <v>0</v>
      </c>
      <c r="CF50" s="220"/>
      <c r="CG50" s="220"/>
      <c r="CH50" s="220">
        <f ca="1">IF(Y48="",0,Y48*$P23)</f>
        <v>0</v>
      </c>
      <c r="CI50" s="220"/>
      <c r="CJ50" s="220"/>
      <c r="CK50" s="220">
        <f ca="1">IF(AB48="",0,AB48*$P23)</f>
        <v>0</v>
      </c>
      <c r="CL50" s="220"/>
      <c r="CM50" s="220"/>
      <c r="CN50" s="220">
        <f ca="1">IF(AE48="",0,AE48*$P23)</f>
        <v>0</v>
      </c>
      <c r="CO50" s="220"/>
      <c r="CP50" s="220"/>
      <c r="CQ50" s="220">
        <f ca="1">IF(AH48="",0,AH48*$P23)</f>
        <v>0</v>
      </c>
      <c r="CR50" s="220"/>
      <c r="CS50" s="220"/>
      <c r="CT50" s="220">
        <f ca="1">IF(AK48="",0,AK48*$P23)</f>
        <v>0</v>
      </c>
      <c r="CU50" s="220"/>
      <c r="CV50" s="220"/>
      <c r="CW50" s="220">
        <f>IF(AN48="",0,AN48*$P23)</f>
        <v>0</v>
      </c>
      <c r="CX50" s="220"/>
      <c r="CY50" s="220"/>
      <c r="CZ50" s="220">
        <f ca="1">IF(AQ48="",0,AQ48*$P23)</f>
        <v>0</v>
      </c>
      <c r="DA50" s="220"/>
      <c r="DB50" s="220"/>
    </row>
    <row r="51" spans="1:106" ht="10.199999999999999" customHeight="1">
      <c r="A51" s="126"/>
      <c r="B51" s="127"/>
      <c r="C51" s="128"/>
      <c r="D51" s="137"/>
      <c r="E51" s="138"/>
      <c r="F51" s="138"/>
      <c r="G51" s="138"/>
      <c r="H51" s="138"/>
      <c r="I51" s="138"/>
      <c r="J51" s="138"/>
      <c r="K51" s="142"/>
      <c r="L51" s="138"/>
      <c r="M51" s="139" t="s">
        <v>112</v>
      </c>
      <c r="N51" s="307" t="s">
        <v>113</v>
      </c>
      <c r="O51" s="307"/>
      <c r="P51" s="307"/>
      <c r="Q51" s="140"/>
      <c r="R51" s="141" t="s">
        <v>136</v>
      </c>
      <c r="S51" s="317" t="str">
        <f>IF(CB51=0,"",CB51/1000000)</f>
        <v/>
      </c>
      <c r="T51" s="317"/>
      <c r="U51" s="317"/>
      <c r="V51" s="317" t="str">
        <f ca="1">IF(CE51=0,"",CE51/1000000)</f>
        <v/>
      </c>
      <c r="W51" s="317"/>
      <c r="X51" s="317"/>
      <c r="Y51" s="317" t="str">
        <f ca="1">IF(CH51=0,"",CH51/1000000)</f>
        <v/>
      </c>
      <c r="Z51" s="317"/>
      <c r="AA51" s="317"/>
      <c r="AB51" s="317" t="str">
        <f ca="1">IF(CK51=0,"",CK51/1000000)</f>
        <v/>
      </c>
      <c r="AC51" s="317"/>
      <c r="AD51" s="317"/>
      <c r="AE51" s="317" t="str">
        <f ca="1">IF(CN51=0,"",CN51/1000000)</f>
        <v/>
      </c>
      <c r="AF51" s="317"/>
      <c r="AG51" s="317"/>
      <c r="AH51" s="317" t="str">
        <f ca="1">IF(CQ51=0,"",CQ51/1000000)</f>
        <v/>
      </c>
      <c r="AI51" s="317"/>
      <c r="AJ51" s="317"/>
      <c r="AK51" s="317" t="str">
        <f ca="1">IF(CT51=0,"",CT51/1000000)</f>
        <v/>
      </c>
      <c r="AL51" s="317"/>
      <c r="AM51" s="317"/>
      <c r="AN51" s="317" t="str">
        <f>IF(CW51=0,"",CW51/1000000)</f>
        <v/>
      </c>
      <c r="AO51" s="317"/>
      <c r="AP51" s="317"/>
      <c r="AQ51" s="317" t="str">
        <f ca="1">IF(CZ51=0,"",CZ51/1000000)</f>
        <v/>
      </c>
      <c r="AR51" s="317"/>
      <c r="AS51" s="317"/>
      <c r="AT51" s="127"/>
      <c r="AU51" s="128"/>
      <c r="AV51" s="131"/>
      <c r="BE51" s="223"/>
      <c r="BF51" s="224"/>
      <c r="BG51" s="225"/>
      <c r="BH51" s="225"/>
      <c r="BI51" s="226"/>
      <c r="BJ51" s="226"/>
      <c r="BK51" s="226"/>
      <c r="BL51" s="227"/>
      <c r="BM51" s="227"/>
      <c r="BN51" s="227"/>
      <c r="BO51" s="227" t="str">
        <f t="shared" si="1"/>
        <v/>
      </c>
      <c r="BP51" s="227"/>
      <c r="BQ51" s="227"/>
      <c r="BR51" s="224"/>
      <c r="BS51" s="224"/>
      <c r="BT51" s="228"/>
      <c r="CB51" s="220">
        <f>IF(S49="",0,S49*$P23)</f>
        <v>0</v>
      </c>
      <c r="CC51" s="220"/>
      <c r="CD51" s="220"/>
      <c r="CE51" s="220">
        <f ca="1">IF(V49="",0,V49*$P23)</f>
        <v>0</v>
      </c>
      <c r="CF51" s="220"/>
      <c r="CG51" s="220"/>
      <c r="CH51" s="220">
        <f ca="1">IF(Y49="",0,Y49*$P23)</f>
        <v>0</v>
      </c>
      <c r="CI51" s="220"/>
      <c r="CJ51" s="220"/>
      <c r="CK51" s="220">
        <f ca="1">IF(AB49="",0,AB49*$P23)</f>
        <v>0</v>
      </c>
      <c r="CL51" s="220"/>
      <c r="CM51" s="220"/>
      <c r="CN51" s="220">
        <f ca="1">IF(AE49="",0,AE49*$P23)</f>
        <v>0</v>
      </c>
      <c r="CO51" s="220"/>
      <c r="CP51" s="220"/>
      <c r="CQ51" s="220">
        <f ca="1">IF(AH49="",0,AH49*$P23)</f>
        <v>0</v>
      </c>
      <c r="CR51" s="220"/>
      <c r="CS51" s="220"/>
      <c r="CT51" s="220">
        <f ca="1">IF(AK49="",0,AK49*$P23)</f>
        <v>0</v>
      </c>
      <c r="CU51" s="220"/>
      <c r="CV51" s="220"/>
      <c r="CW51" s="220">
        <f>IF(AN49="",0,AN49*$P23)</f>
        <v>0</v>
      </c>
      <c r="CX51" s="220"/>
      <c r="CY51" s="220"/>
      <c r="CZ51" s="220">
        <f ca="1">IF(AQ49="",0,AQ49*$P23)</f>
        <v>0</v>
      </c>
      <c r="DA51" s="220"/>
      <c r="DB51" s="220"/>
    </row>
    <row r="52" spans="1:106" ht="10.199999999999999" customHeight="1">
      <c r="A52" s="126"/>
      <c r="B52" s="127"/>
      <c r="C52" s="128"/>
      <c r="D52" s="137"/>
      <c r="E52" s="138"/>
      <c r="F52" s="138"/>
      <c r="G52" s="138"/>
      <c r="H52" s="138"/>
      <c r="I52" s="138"/>
      <c r="J52" s="138"/>
      <c r="K52" s="142"/>
      <c r="L52" s="138"/>
      <c r="M52" s="139" t="s">
        <v>114</v>
      </c>
      <c r="N52" s="307" t="s">
        <v>86</v>
      </c>
      <c r="O52" s="307"/>
      <c r="P52" s="307"/>
      <c r="Q52" s="140"/>
      <c r="R52" s="141" t="s">
        <v>77</v>
      </c>
      <c r="S52" s="306" t="str">
        <f>IF(CB51=0,"",CB52)</f>
        <v/>
      </c>
      <c r="T52" s="307"/>
      <c r="U52" s="307"/>
      <c r="V52" s="306" t="str">
        <f ca="1">IF(CE51=0,"",CE52)</f>
        <v/>
      </c>
      <c r="W52" s="307"/>
      <c r="X52" s="307"/>
      <c r="Y52" s="306" t="str">
        <f ca="1">IF(CH51=0,"",CH52)</f>
        <v/>
      </c>
      <c r="Z52" s="307"/>
      <c r="AA52" s="307"/>
      <c r="AB52" s="306" t="str">
        <f ca="1">IF(CK51=0,"",CK52)</f>
        <v/>
      </c>
      <c r="AC52" s="307"/>
      <c r="AD52" s="307"/>
      <c r="AE52" s="306" t="str">
        <f ca="1">IF(CN51=0,"",CN52)</f>
        <v/>
      </c>
      <c r="AF52" s="307"/>
      <c r="AG52" s="307"/>
      <c r="AH52" s="306" t="str">
        <f ca="1">IF(CQ51=0,"",CQ52)</f>
        <v/>
      </c>
      <c r="AI52" s="307"/>
      <c r="AJ52" s="307"/>
      <c r="AK52" s="306" t="str">
        <f ca="1">IF(CT51=0,"",CT52)</f>
        <v/>
      </c>
      <c r="AL52" s="307"/>
      <c r="AM52" s="307"/>
      <c r="AN52" s="306" t="str">
        <f>IF(CW51=0,"",CW52)</f>
        <v/>
      </c>
      <c r="AO52" s="307"/>
      <c r="AP52" s="307"/>
      <c r="AQ52" s="306" t="str">
        <f ca="1">IF(CZ51=0,"",CZ52)</f>
        <v/>
      </c>
      <c r="AR52" s="307"/>
      <c r="AS52" s="308"/>
      <c r="AT52" s="127"/>
      <c r="AU52" s="128"/>
      <c r="AV52" s="131"/>
      <c r="BE52" s="223"/>
      <c r="BF52" s="224"/>
      <c r="BG52" s="225"/>
      <c r="BH52" s="225"/>
      <c r="BI52" s="226"/>
      <c r="BJ52" s="226"/>
      <c r="BK52" s="226"/>
      <c r="BL52" s="227"/>
      <c r="BM52" s="227"/>
      <c r="BN52" s="227"/>
      <c r="BO52" s="227" t="str">
        <f t="shared" si="1"/>
        <v/>
      </c>
      <c r="BP52" s="227"/>
      <c r="BQ52" s="227"/>
      <c r="BR52" s="224"/>
      <c r="BS52" s="224"/>
      <c r="BT52" s="228"/>
      <c r="CB52" s="220">
        <f>IF(OR($P32="",$P41=""),"",$P31/10*$P10/(2*$P41))</f>
        <v>0</v>
      </c>
      <c r="CC52" s="220"/>
      <c r="CD52" s="220"/>
      <c r="CE52" s="220">
        <f t="shared" ref="CE52" si="2">IF(OR($P32="",$P41=""),"",$P31/10*$P10/(2*$P41))</f>
        <v>0</v>
      </c>
      <c r="CF52" s="220"/>
      <c r="CG52" s="220"/>
      <c r="CH52" s="220">
        <f t="shared" ref="CH52" si="3">IF(OR($P32="",$P41=""),"",$P31/10*$P10/(2*$P41))</f>
        <v>0</v>
      </c>
      <c r="CI52" s="220"/>
      <c r="CJ52" s="220"/>
      <c r="CK52" s="220" t="str">
        <f ca="1">IF(CK44="","",0/10*$P10/(2*$P41))</f>
        <v/>
      </c>
      <c r="CL52" s="220"/>
      <c r="CM52" s="220"/>
      <c r="CN52" s="220" t="str">
        <f ca="1">IF(CN44="","",0/10*$P10/(2*$P41))</f>
        <v/>
      </c>
      <c r="CO52" s="220"/>
      <c r="CP52" s="220"/>
      <c r="CQ52" s="220" t="str">
        <f ca="1">IF(CQ44="","",0/10*$P10/(2*$P41))</f>
        <v/>
      </c>
      <c r="CR52" s="220"/>
      <c r="CS52" s="220"/>
      <c r="CT52" s="220">
        <f t="shared" ref="CT52" si="4">IF(OR($P32="",$P41=""),"",$P31/10*$P10/(2*$P41))</f>
        <v>0</v>
      </c>
      <c r="CU52" s="220"/>
      <c r="CV52" s="220"/>
      <c r="CW52" s="220">
        <f t="shared" ref="CW52" si="5">IF(OR($P32="",$P41=""),"",$P31/10*$P10/(2*$P41))</f>
        <v>0</v>
      </c>
      <c r="CX52" s="220"/>
      <c r="CY52" s="220"/>
      <c r="CZ52" s="220">
        <f t="shared" ref="CZ52" si="6">IF(OR($P32="",$P41=""),"",$P31/10*$P10/(2*$P41))</f>
        <v>0</v>
      </c>
      <c r="DA52" s="220"/>
      <c r="DB52" s="220"/>
    </row>
    <row r="53" spans="1:106" ht="10.199999999999999" customHeight="1">
      <c r="A53" s="126"/>
      <c r="B53" s="127"/>
      <c r="C53" s="128"/>
      <c r="D53" s="143"/>
      <c r="E53" s="144"/>
      <c r="F53" s="144"/>
      <c r="G53" s="144"/>
      <c r="H53" s="144"/>
      <c r="I53" s="144"/>
      <c r="J53" s="144"/>
      <c r="K53" s="145"/>
      <c r="L53" s="144"/>
      <c r="M53" s="146" t="s">
        <v>115</v>
      </c>
      <c r="N53" s="316" t="s">
        <v>87</v>
      </c>
      <c r="O53" s="316"/>
      <c r="P53" s="316"/>
      <c r="Q53" s="147"/>
      <c r="R53" s="148" t="s">
        <v>77</v>
      </c>
      <c r="S53" s="306" t="str">
        <f>IF(CB51=0,"",CB53)</f>
        <v/>
      </c>
      <c r="T53" s="307"/>
      <c r="U53" s="307"/>
      <c r="V53" s="306" t="str">
        <f ca="1">IF(CE51=0,"",CE53)</f>
        <v/>
      </c>
      <c r="W53" s="307"/>
      <c r="X53" s="307"/>
      <c r="Y53" s="306" t="str">
        <f ca="1">IF(CH51=0,"",CH53)</f>
        <v/>
      </c>
      <c r="Z53" s="307"/>
      <c r="AA53" s="307"/>
      <c r="AB53" s="306" t="str">
        <f ca="1">IF(CK51=0,"",CK53)</f>
        <v/>
      </c>
      <c r="AC53" s="307"/>
      <c r="AD53" s="307"/>
      <c r="AE53" s="306" t="str">
        <f ca="1">IF(CN51=0,"",CN53)</f>
        <v/>
      </c>
      <c r="AF53" s="307"/>
      <c r="AG53" s="307"/>
      <c r="AH53" s="306" t="str">
        <f ca="1">IF(CQ51=0,"",CQ53)</f>
        <v/>
      </c>
      <c r="AI53" s="307"/>
      <c r="AJ53" s="307"/>
      <c r="AK53" s="306" t="str">
        <f ca="1">IF(CT51=0,"",CT53)</f>
        <v/>
      </c>
      <c r="AL53" s="307"/>
      <c r="AM53" s="307"/>
      <c r="AN53" s="306" t="str">
        <f>IF(CW51=0,"",CW53)</f>
        <v/>
      </c>
      <c r="AO53" s="307"/>
      <c r="AP53" s="307"/>
      <c r="AQ53" s="306" t="str">
        <f ca="1">IF(CZ51=0,"",CZ53)</f>
        <v/>
      </c>
      <c r="AR53" s="307"/>
      <c r="AS53" s="308"/>
      <c r="AT53" s="127"/>
      <c r="AU53" s="128"/>
      <c r="AV53" s="131"/>
      <c r="BE53" s="223"/>
      <c r="BF53" s="224"/>
      <c r="BG53" s="225"/>
      <c r="BH53" s="225"/>
      <c r="BI53" s="226"/>
      <c r="BJ53" s="226"/>
      <c r="BK53" s="226"/>
      <c r="BL53" s="227"/>
      <c r="BM53" s="227"/>
      <c r="BN53" s="227"/>
      <c r="BO53" s="227" t="str">
        <f t="shared" si="1"/>
        <v/>
      </c>
      <c r="BP53" s="227"/>
      <c r="BQ53" s="227"/>
      <c r="BR53" s="224"/>
      <c r="BS53" s="224"/>
      <c r="BT53" s="228"/>
      <c r="CB53" s="220">
        <f>IF(OR($P32="",$P41=""),"",$P31/10*$P10/$P41)</f>
        <v>0</v>
      </c>
      <c r="CC53" s="220"/>
      <c r="CD53" s="220"/>
      <c r="CE53" s="220">
        <f t="shared" ref="CE53" si="7">IF(OR($P32="",$P41=""),"",$P31/10*$P10/$P41)</f>
        <v>0</v>
      </c>
      <c r="CF53" s="220"/>
      <c r="CG53" s="220"/>
      <c r="CH53" s="220">
        <f t="shared" ref="CH53" si="8">IF(OR($P32="",$P41=""),"",$P31/10*$P10/$P41)</f>
        <v>0</v>
      </c>
      <c r="CI53" s="220"/>
      <c r="CJ53" s="220"/>
      <c r="CK53" s="220" t="str">
        <f ca="1">IF(CK44="","",0/10*$P10/$P41)</f>
        <v/>
      </c>
      <c r="CL53" s="220"/>
      <c r="CM53" s="220"/>
      <c r="CN53" s="220" t="str">
        <f ca="1">IF(CN44="","",0/10*$P10/$P41)</f>
        <v/>
      </c>
      <c r="CO53" s="220"/>
      <c r="CP53" s="220"/>
      <c r="CQ53" s="220" t="str">
        <f ca="1">IF(CQ44="","",0/10*$P10/$P41)</f>
        <v/>
      </c>
      <c r="CR53" s="220"/>
      <c r="CS53" s="220"/>
      <c r="CT53" s="220">
        <f t="shared" ref="CT53" si="9">IF(OR($P32="",$P41=""),"",$P31/10*$P10/$P41)</f>
        <v>0</v>
      </c>
      <c r="CU53" s="220"/>
      <c r="CV53" s="220"/>
      <c r="CW53" s="220">
        <f t="shared" ref="CW53" si="10">IF(OR($P32="",$P41=""),"",$P31/10*$P10/$P41)</f>
        <v>0</v>
      </c>
      <c r="CX53" s="220"/>
      <c r="CY53" s="220"/>
      <c r="CZ53" s="220">
        <f t="shared" ref="CZ53" si="11">IF(OR($P32="",$P41=""),"",$P31/10*$P10/$P41)</f>
        <v>0</v>
      </c>
      <c r="DA53" s="220"/>
      <c r="DB53" s="220"/>
    </row>
    <row r="54" spans="1:106" ht="10.199999999999999" customHeight="1">
      <c r="A54" s="126"/>
      <c r="B54" s="127"/>
      <c r="C54" s="128"/>
      <c r="D54" s="149" t="s">
        <v>88</v>
      </c>
      <c r="E54" s="138"/>
      <c r="F54" s="138"/>
      <c r="G54" s="138"/>
      <c r="H54" s="138"/>
      <c r="I54" s="138"/>
      <c r="J54" s="138"/>
      <c r="K54" s="138"/>
      <c r="L54" s="138"/>
      <c r="M54" s="138"/>
      <c r="N54" s="138"/>
      <c r="O54" s="138"/>
      <c r="P54" s="138"/>
      <c r="Q54" s="138"/>
      <c r="R54" s="150"/>
      <c r="S54" s="306" t="str">
        <f t="shared" ref="S54:S69" si="12">IF(CB54=0,"",CB54)</f>
        <v/>
      </c>
      <c r="T54" s="307"/>
      <c r="U54" s="307"/>
      <c r="V54" s="317" t="str">
        <f t="shared" ref="V54:V64" si="13">IF(CE54=0,"",CE54)</f>
        <v/>
      </c>
      <c r="W54" s="317"/>
      <c r="X54" s="317"/>
      <c r="Y54" s="317" t="str">
        <f t="shared" ref="Y54:Y64" si="14">IF(CH54=0,"",CH54)</f>
        <v/>
      </c>
      <c r="Z54" s="317"/>
      <c r="AA54" s="317"/>
      <c r="AB54" s="317" t="str">
        <f t="shared" ref="AB54:AB64" si="15">IF(CK54=0,"",CK54)</f>
        <v/>
      </c>
      <c r="AC54" s="317"/>
      <c r="AD54" s="317"/>
      <c r="AE54" s="317" t="str">
        <f t="shared" ref="AE54:AE64" si="16">IF(CN54=0,"",CN54)</f>
        <v/>
      </c>
      <c r="AF54" s="317"/>
      <c r="AG54" s="317"/>
      <c r="AH54" s="317" t="str">
        <f t="shared" ref="AH54:AH64" si="17">IF(CQ54=0,"",CQ54)</f>
        <v/>
      </c>
      <c r="AI54" s="317"/>
      <c r="AJ54" s="317"/>
      <c r="AK54" s="317" t="str">
        <f t="shared" ref="AK54:AK64" si="18">IF(CT54=0,"",CT54)</f>
        <v/>
      </c>
      <c r="AL54" s="317"/>
      <c r="AM54" s="317"/>
      <c r="AN54" s="317" t="str">
        <f t="shared" ref="AN54:AN64" si="19">IF(CW54=0,"",CW54)</f>
        <v/>
      </c>
      <c r="AO54" s="317"/>
      <c r="AP54" s="317"/>
      <c r="AQ54" s="317" t="str">
        <f t="shared" ref="AQ54:AQ64" si="20">IF(CZ54=0,"",CZ54)</f>
        <v/>
      </c>
      <c r="AR54" s="317"/>
      <c r="AS54" s="317"/>
      <c r="AT54" s="127"/>
      <c r="AU54" s="128"/>
      <c r="AV54" s="131"/>
      <c r="BE54" s="223"/>
      <c r="BF54" s="224"/>
      <c r="BG54" s="225"/>
      <c r="BH54" s="225"/>
      <c r="BI54" s="226"/>
      <c r="BJ54" s="226"/>
      <c r="BK54" s="226"/>
      <c r="BL54" s="227"/>
      <c r="BM54" s="227"/>
      <c r="BN54" s="227"/>
      <c r="BO54" s="227" t="str">
        <f t="shared" si="1"/>
        <v/>
      </c>
      <c r="BP54" s="227"/>
      <c r="BQ54" s="227"/>
      <c r="BR54" s="224"/>
      <c r="BS54" s="224"/>
      <c r="BT54" s="228"/>
    </row>
    <row r="55" spans="1:106" ht="10.199999999999999" customHeight="1">
      <c r="A55" s="126"/>
      <c r="B55" s="127"/>
      <c r="C55" s="128"/>
      <c r="D55" s="137"/>
      <c r="E55" s="138"/>
      <c r="F55" s="138"/>
      <c r="G55" s="138"/>
      <c r="H55" s="138"/>
      <c r="I55" s="138"/>
      <c r="J55" s="138"/>
      <c r="K55" s="138"/>
      <c r="L55" s="138"/>
      <c r="M55" s="139" t="s">
        <v>172</v>
      </c>
      <c r="N55" s="307" t="s">
        <v>118</v>
      </c>
      <c r="O55" s="307"/>
      <c r="P55" s="307"/>
      <c r="Q55" s="324" t="s">
        <v>95</v>
      </c>
      <c r="R55" s="325"/>
      <c r="S55" s="306" t="str">
        <f t="shared" si="12"/>
        <v/>
      </c>
      <c r="T55" s="307"/>
      <c r="U55" s="307"/>
      <c r="V55" s="317" t="str">
        <f t="shared" ca="1" si="13"/>
        <v/>
      </c>
      <c r="W55" s="317"/>
      <c r="X55" s="317"/>
      <c r="Y55" s="317" t="str">
        <f t="shared" ca="1" si="14"/>
        <v/>
      </c>
      <c r="Z55" s="317"/>
      <c r="AA55" s="317"/>
      <c r="AB55" s="317" t="str">
        <f t="shared" ca="1" si="15"/>
        <v/>
      </c>
      <c r="AC55" s="317"/>
      <c r="AD55" s="317"/>
      <c r="AE55" s="317" t="str">
        <f t="shared" ca="1" si="16"/>
        <v/>
      </c>
      <c r="AF55" s="317"/>
      <c r="AG55" s="317"/>
      <c r="AH55" s="317" t="str">
        <f t="shared" ca="1" si="17"/>
        <v/>
      </c>
      <c r="AI55" s="317"/>
      <c r="AJ55" s="317"/>
      <c r="AK55" s="317" t="str">
        <f t="shared" ca="1" si="18"/>
        <v/>
      </c>
      <c r="AL55" s="317"/>
      <c r="AM55" s="317"/>
      <c r="AN55" s="317" t="str">
        <f t="shared" si="19"/>
        <v/>
      </c>
      <c r="AO55" s="317"/>
      <c r="AP55" s="317"/>
      <c r="AQ55" s="317" t="str">
        <f t="shared" ca="1" si="20"/>
        <v/>
      </c>
      <c r="AR55" s="317"/>
      <c r="AS55" s="317"/>
      <c r="AT55" s="127"/>
      <c r="AU55" s="128"/>
      <c r="AV55" s="131"/>
      <c r="BE55" s="223"/>
      <c r="BF55" s="224"/>
      <c r="BG55" s="225"/>
      <c r="BH55" s="225"/>
      <c r="BI55" s="226"/>
      <c r="BJ55" s="226"/>
      <c r="BK55" s="226"/>
      <c r="BL55" s="227"/>
      <c r="BM55" s="227"/>
      <c r="BN55" s="227"/>
      <c r="BO55" s="227" t="str">
        <f t="shared" si="1"/>
        <v/>
      </c>
      <c r="BP55" s="227"/>
      <c r="BQ55" s="227"/>
      <c r="BR55" s="224"/>
      <c r="BS55" s="224"/>
      <c r="BT55" s="228"/>
      <c r="CB55" s="220">
        <f>CB50/$P39</f>
        <v>0</v>
      </c>
      <c r="CC55" s="220"/>
      <c r="CD55" s="220"/>
      <c r="CE55" s="220">
        <f ca="1">CE50/$P39</f>
        <v>0</v>
      </c>
      <c r="CF55" s="220"/>
      <c r="CG55" s="220"/>
      <c r="CH55" s="220">
        <f ca="1">CH50/$P39</f>
        <v>0</v>
      </c>
      <c r="CI55" s="220"/>
      <c r="CJ55" s="220"/>
      <c r="CK55" s="220">
        <f ca="1">CK50/$P39</f>
        <v>0</v>
      </c>
      <c r="CL55" s="220"/>
      <c r="CM55" s="220"/>
      <c r="CN55" s="220">
        <f ca="1">CN50/$P39</f>
        <v>0</v>
      </c>
      <c r="CO55" s="220"/>
      <c r="CP55" s="220"/>
      <c r="CQ55" s="220">
        <f ca="1">CQ50/$P39</f>
        <v>0</v>
      </c>
      <c r="CR55" s="220"/>
      <c r="CS55" s="220"/>
      <c r="CT55" s="220">
        <f ca="1">IF(CT50="",0,CT50/$P39)</f>
        <v>0</v>
      </c>
      <c r="CU55" s="220"/>
      <c r="CV55" s="220"/>
      <c r="CW55" s="220">
        <f>IF(CW50="",0,CW50/$P39)</f>
        <v>0</v>
      </c>
      <c r="CX55" s="220"/>
      <c r="CY55" s="220"/>
      <c r="CZ55" s="220">
        <f ca="1">IF(CZ50="",0,CZ50/$P39)</f>
        <v>0</v>
      </c>
      <c r="DA55" s="220"/>
      <c r="DB55" s="220"/>
    </row>
    <row r="56" spans="1:106" ht="10.199999999999999" customHeight="1">
      <c r="A56" s="126"/>
      <c r="B56" s="127"/>
      <c r="C56" s="128"/>
      <c r="D56" s="137"/>
      <c r="E56" s="138"/>
      <c r="F56" s="138"/>
      <c r="G56" s="138"/>
      <c r="H56" s="138"/>
      <c r="I56" s="138"/>
      <c r="J56" s="138"/>
      <c r="K56" s="138"/>
      <c r="L56" s="138"/>
      <c r="M56" s="139" t="s">
        <v>173</v>
      </c>
      <c r="N56" s="307" t="s">
        <v>119</v>
      </c>
      <c r="O56" s="307"/>
      <c r="P56" s="307"/>
      <c r="Q56" s="324" t="s">
        <v>95</v>
      </c>
      <c r="R56" s="325"/>
      <c r="S56" s="306" t="str">
        <f t="shared" si="12"/>
        <v/>
      </c>
      <c r="T56" s="307"/>
      <c r="U56" s="307"/>
      <c r="V56" s="317" t="str">
        <f t="shared" ca="1" si="13"/>
        <v/>
      </c>
      <c r="W56" s="317"/>
      <c r="X56" s="317"/>
      <c r="Y56" s="317" t="str">
        <f t="shared" ca="1" si="14"/>
        <v/>
      </c>
      <c r="Z56" s="317"/>
      <c r="AA56" s="317"/>
      <c r="AB56" s="317" t="str">
        <f t="shared" ca="1" si="15"/>
        <v/>
      </c>
      <c r="AC56" s="317"/>
      <c r="AD56" s="317"/>
      <c r="AE56" s="317" t="str">
        <f t="shared" ca="1" si="16"/>
        <v/>
      </c>
      <c r="AF56" s="317"/>
      <c r="AG56" s="317"/>
      <c r="AH56" s="317" t="str">
        <f t="shared" ca="1" si="17"/>
        <v/>
      </c>
      <c r="AI56" s="317"/>
      <c r="AJ56" s="317"/>
      <c r="AK56" s="317" t="str">
        <f t="shared" ca="1" si="18"/>
        <v/>
      </c>
      <c r="AL56" s="317"/>
      <c r="AM56" s="317"/>
      <c r="AN56" s="317" t="str">
        <f t="shared" si="19"/>
        <v/>
      </c>
      <c r="AO56" s="317"/>
      <c r="AP56" s="317"/>
      <c r="AQ56" s="317" t="str">
        <f t="shared" ca="1" si="20"/>
        <v/>
      </c>
      <c r="AR56" s="317"/>
      <c r="AS56" s="317"/>
      <c r="AT56" s="127"/>
      <c r="AU56" s="128"/>
      <c r="AV56" s="131"/>
      <c r="BE56" s="223"/>
      <c r="BF56" s="224"/>
      <c r="BG56" s="225"/>
      <c r="BH56" s="225"/>
      <c r="BI56" s="226"/>
      <c r="BJ56" s="226"/>
      <c r="BK56" s="226"/>
      <c r="BL56" s="227"/>
      <c r="BM56" s="227"/>
      <c r="BN56" s="227"/>
      <c r="BO56" s="227" t="str">
        <f t="shared" si="1"/>
        <v/>
      </c>
      <c r="BP56" s="227"/>
      <c r="BQ56" s="227"/>
      <c r="BR56" s="224"/>
      <c r="BS56" s="224"/>
      <c r="BT56" s="228"/>
      <c r="CB56" s="334">
        <f>CB51/$P39</f>
        <v>0</v>
      </c>
      <c r="CC56" s="334"/>
      <c r="CD56" s="334"/>
      <c r="CE56" s="334">
        <f ca="1">CE51/$P39</f>
        <v>0</v>
      </c>
      <c r="CF56" s="334"/>
      <c r="CG56" s="334"/>
      <c r="CH56" s="334">
        <f ca="1">CH51/$P39</f>
        <v>0</v>
      </c>
      <c r="CI56" s="334"/>
      <c r="CJ56" s="334"/>
      <c r="CK56" s="334">
        <f ca="1">CK51/$P39</f>
        <v>0</v>
      </c>
      <c r="CL56" s="334"/>
      <c r="CM56" s="334"/>
      <c r="CN56" s="334">
        <f ca="1">CN51/$P39</f>
        <v>0</v>
      </c>
      <c r="CO56" s="334"/>
      <c r="CP56" s="334"/>
      <c r="CQ56" s="334">
        <f ca="1">CQ51/$P39</f>
        <v>0</v>
      </c>
      <c r="CR56" s="334"/>
      <c r="CS56" s="334"/>
      <c r="CT56" s="334">
        <f ca="1">IF(CT51="",0,CT51/$P39)</f>
        <v>0</v>
      </c>
      <c r="CU56" s="334"/>
      <c r="CV56" s="334"/>
      <c r="CW56" s="334">
        <f>IF(CW51="",0,CW51/$P39)</f>
        <v>0</v>
      </c>
      <c r="CX56" s="334"/>
      <c r="CY56" s="334"/>
      <c r="CZ56" s="334">
        <f ca="1">IF(CZ51="",0,CZ51/$P39)</f>
        <v>0</v>
      </c>
      <c r="DA56" s="334"/>
      <c r="DB56" s="334"/>
    </row>
    <row r="57" spans="1:106" ht="10.199999999999999" customHeight="1">
      <c r="A57" s="126"/>
      <c r="B57" s="127"/>
      <c r="C57" s="128"/>
      <c r="D57" s="143"/>
      <c r="E57" s="144"/>
      <c r="F57" s="144"/>
      <c r="G57" s="144"/>
      <c r="H57" s="144"/>
      <c r="I57" s="144"/>
      <c r="J57" s="144"/>
      <c r="K57" s="144"/>
      <c r="L57" s="144"/>
      <c r="M57" s="146" t="s">
        <v>174</v>
      </c>
      <c r="N57" s="316" t="s">
        <v>120</v>
      </c>
      <c r="O57" s="316"/>
      <c r="P57" s="316"/>
      <c r="Q57" s="326" t="s">
        <v>95</v>
      </c>
      <c r="R57" s="327"/>
      <c r="S57" s="306" t="str">
        <f t="shared" si="12"/>
        <v/>
      </c>
      <c r="T57" s="307"/>
      <c r="U57" s="307"/>
      <c r="V57" s="317" t="str">
        <f t="shared" ca="1" si="13"/>
        <v/>
      </c>
      <c r="W57" s="317"/>
      <c r="X57" s="317"/>
      <c r="Y57" s="317" t="str">
        <f t="shared" ca="1" si="14"/>
        <v/>
      </c>
      <c r="Z57" s="317"/>
      <c r="AA57" s="317"/>
      <c r="AB57" s="317" t="str">
        <f t="shared" ca="1" si="15"/>
        <v/>
      </c>
      <c r="AC57" s="317"/>
      <c r="AD57" s="317"/>
      <c r="AE57" s="317" t="str">
        <f t="shared" ca="1" si="16"/>
        <v/>
      </c>
      <c r="AF57" s="317"/>
      <c r="AG57" s="317"/>
      <c r="AH57" s="317" t="str">
        <f t="shared" ca="1" si="17"/>
        <v/>
      </c>
      <c r="AI57" s="317"/>
      <c r="AJ57" s="317"/>
      <c r="AK57" s="317" t="str">
        <f t="shared" ca="1" si="18"/>
        <v/>
      </c>
      <c r="AL57" s="317"/>
      <c r="AM57" s="317"/>
      <c r="AN57" s="317" t="str">
        <f t="shared" si="19"/>
        <v/>
      </c>
      <c r="AO57" s="317"/>
      <c r="AP57" s="317"/>
      <c r="AQ57" s="317" t="str">
        <f t="shared" ca="1" si="20"/>
        <v/>
      </c>
      <c r="AR57" s="317"/>
      <c r="AS57" s="317"/>
      <c r="AT57" s="127"/>
      <c r="AU57" s="128"/>
      <c r="AV57" s="131"/>
      <c r="BE57" s="223"/>
      <c r="BF57" s="224"/>
      <c r="BG57" s="225"/>
      <c r="BH57" s="225"/>
      <c r="BI57" s="226"/>
      <c r="BJ57" s="226"/>
      <c r="BK57" s="226"/>
      <c r="BL57" s="227"/>
      <c r="BM57" s="227"/>
      <c r="BN57" s="227"/>
      <c r="BO57" s="227" t="str">
        <f t="shared" si="1"/>
        <v/>
      </c>
      <c r="BP57" s="227"/>
      <c r="BQ57" s="227"/>
      <c r="BR57" s="224"/>
      <c r="BS57" s="224"/>
      <c r="BT57" s="228"/>
      <c r="CB57" s="334">
        <f>IF(S47="",0,S47/$P40)</f>
        <v>0</v>
      </c>
      <c r="CC57" s="334"/>
      <c r="CD57" s="334"/>
      <c r="CE57" s="334">
        <f ca="1">IF(V47="",0,V47/$P40)</f>
        <v>0</v>
      </c>
      <c r="CF57" s="334"/>
      <c r="CG57" s="334"/>
      <c r="CH57" s="334">
        <f ca="1">IF(Y47="",0,Y47/$P40)</f>
        <v>0</v>
      </c>
      <c r="CI57" s="334"/>
      <c r="CJ57" s="334"/>
      <c r="CK57" s="334">
        <f ca="1">IF(AB47="",0,AB47/$P40)</f>
        <v>0</v>
      </c>
      <c r="CL57" s="334"/>
      <c r="CM57" s="334"/>
      <c r="CN57" s="334">
        <f ca="1">IF(AE47="",0,AE47/$P40)</f>
        <v>0</v>
      </c>
      <c r="CO57" s="334"/>
      <c r="CP57" s="334"/>
      <c r="CQ57" s="334">
        <f ca="1">IF(AH47="",0,AH47/$P40)</f>
        <v>0</v>
      </c>
      <c r="CR57" s="334"/>
      <c r="CS57" s="334"/>
      <c r="CT57" s="334">
        <f ca="1">IF(AK47="",0,AK47/$P40)</f>
        <v>0</v>
      </c>
      <c r="CU57" s="334"/>
      <c r="CV57" s="334"/>
      <c r="CW57" s="334">
        <f>IF(AN47="",0,AN47/$P40)</f>
        <v>0</v>
      </c>
      <c r="CX57" s="334"/>
      <c r="CY57" s="334"/>
      <c r="CZ57" s="334">
        <f ca="1">IF(AQ47="",0,AQ47/$P40)</f>
        <v>0</v>
      </c>
      <c r="DA57" s="334"/>
      <c r="DB57" s="334"/>
    </row>
    <row r="58" spans="1:106" ht="10.199999999999999" customHeight="1">
      <c r="A58" s="126"/>
      <c r="B58" s="127"/>
      <c r="C58" s="128"/>
      <c r="D58" s="149" t="s">
        <v>96</v>
      </c>
      <c r="E58" s="138"/>
      <c r="F58" s="138"/>
      <c r="G58" s="138"/>
      <c r="H58" s="138"/>
      <c r="I58" s="138"/>
      <c r="J58" s="138"/>
      <c r="K58" s="138"/>
      <c r="L58" s="138"/>
      <c r="M58" s="138"/>
      <c r="N58" s="138"/>
      <c r="O58" s="138"/>
      <c r="P58" s="138"/>
      <c r="Q58" s="138"/>
      <c r="R58" s="150"/>
      <c r="S58" s="306" t="str">
        <f t="shared" si="12"/>
        <v/>
      </c>
      <c r="T58" s="307"/>
      <c r="U58" s="307"/>
      <c r="V58" s="317" t="str">
        <f t="shared" si="13"/>
        <v/>
      </c>
      <c r="W58" s="317"/>
      <c r="X58" s="317"/>
      <c r="Y58" s="317" t="str">
        <f t="shared" si="14"/>
        <v/>
      </c>
      <c r="Z58" s="317"/>
      <c r="AA58" s="317"/>
      <c r="AB58" s="317" t="str">
        <f t="shared" si="15"/>
        <v/>
      </c>
      <c r="AC58" s="317"/>
      <c r="AD58" s="317"/>
      <c r="AE58" s="317" t="str">
        <f t="shared" si="16"/>
        <v/>
      </c>
      <c r="AF58" s="317"/>
      <c r="AG58" s="317"/>
      <c r="AH58" s="317" t="str">
        <f t="shared" si="17"/>
        <v/>
      </c>
      <c r="AI58" s="317"/>
      <c r="AJ58" s="317"/>
      <c r="AK58" s="317" t="str">
        <f t="shared" si="18"/>
        <v/>
      </c>
      <c r="AL58" s="317"/>
      <c r="AM58" s="317"/>
      <c r="AN58" s="317" t="str">
        <f t="shared" si="19"/>
        <v/>
      </c>
      <c r="AO58" s="317"/>
      <c r="AP58" s="317"/>
      <c r="AQ58" s="317" t="str">
        <f t="shared" si="20"/>
        <v/>
      </c>
      <c r="AR58" s="317"/>
      <c r="AS58" s="317"/>
      <c r="AT58" s="127"/>
      <c r="AU58" s="128"/>
      <c r="AV58" s="131"/>
      <c r="BE58" s="223"/>
      <c r="BF58" s="224"/>
      <c r="BG58" s="225"/>
      <c r="BH58" s="225"/>
      <c r="BI58" s="226"/>
      <c r="BJ58" s="226"/>
      <c r="BK58" s="226"/>
      <c r="BL58" s="227"/>
      <c r="BM58" s="227"/>
      <c r="BN58" s="227"/>
      <c r="BO58" s="227" t="str">
        <f t="shared" si="1"/>
        <v/>
      </c>
      <c r="BP58" s="227"/>
      <c r="BQ58" s="227"/>
      <c r="BR58" s="224"/>
      <c r="BS58" s="224"/>
      <c r="BT58" s="228"/>
    </row>
    <row r="59" spans="1:106" ht="10.199999999999999" customHeight="1">
      <c r="A59" s="126"/>
      <c r="B59" s="127"/>
      <c r="C59" s="128"/>
      <c r="D59" s="137"/>
      <c r="E59" s="138"/>
      <c r="F59" s="138"/>
      <c r="G59" s="138"/>
      <c r="H59" s="138"/>
      <c r="I59" s="138"/>
      <c r="J59" s="139" t="s">
        <v>137</v>
      </c>
      <c r="K59" s="318" t="s">
        <v>139</v>
      </c>
      <c r="L59" s="318"/>
      <c r="M59" s="318"/>
      <c r="N59" s="318"/>
      <c r="O59" s="318"/>
      <c r="P59" s="318"/>
      <c r="Q59" s="138"/>
      <c r="R59" s="151" t="s">
        <v>77</v>
      </c>
      <c r="S59" s="306" t="str">
        <f t="shared" si="12"/>
        <v/>
      </c>
      <c r="T59" s="307"/>
      <c r="U59" s="307"/>
      <c r="V59" s="317" t="str">
        <f t="shared" ca="1" si="13"/>
        <v/>
      </c>
      <c r="W59" s="317"/>
      <c r="X59" s="317"/>
      <c r="Y59" s="317" t="str">
        <f t="shared" ca="1" si="14"/>
        <v/>
      </c>
      <c r="Z59" s="317"/>
      <c r="AA59" s="317"/>
      <c r="AB59" s="317" t="str">
        <f t="shared" ca="1" si="15"/>
        <v/>
      </c>
      <c r="AC59" s="317"/>
      <c r="AD59" s="317"/>
      <c r="AE59" s="317" t="str">
        <f t="shared" ca="1" si="16"/>
        <v/>
      </c>
      <c r="AF59" s="317"/>
      <c r="AG59" s="317"/>
      <c r="AH59" s="317" t="str">
        <f t="shared" ca="1" si="17"/>
        <v/>
      </c>
      <c r="AI59" s="317"/>
      <c r="AJ59" s="317"/>
      <c r="AK59" s="317" t="str">
        <f t="shared" ca="1" si="18"/>
        <v/>
      </c>
      <c r="AL59" s="317"/>
      <c r="AM59" s="317"/>
      <c r="AN59" s="317" t="str">
        <f t="shared" si="19"/>
        <v/>
      </c>
      <c r="AO59" s="317"/>
      <c r="AP59" s="317"/>
      <c r="AQ59" s="317" t="str">
        <f t="shared" ca="1" si="20"/>
        <v/>
      </c>
      <c r="AR59" s="317"/>
      <c r="AS59" s="317"/>
      <c r="AT59" s="127"/>
      <c r="AU59" s="128"/>
      <c r="AV59" s="131"/>
      <c r="BE59" s="223"/>
      <c r="BF59" s="224"/>
      <c r="BG59" s="225"/>
      <c r="BH59" s="225"/>
      <c r="BI59" s="226"/>
      <c r="BJ59" s="226"/>
      <c r="BK59" s="226"/>
      <c r="BL59" s="227"/>
      <c r="BM59" s="227"/>
      <c r="BN59" s="227"/>
      <c r="BO59" s="227" t="str">
        <f t="shared" si="1"/>
        <v/>
      </c>
      <c r="BP59" s="227"/>
      <c r="BQ59" s="227"/>
      <c r="BR59" s="224"/>
      <c r="BS59" s="224"/>
      <c r="BT59" s="228"/>
      <c r="CB59" s="220">
        <f>1.17*CB55*SQRT($P10)/POWER($P41,1.5)</f>
        <v>0</v>
      </c>
      <c r="CC59" s="220"/>
      <c r="CD59" s="220"/>
      <c r="CE59" s="220">
        <f ca="1">1.17*CE55*SQRT($P10)/POWER($P41,1.5)</f>
        <v>0</v>
      </c>
      <c r="CF59" s="220"/>
      <c r="CG59" s="220"/>
      <c r="CH59" s="220">
        <f ca="1">1.17*CH55*SQRT($P10)/POWER($P41,1.5)</f>
        <v>0</v>
      </c>
      <c r="CI59" s="220"/>
      <c r="CJ59" s="220"/>
      <c r="CK59" s="220">
        <f ca="1">1.17*CK55*SQRT($P10)/POWER($P41,1.5)</f>
        <v>0</v>
      </c>
      <c r="CL59" s="220"/>
      <c r="CM59" s="220"/>
      <c r="CN59" s="220">
        <f ca="1">1.17*CN55*SQRT($P10)/POWER($P41,1.5)</f>
        <v>0</v>
      </c>
      <c r="CO59" s="220"/>
      <c r="CP59" s="220"/>
      <c r="CQ59" s="220">
        <f ca="1">1.17*CQ55*SQRT($P10)/POWER($P41,1.5)</f>
        <v>0</v>
      </c>
      <c r="CR59" s="220"/>
      <c r="CS59" s="220"/>
      <c r="CT59" s="220">
        <f ca="1">IF(CT50="",0,1.17*CT55*SQRT($P10)/POWER($P41,1.5))</f>
        <v>0</v>
      </c>
      <c r="CU59" s="220"/>
      <c r="CV59" s="220"/>
      <c r="CW59" s="220">
        <f>IF(CW50="",0,1.17*CW55*SQRT($P10)/POWER($P41,1.5))</f>
        <v>0</v>
      </c>
      <c r="CX59" s="220"/>
      <c r="CY59" s="220"/>
      <c r="CZ59" s="220">
        <f ca="1">IF(CZ50="",0,1.17*CZ55*SQRT($P10)/POWER($P41,1.5))</f>
        <v>0</v>
      </c>
      <c r="DA59" s="220"/>
      <c r="DB59" s="220"/>
    </row>
    <row r="60" spans="1:106" ht="10.199999999999999" customHeight="1">
      <c r="A60" s="126"/>
      <c r="B60" s="127"/>
      <c r="C60" s="128"/>
      <c r="D60" s="137"/>
      <c r="E60" s="138"/>
      <c r="F60" s="138"/>
      <c r="G60" s="138"/>
      <c r="H60" s="138"/>
      <c r="I60" s="138"/>
      <c r="J60" s="139" t="s">
        <v>138</v>
      </c>
      <c r="K60" s="318" t="s">
        <v>140</v>
      </c>
      <c r="L60" s="318"/>
      <c r="M60" s="318"/>
      <c r="N60" s="318"/>
      <c r="O60" s="318"/>
      <c r="P60" s="318"/>
      <c r="Q60" s="140"/>
      <c r="R60" s="151" t="s">
        <v>77</v>
      </c>
      <c r="S60" s="306" t="str">
        <f t="shared" si="12"/>
        <v/>
      </c>
      <c r="T60" s="307"/>
      <c r="U60" s="307"/>
      <c r="V60" s="317" t="str">
        <f t="shared" ca="1" si="13"/>
        <v/>
      </c>
      <c r="W60" s="317"/>
      <c r="X60" s="317"/>
      <c r="Y60" s="317" t="str">
        <f t="shared" ca="1" si="14"/>
        <v/>
      </c>
      <c r="Z60" s="317"/>
      <c r="AA60" s="317"/>
      <c r="AB60" s="317" t="str">
        <f t="shared" ca="1" si="15"/>
        <v/>
      </c>
      <c r="AC60" s="317"/>
      <c r="AD60" s="317"/>
      <c r="AE60" s="317" t="str">
        <f t="shared" ca="1" si="16"/>
        <v/>
      </c>
      <c r="AF60" s="317"/>
      <c r="AG60" s="317"/>
      <c r="AH60" s="317" t="str">
        <f t="shared" ca="1" si="17"/>
        <v/>
      </c>
      <c r="AI60" s="317"/>
      <c r="AJ60" s="317"/>
      <c r="AK60" s="317" t="str">
        <f t="shared" ca="1" si="18"/>
        <v/>
      </c>
      <c r="AL60" s="317"/>
      <c r="AM60" s="317"/>
      <c r="AN60" s="317" t="str">
        <f t="shared" si="19"/>
        <v/>
      </c>
      <c r="AO60" s="317"/>
      <c r="AP60" s="317"/>
      <c r="AQ60" s="317" t="str">
        <f t="shared" ca="1" si="20"/>
        <v/>
      </c>
      <c r="AR60" s="317"/>
      <c r="AS60" s="317"/>
      <c r="AT60" s="127"/>
      <c r="AU60" s="128"/>
      <c r="AV60" s="131"/>
      <c r="BE60" s="328"/>
      <c r="BF60" s="329"/>
      <c r="BG60" s="330"/>
      <c r="BH60" s="330"/>
      <c r="BI60" s="331"/>
      <c r="BJ60" s="331"/>
      <c r="BK60" s="331"/>
      <c r="BL60" s="332"/>
      <c r="BM60" s="332"/>
      <c r="BN60" s="332"/>
      <c r="BO60" s="332" t="str">
        <f t="shared" si="1"/>
        <v/>
      </c>
      <c r="BP60" s="332"/>
      <c r="BQ60" s="332"/>
      <c r="BR60" s="329"/>
      <c r="BS60" s="329"/>
      <c r="BT60" s="333"/>
      <c r="CB60" s="220">
        <f>2.34*CB56*SQRT($P10)/POWER($P41,1.5)</f>
        <v>0</v>
      </c>
      <c r="CC60" s="220"/>
      <c r="CD60" s="220"/>
      <c r="CE60" s="220">
        <f ca="1">2.34*CE56*SQRT($P10)/POWER($P41,1.5)</f>
        <v>0</v>
      </c>
      <c r="CF60" s="220"/>
      <c r="CG60" s="220"/>
      <c r="CH60" s="220">
        <f ca="1">2.34*CH56*SQRT($P10)/POWER($P41,1.5)</f>
        <v>0</v>
      </c>
      <c r="CI60" s="220"/>
      <c r="CJ60" s="220"/>
      <c r="CK60" s="220">
        <f ca="1">2.34*CK56*SQRT($P10)/POWER($P41,1.5)</f>
        <v>0</v>
      </c>
      <c r="CL60" s="220"/>
      <c r="CM60" s="220"/>
      <c r="CN60" s="220">
        <f ca="1">2.34*CN56*SQRT($P10)/POWER($P41,1.5)</f>
        <v>0</v>
      </c>
      <c r="CO60" s="220"/>
      <c r="CP60" s="220"/>
      <c r="CQ60" s="220">
        <f ca="1">2.34*CQ56*SQRT($P10)/POWER($P41,1.5)</f>
        <v>0</v>
      </c>
      <c r="CR60" s="220"/>
      <c r="CS60" s="220"/>
      <c r="CT60" s="220">
        <f ca="1">2.34*CT56*SQRT($P10)/POWER($P41,1.5)</f>
        <v>0</v>
      </c>
      <c r="CU60" s="220"/>
      <c r="CV60" s="220"/>
      <c r="CW60" s="220">
        <f>2.34*CW56*SQRT($P10)/POWER($P41,1.5)</f>
        <v>0</v>
      </c>
      <c r="CX60" s="220"/>
      <c r="CY60" s="220"/>
      <c r="CZ60" s="220">
        <f ca="1">2.34*CZ56*SQRT($P10)/POWER($P41,1.5)</f>
        <v>0</v>
      </c>
      <c r="DA60" s="220"/>
      <c r="DB60" s="220"/>
    </row>
    <row r="61" spans="1:106" ht="10.199999999999999" customHeight="1">
      <c r="A61" s="126"/>
      <c r="B61" s="127"/>
      <c r="C61" s="128"/>
      <c r="D61" s="137"/>
      <c r="E61" s="138"/>
      <c r="F61" s="138"/>
      <c r="G61" s="138"/>
      <c r="H61" s="138"/>
      <c r="I61" s="138"/>
      <c r="J61" s="139" t="s">
        <v>121</v>
      </c>
      <c r="K61" s="318" t="s">
        <v>141</v>
      </c>
      <c r="L61" s="318"/>
      <c r="M61" s="318"/>
      <c r="N61" s="318"/>
      <c r="O61" s="318"/>
      <c r="P61" s="318"/>
      <c r="Q61" s="140"/>
      <c r="R61" s="151" t="s">
        <v>77</v>
      </c>
      <c r="S61" s="306" t="str">
        <f t="shared" si="12"/>
        <v/>
      </c>
      <c r="T61" s="307"/>
      <c r="U61" s="307"/>
      <c r="V61" s="317" t="str">
        <f t="shared" ca="1" si="13"/>
        <v/>
      </c>
      <c r="W61" s="317"/>
      <c r="X61" s="317"/>
      <c r="Y61" s="317" t="str">
        <f t="shared" ca="1" si="14"/>
        <v/>
      </c>
      <c r="Z61" s="317"/>
      <c r="AA61" s="317"/>
      <c r="AB61" s="317" t="str">
        <f t="shared" ca="1" si="15"/>
        <v/>
      </c>
      <c r="AC61" s="317"/>
      <c r="AD61" s="317"/>
      <c r="AE61" s="317" t="str">
        <f t="shared" ca="1" si="16"/>
        <v/>
      </c>
      <c r="AF61" s="317"/>
      <c r="AG61" s="317"/>
      <c r="AH61" s="317" t="str">
        <f t="shared" ca="1" si="17"/>
        <v/>
      </c>
      <c r="AI61" s="317"/>
      <c r="AJ61" s="317"/>
      <c r="AK61" s="317" t="str">
        <f t="shared" ca="1" si="18"/>
        <v/>
      </c>
      <c r="AL61" s="317"/>
      <c r="AM61" s="317"/>
      <c r="AN61" s="317" t="str">
        <f t="shared" si="19"/>
        <v/>
      </c>
      <c r="AO61" s="317"/>
      <c r="AP61" s="317"/>
      <c r="AQ61" s="317" t="str">
        <f t="shared" ca="1" si="20"/>
        <v/>
      </c>
      <c r="AR61" s="317"/>
      <c r="AS61" s="317"/>
      <c r="AT61" s="127"/>
      <c r="AU61" s="128"/>
      <c r="AV61" s="131"/>
      <c r="CB61" s="220">
        <f>1.5*1.17*CB57*SQRT($P10)/POWER($P41,1.5)</f>
        <v>0</v>
      </c>
      <c r="CC61" s="220"/>
      <c r="CD61" s="220"/>
      <c r="CE61" s="220">
        <f ca="1">1.5*1.17*CE57*SQRT($P10)/POWER($P41,1.5)</f>
        <v>0</v>
      </c>
      <c r="CF61" s="220"/>
      <c r="CG61" s="220"/>
      <c r="CH61" s="220">
        <f ca="1">1.5*1.17*CH57*SQRT($P10)/POWER($P41,1.5)</f>
        <v>0</v>
      </c>
      <c r="CI61" s="220"/>
      <c r="CJ61" s="220"/>
      <c r="CK61" s="220">
        <f ca="1">1.5*1.17*CK57*SQRT($P10)/POWER($P41,1.5)</f>
        <v>0</v>
      </c>
      <c r="CL61" s="220"/>
      <c r="CM61" s="220"/>
      <c r="CN61" s="220">
        <f ca="1">1.5*1.17*CN57*SQRT($P10)/POWER($P41,1.5)</f>
        <v>0</v>
      </c>
      <c r="CO61" s="220"/>
      <c r="CP61" s="220"/>
      <c r="CQ61" s="220">
        <f ca="1">1.5*1.17*CQ57*SQRT($P10)/POWER($P41,1.5)</f>
        <v>0</v>
      </c>
      <c r="CR61" s="220"/>
      <c r="CS61" s="220"/>
      <c r="CT61" s="220">
        <f ca="1">1.5*1.17*CT57*SQRT($P10)/POWER($P41,1.5)</f>
        <v>0</v>
      </c>
      <c r="CU61" s="220"/>
      <c r="CV61" s="220"/>
      <c r="CW61" s="220">
        <f>1.5*1.17*CW57*SQRT($P10)/POWER($P41,1.5)</f>
        <v>0</v>
      </c>
      <c r="CX61" s="220"/>
      <c r="CY61" s="220"/>
      <c r="CZ61" s="220">
        <f ca="1">1.5*1.17*CZ57*SQRT($P10)/POWER($P41,1.5)</f>
        <v>0</v>
      </c>
      <c r="DA61" s="220"/>
      <c r="DB61" s="220"/>
    </row>
    <row r="62" spans="1:106" ht="10.199999999999999" customHeight="1">
      <c r="A62" s="126"/>
      <c r="B62" s="127"/>
      <c r="C62" s="128"/>
      <c r="D62" s="143"/>
      <c r="E62" s="144"/>
      <c r="F62" s="144"/>
      <c r="G62" s="144"/>
      <c r="H62" s="144"/>
      <c r="I62" s="144"/>
      <c r="J62" s="146" t="s">
        <v>97</v>
      </c>
      <c r="K62" s="144"/>
      <c r="L62" s="144"/>
      <c r="M62" s="144"/>
      <c r="N62" s="144"/>
      <c r="O62" s="144"/>
      <c r="P62" s="144"/>
      <c r="Q62" s="147"/>
      <c r="R62" s="152" t="s">
        <v>77</v>
      </c>
      <c r="S62" s="306" t="str">
        <f t="shared" si="12"/>
        <v/>
      </c>
      <c r="T62" s="307"/>
      <c r="U62" s="307"/>
      <c r="V62" s="317" t="str">
        <f t="shared" ca="1" si="13"/>
        <v/>
      </c>
      <c r="W62" s="317"/>
      <c r="X62" s="317"/>
      <c r="Y62" s="317" t="str">
        <f t="shared" ca="1" si="14"/>
        <v/>
      </c>
      <c r="Z62" s="317"/>
      <c r="AA62" s="317"/>
      <c r="AB62" s="317" t="str">
        <f t="shared" ca="1" si="15"/>
        <v/>
      </c>
      <c r="AC62" s="317"/>
      <c r="AD62" s="317"/>
      <c r="AE62" s="317" t="str">
        <f t="shared" ca="1" si="16"/>
        <v/>
      </c>
      <c r="AF62" s="317"/>
      <c r="AG62" s="317"/>
      <c r="AH62" s="317" t="str">
        <f t="shared" ca="1" si="17"/>
        <v/>
      </c>
      <c r="AI62" s="317"/>
      <c r="AJ62" s="317"/>
      <c r="AK62" s="317" t="str">
        <f t="shared" ca="1" si="18"/>
        <v/>
      </c>
      <c r="AL62" s="317"/>
      <c r="AM62" s="317"/>
      <c r="AN62" s="317" t="str">
        <f t="shared" si="19"/>
        <v/>
      </c>
      <c r="AO62" s="317"/>
      <c r="AP62" s="317"/>
      <c r="AQ62" s="317" t="str">
        <f t="shared" ca="1" si="20"/>
        <v/>
      </c>
      <c r="AR62" s="317"/>
      <c r="AS62" s="317"/>
      <c r="AT62" s="127"/>
      <c r="AU62" s="128"/>
      <c r="AV62" s="131"/>
      <c r="CB62" s="220">
        <f>SQRT(POWER(CB50,2)+POWER(CB51,2))/((PI()*(POWER($P18,4)-POWER($P22,4))/32/$P18))</f>
        <v>0</v>
      </c>
      <c r="CC62" s="220"/>
      <c r="CD62" s="220"/>
      <c r="CE62" s="220">
        <f ca="1">SQRT(POWER(CE50,2)+POWER(CE51,2))/((PI()*(POWER($P18,4)-POWER($P22,4))/32/$P18))</f>
        <v>0</v>
      </c>
      <c r="CF62" s="220"/>
      <c r="CG62" s="220"/>
      <c r="CH62" s="220">
        <f ca="1">SQRT(POWER(CH50,2)+POWER(CH51,2))/((PI()*(POWER($P18,4)-POWER($P22,4))/32/$P18))</f>
        <v>0</v>
      </c>
      <c r="CI62" s="220"/>
      <c r="CJ62" s="220"/>
      <c r="CK62" s="220">
        <f ca="1">SQRT(POWER(CK50,2)+POWER(CK51,2))/((PI()*(POWER($P18,4)-POWER($P22,4))/32/$P18))</f>
        <v>0</v>
      </c>
      <c r="CL62" s="220"/>
      <c r="CM62" s="220"/>
      <c r="CN62" s="220">
        <f ca="1">SQRT(POWER(CN50,2)+POWER(CN51,2))/((PI()*(POWER($P18,4)-POWER($P22,4))/32/$P18))</f>
        <v>0</v>
      </c>
      <c r="CO62" s="220"/>
      <c r="CP62" s="220"/>
      <c r="CQ62" s="220">
        <f ca="1">SQRT(POWER(CQ50,2)+POWER(CQ51,2))/((PI()*(POWER($P18,4)-POWER($P22,4))/32/$P18))</f>
        <v>0</v>
      </c>
      <c r="CR62" s="220"/>
      <c r="CS62" s="220"/>
      <c r="CT62" s="220">
        <f ca="1">IF(OR(CT50="",CT51=""),0,SQRT(POWER(CT50,2)+POWER(CT51,2))/((PI()*(POWER($P18,4)-POWER($P22,4))/32/$P18)))</f>
        <v>0</v>
      </c>
      <c r="CU62" s="220"/>
      <c r="CV62" s="220"/>
      <c r="CW62" s="220">
        <f>IF(OR(CW50="",CW51=""),0,SQRT(POWER(CW50,2)+POWER(CW51,2))/((PI()*(POWER($P18,4)-POWER($P22,4))/32/$P18)))</f>
        <v>0</v>
      </c>
      <c r="CX62" s="220"/>
      <c r="CY62" s="220"/>
      <c r="CZ62" s="220">
        <f ca="1">IF(OR(CZ50="",CZ51=""),0,SQRT(POWER(CZ50,2)+POWER(CZ51,2))/((PI()*(POWER($P18,4)-POWER($P22,4))/32/$P18)))</f>
        <v>0</v>
      </c>
      <c r="DA62" s="220"/>
      <c r="DB62" s="220"/>
    </row>
    <row r="63" spans="1:106" ht="10.199999999999999" customHeight="1">
      <c r="A63" s="126"/>
      <c r="B63" s="127"/>
      <c r="C63" s="128"/>
      <c r="D63" s="149" t="s">
        <v>98</v>
      </c>
      <c r="E63" s="138"/>
      <c r="F63" s="138"/>
      <c r="G63" s="138"/>
      <c r="H63" s="138"/>
      <c r="I63" s="138"/>
      <c r="J63" s="138"/>
      <c r="K63" s="138"/>
      <c r="L63" s="138"/>
      <c r="M63" s="138"/>
      <c r="N63" s="138"/>
      <c r="O63" s="138"/>
      <c r="P63" s="138"/>
      <c r="Q63" s="140"/>
      <c r="R63" s="150"/>
      <c r="S63" s="306" t="str">
        <f t="shared" si="12"/>
        <v/>
      </c>
      <c r="T63" s="307"/>
      <c r="U63" s="307"/>
      <c r="V63" s="317" t="str">
        <f t="shared" si="13"/>
        <v/>
      </c>
      <c r="W63" s="317"/>
      <c r="X63" s="317"/>
      <c r="Y63" s="317" t="str">
        <f t="shared" si="14"/>
        <v/>
      </c>
      <c r="Z63" s="317"/>
      <c r="AA63" s="317"/>
      <c r="AB63" s="317" t="str">
        <f t="shared" si="15"/>
        <v/>
      </c>
      <c r="AC63" s="317"/>
      <c r="AD63" s="317"/>
      <c r="AE63" s="317" t="str">
        <f t="shared" si="16"/>
        <v/>
      </c>
      <c r="AF63" s="317"/>
      <c r="AG63" s="317"/>
      <c r="AH63" s="317" t="str">
        <f t="shared" si="17"/>
        <v/>
      </c>
      <c r="AI63" s="317"/>
      <c r="AJ63" s="317"/>
      <c r="AK63" s="317" t="str">
        <f t="shared" si="18"/>
        <v/>
      </c>
      <c r="AL63" s="317"/>
      <c r="AM63" s="317"/>
      <c r="AN63" s="317" t="str">
        <f t="shared" si="19"/>
        <v/>
      </c>
      <c r="AO63" s="317"/>
      <c r="AP63" s="317"/>
      <c r="AQ63" s="317" t="str">
        <f t="shared" si="20"/>
        <v/>
      </c>
      <c r="AR63" s="317"/>
      <c r="AS63" s="317"/>
      <c r="AT63" s="127"/>
      <c r="AU63" s="128"/>
      <c r="AV63" s="131"/>
    </row>
    <row r="64" spans="1:106" ht="10.199999999999999" customHeight="1">
      <c r="A64" s="126"/>
      <c r="B64" s="127"/>
      <c r="C64" s="128"/>
      <c r="D64" s="137"/>
      <c r="E64" s="138"/>
      <c r="F64" s="138"/>
      <c r="G64" s="138"/>
      <c r="H64" s="138"/>
      <c r="I64" s="138"/>
      <c r="J64" s="138"/>
      <c r="K64" s="138"/>
      <c r="L64" s="138"/>
      <c r="M64" s="138"/>
      <c r="N64" s="138"/>
      <c r="O64" s="138"/>
      <c r="P64" s="139" t="s">
        <v>122</v>
      </c>
      <c r="Q64" s="138"/>
      <c r="R64" s="151" t="s">
        <v>77</v>
      </c>
      <c r="S64" s="306" t="str">
        <f t="shared" si="12"/>
        <v/>
      </c>
      <c r="T64" s="307"/>
      <c r="U64" s="308"/>
      <c r="V64" s="306" t="str">
        <f t="shared" ca="1" si="13"/>
        <v/>
      </c>
      <c r="W64" s="307"/>
      <c r="X64" s="308"/>
      <c r="Y64" s="306" t="str">
        <f t="shared" ca="1" si="14"/>
        <v/>
      </c>
      <c r="Z64" s="307"/>
      <c r="AA64" s="308"/>
      <c r="AB64" s="306" t="str">
        <f t="shared" ca="1" si="15"/>
        <v/>
      </c>
      <c r="AC64" s="307"/>
      <c r="AD64" s="308"/>
      <c r="AE64" s="306" t="str">
        <f t="shared" ca="1" si="16"/>
        <v/>
      </c>
      <c r="AF64" s="307"/>
      <c r="AG64" s="308"/>
      <c r="AH64" s="306" t="str">
        <f t="shared" ca="1" si="17"/>
        <v/>
      </c>
      <c r="AI64" s="307"/>
      <c r="AJ64" s="308"/>
      <c r="AK64" s="306" t="str">
        <f t="shared" ca="1" si="18"/>
        <v/>
      </c>
      <c r="AL64" s="307"/>
      <c r="AM64" s="308"/>
      <c r="AN64" s="306" t="str">
        <f t="shared" si="19"/>
        <v/>
      </c>
      <c r="AO64" s="307"/>
      <c r="AP64" s="308"/>
      <c r="AQ64" s="306" t="str">
        <f t="shared" ca="1" si="20"/>
        <v/>
      </c>
      <c r="AR64" s="307"/>
      <c r="AS64" s="308"/>
      <c r="AT64" s="127"/>
      <c r="AU64" s="128"/>
      <c r="AV64" s="131"/>
      <c r="CB64" s="220">
        <f>IF(AND(CB50=0,CB51=0),0,CB59+CB61+CB52)</f>
        <v>0</v>
      </c>
      <c r="CC64" s="220"/>
      <c r="CD64" s="220"/>
      <c r="CE64" s="220">
        <f ca="1">IF(AND(CE50=0,CE51=0),0,CE59+CE61+CE52)</f>
        <v>0</v>
      </c>
      <c r="CF64" s="220"/>
      <c r="CG64" s="220"/>
      <c r="CH64" s="220">
        <f ca="1">IF(AND(CH50=0,CH51=0),0,CH59+CH61+CH52)</f>
        <v>0</v>
      </c>
      <c r="CI64" s="220"/>
      <c r="CJ64" s="220"/>
      <c r="CK64" s="220">
        <f ca="1">IF(AND(CK50=0,CK51=0),0,CK59+CK61+CK52)</f>
        <v>0</v>
      </c>
      <c r="CL64" s="220"/>
      <c r="CM64" s="220"/>
      <c r="CN64" s="220">
        <f ca="1">IF(AND(CN50=0,CN51=0),0,CN59+CN61+CN52)</f>
        <v>0</v>
      </c>
      <c r="CO64" s="220"/>
      <c r="CP64" s="220"/>
      <c r="CQ64" s="220">
        <f ca="1">IF(AND(CQ50=0,CQ51=0),0,CQ59+CQ61+CQ52)</f>
        <v>0</v>
      </c>
      <c r="CR64" s="220"/>
      <c r="CS64" s="220"/>
      <c r="CT64" s="220">
        <f ca="1">IF(OR(CT50=0,CT51=0),0,CT59+CT61+CT52)</f>
        <v>0</v>
      </c>
      <c r="CU64" s="220"/>
      <c r="CV64" s="220"/>
      <c r="CW64" s="220">
        <f>IF(OR(CW50=0,CW51=0),0,CW59+CW61+CW52)</f>
        <v>0</v>
      </c>
      <c r="CX64" s="220"/>
      <c r="CY64" s="220"/>
      <c r="CZ64" s="220">
        <f ca="1">IF(OR(CZ50=0,CZ51=0),0,CZ59+CZ61+CZ52)</f>
        <v>0</v>
      </c>
      <c r="DA64" s="220"/>
      <c r="DB64" s="220"/>
    </row>
    <row r="65" spans="1:106" ht="10.199999999999999" customHeight="1">
      <c r="A65" s="126"/>
      <c r="B65" s="127"/>
      <c r="C65" s="128"/>
      <c r="D65" s="137"/>
      <c r="E65" s="138"/>
      <c r="F65" s="138"/>
      <c r="G65" s="138"/>
      <c r="H65" s="138"/>
      <c r="I65" s="138"/>
      <c r="J65" s="138"/>
      <c r="K65" s="138"/>
      <c r="L65" s="138"/>
      <c r="M65" s="138"/>
      <c r="N65" s="138"/>
      <c r="O65" s="138"/>
      <c r="P65" s="177" t="s">
        <v>179</v>
      </c>
      <c r="Q65" s="138"/>
      <c r="R65" s="151" t="s">
        <v>77</v>
      </c>
      <c r="S65" s="317" t="str">
        <f>IF(CB65=0,"",CB65)</f>
        <v/>
      </c>
      <c r="T65" s="317"/>
      <c r="U65" s="317"/>
      <c r="V65" s="317" t="str">
        <f ca="1">IF(CE65=0,"",CE65)</f>
        <v/>
      </c>
      <c r="W65" s="317"/>
      <c r="X65" s="317"/>
      <c r="Y65" s="317" t="str">
        <f ca="1">IF(CH65=0,"",CH65)</f>
        <v/>
      </c>
      <c r="Z65" s="317"/>
      <c r="AA65" s="317"/>
      <c r="AB65" s="317" t="str">
        <f ca="1">IF(CK65=0,"",CK65)</f>
        <v/>
      </c>
      <c r="AC65" s="317"/>
      <c r="AD65" s="317"/>
      <c r="AE65" s="317" t="str">
        <f ca="1">IF(CN65=0,"",CN65)</f>
        <v/>
      </c>
      <c r="AF65" s="317"/>
      <c r="AG65" s="317"/>
      <c r="AH65" s="317" t="str">
        <f ca="1">IF(CQ65=0,"",CQ65)</f>
        <v/>
      </c>
      <c r="AI65" s="317"/>
      <c r="AJ65" s="317"/>
      <c r="AK65" s="317" t="str">
        <f ca="1">IF(CT65=0,"",CT65)</f>
        <v/>
      </c>
      <c r="AL65" s="317"/>
      <c r="AM65" s="317"/>
      <c r="AN65" s="317" t="str">
        <f>IF(CW65=0,"",CW65)</f>
        <v/>
      </c>
      <c r="AO65" s="317"/>
      <c r="AP65" s="317"/>
      <c r="AQ65" s="317" t="str">
        <f ca="1">IF(CZ65=0,"",CZ65)</f>
        <v/>
      </c>
      <c r="AR65" s="317"/>
      <c r="AS65" s="317"/>
      <c r="AT65" s="127"/>
      <c r="AU65" s="128"/>
      <c r="AV65" s="131"/>
      <c r="CB65" s="220">
        <f>IF(OR(CB50=0,CB51=0),0,IF(S45="(HYD)",2.4*$P$32,IF(S45="(FAT)",S46,IF(S45="(OCC)",1.5*1.33*$P$32,1.5*$P$32))))</f>
        <v>0</v>
      </c>
      <c r="CC65" s="220"/>
      <c r="CD65" s="220"/>
      <c r="CE65" s="220">
        <f ca="1">IF(OR(CE50=0,CE51=0),0,IF(V45="(HYD)",2.4*$P$32,IF(V45="(FAT)",V46,IF(V45="(OCC)",1.5*1.33*$P$32,1.5*$P$32))))</f>
        <v>0</v>
      </c>
      <c r="CF65" s="220"/>
      <c r="CG65" s="220"/>
      <c r="CH65" s="220">
        <f ca="1">IF(OR(CH50=0,CH51=0),0,IF(Y45="(HYD)",2.4*$P$32,IF(Y45="(FAT)",Y46,IF(Y45="(OCC)",1.5*1.33*$P$32,1.5*$P$32))))</f>
        <v>0</v>
      </c>
      <c r="CI65" s="220"/>
      <c r="CJ65" s="220"/>
      <c r="CK65" s="220">
        <f ca="1">IF(OR(CK50=0,CK51=0),0,IF(AB45="(HYD)",2.4*$P$32,IF(AB45="(FAT)",AB46,IF(AB45="(OCC)",1.5*1.33*$P$32,1.5*$P$32))))</f>
        <v>0</v>
      </c>
      <c r="CL65" s="220"/>
      <c r="CM65" s="220"/>
      <c r="CN65" s="220">
        <f ca="1">IF(OR(CN50=0,CN51=0),0,IF(AE45="(HYD)",2.4*$P$32,IF(AE45="(FAT)",AE46,IF(AE45="(OCC)",1.5*1.33*$P$32,1.5*$P$32))))</f>
        <v>0</v>
      </c>
      <c r="CO65" s="220"/>
      <c r="CP65" s="220"/>
      <c r="CQ65" s="220">
        <f ca="1">IF(OR(CQ50=0,CQ51=0),0,IF(AH45="(HYD)",2.4*$P$32,IF(AH45="(FAT)",AH46,IF(AH45="(OCC)",1.5*1.33*$P$32,1.5*$P$32))))</f>
        <v>0</v>
      </c>
      <c r="CR65" s="220"/>
      <c r="CS65" s="220"/>
      <c r="CT65" s="220">
        <f ca="1">IF(OR(CT50=0,CT51=0),0,IF(AK45="(HYD)",2.4*$P$32,IF(AK45="(FAT)",AK46,IF(AK45="(OCC)",1.5*1.33*$P$32,1.5*$P$32))))</f>
        <v>0</v>
      </c>
      <c r="CU65" s="220"/>
      <c r="CV65" s="220"/>
      <c r="CW65" s="220">
        <f>IF(OR(CW50=0,CW51=0),0,IF(AN45="(HYD)",2.4*$P$32,IF(AN45="(FAT)",AN46,IF(AN45="(OCC)",1.5*1.33*$P$32,1.5*$P$32))))</f>
        <v>0</v>
      </c>
      <c r="CX65" s="220"/>
      <c r="CY65" s="220"/>
      <c r="CZ65" s="220">
        <f ca="1">IF(OR(CZ50=0,CZ51=0),0,IF(AQ45="(HYD)",2.4*$P$32,IF(AQ45="(FAT)",AQ46,IF(AQ45="(OCC)",1.5*1.33*$P$32,1.5*$P$32))))</f>
        <v>0</v>
      </c>
      <c r="DA65" s="220"/>
      <c r="DB65" s="220"/>
    </row>
    <row r="66" spans="1:106" ht="10.199999999999999" customHeight="1">
      <c r="A66" s="126"/>
      <c r="B66" s="127"/>
      <c r="C66" s="128"/>
      <c r="D66" s="137"/>
      <c r="E66" s="138"/>
      <c r="F66" s="138"/>
      <c r="G66" s="138"/>
      <c r="H66" s="138"/>
      <c r="I66" s="138"/>
      <c r="J66" s="138"/>
      <c r="K66" s="138"/>
      <c r="L66" s="138"/>
      <c r="M66" s="138"/>
      <c r="N66" s="138"/>
      <c r="O66" s="138"/>
      <c r="P66" s="139" t="s">
        <v>123</v>
      </c>
      <c r="Q66" s="138"/>
      <c r="R66" s="151" t="s">
        <v>77</v>
      </c>
      <c r="S66" s="313" t="str">
        <f>IF(CB66=0,"",CB66)</f>
        <v/>
      </c>
      <c r="T66" s="314"/>
      <c r="U66" s="315"/>
      <c r="V66" s="313" t="str">
        <f ca="1">IF(CE66=0,"",CE66)</f>
        <v/>
      </c>
      <c r="W66" s="314"/>
      <c r="X66" s="315"/>
      <c r="Y66" s="313" t="str">
        <f ca="1">IF(CH66=0,"",CH66)</f>
        <v/>
      </c>
      <c r="Z66" s="314"/>
      <c r="AA66" s="315"/>
      <c r="AB66" s="313" t="str">
        <f ca="1">IF(CK66=0,"",CK66)</f>
        <v/>
      </c>
      <c r="AC66" s="314"/>
      <c r="AD66" s="315"/>
      <c r="AE66" s="313" t="str">
        <f ca="1">IF(CN66=0,"",CN66)</f>
        <v/>
      </c>
      <c r="AF66" s="314"/>
      <c r="AG66" s="315"/>
      <c r="AH66" s="313" t="str">
        <f ca="1">IF(CQ66=0,"",CQ66)</f>
        <v/>
      </c>
      <c r="AI66" s="314"/>
      <c r="AJ66" s="315"/>
      <c r="AK66" s="313" t="str">
        <f ca="1">IF(CT66=0,"",CT66)</f>
        <v/>
      </c>
      <c r="AL66" s="314"/>
      <c r="AM66" s="315"/>
      <c r="AN66" s="313" t="str">
        <f>IF(CW66=0,"",CW66)</f>
        <v/>
      </c>
      <c r="AO66" s="314"/>
      <c r="AP66" s="315"/>
      <c r="AQ66" s="313" t="str">
        <f ca="1">IF(CZ66=0,"",CZ66)</f>
        <v/>
      </c>
      <c r="AR66" s="314"/>
      <c r="AS66" s="315"/>
      <c r="AT66" s="127"/>
      <c r="AU66" s="128"/>
      <c r="AV66" s="131"/>
      <c r="CB66" s="220">
        <f>IF(AND(CB50=0,CB51=0),0,CB60+CB61+CB53)</f>
        <v>0</v>
      </c>
      <c r="CC66" s="220"/>
      <c r="CD66" s="220"/>
      <c r="CE66" s="220">
        <f ca="1">IF(AND(CE50=0,CE51=0),0,CE60+CE61+CE53)</f>
        <v>0</v>
      </c>
      <c r="CF66" s="220"/>
      <c r="CG66" s="220"/>
      <c r="CH66" s="220">
        <f ca="1">IF(AND(CH50=0,CH51=0),0,CH60+CH61+CH53)</f>
        <v>0</v>
      </c>
      <c r="CI66" s="220"/>
      <c r="CJ66" s="220"/>
      <c r="CK66" s="220">
        <f ca="1">IF(AND(CK50=0,CK51=0),0,CK60+CK61+CK53)</f>
        <v>0</v>
      </c>
      <c r="CL66" s="220"/>
      <c r="CM66" s="220"/>
      <c r="CN66" s="220">
        <f ca="1">IF(AND(CN50=0,CN51=0),0,CN60+CN61+CN53)</f>
        <v>0</v>
      </c>
      <c r="CO66" s="220"/>
      <c r="CP66" s="220"/>
      <c r="CQ66" s="220">
        <f ca="1">IF(AND(CQ50=0,CQ51=0),0,CQ60+CQ61+CQ53)</f>
        <v>0</v>
      </c>
      <c r="CR66" s="220"/>
      <c r="CS66" s="220"/>
      <c r="CT66" s="220">
        <f ca="1">IF(OR(CT50=0,CT51=0),0,CT60+CT61+CT53)</f>
        <v>0</v>
      </c>
      <c r="CU66" s="220"/>
      <c r="CV66" s="220"/>
      <c r="CW66" s="220">
        <f>IF(OR(CW50=0,CW51=0),0,CW60+CW61+CW53)</f>
        <v>0</v>
      </c>
      <c r="CX66" s="220"/>
      <c r="CY66" s="220"/>
      <c r="CZ66" s="220">
        <f ca="1">IF(OR(CZ50=0,CZ51=0),0,CZ60+CZ61+CZ53)</f>
        <v>0</v>
      </c>
      <c r="DA66" s="220"/>
      <c r="DB66" s="220"/>
    </row>
    <row r="67" spans="1:106" ht="10.199999999999999" customHeight="1">
      <c r="A67" s="126"/>
      <c r="B67" s="127"/>
      <c r="C67" s="128"/>
      <c r="D67" s="137"/>
      <c r="E67" s="138"/>
      <c r="F67" s="138"/>
      <c r="G67" s="138"/>
      <c r="H67" s="138"/>
      <c r="I67" s="138"/>
      <c r="J67" s="138"/>
      <c r="K67" s="138"/>
      <c r="L67" s="138"/>
      <c r="M67" s="138"/>
      <c r="N67" s="138"/>
      <c r="O67" s="138"/>
      <c r="P67" s="177" t="s">
        <v>179</v>
      </c>
      <c r="Q67" s="138"/>
      <c r="R67" s="151" t="s">
        <v>77</v>
      </c>
      <c r="S67" s="317" t="str">
        <f>IF(CB67=0,"",CB67)</f>
        <v/>
      </c>
      <c r="T67" s="317"/>
      <c r="U67" s="317"/>
      <c r="V67" s="317" t="str">
        <f ca="1">IF(CE67=0,"",CE67)</f>
        <v/>
      </c>
      <c r="W67" s="317"/>
      <c r="X67" s="317"/>
      <c r="Y67" s="317" t="str">
        <f ca="1">IF(CH67=0,"",CH67)</f>
        <v/>
      </c>
      <c r="Z67" s="317"/>
      <c r="AA67" s="317"/>
      <c r="AB67" s="317" t="str">
        <f ca="1">IF(CK67=0,"",CK67)</f>
        <v/>
      </c>
      <c r="AC67" s="317"/>
      <c r="AD67" s="317"/>
      <c r="AE67" s="317" t="str">
        <f ca="1">IF(CN67=0,"",CN67)</f>
        <v/>
      </c>
      <c r="AF67" s="317"/>
      <c r="AG67" s="317"/>
      <c r="AH67" s="317" t="str">
        <f ca="1">IF(CQ67=0,"",CQ67)</f>
        <v/>
      </c>
      <c r="AI67" s="317"/>
      <c r="AJ67" s="317"/>
      <c r="AK67" s="317" t="str">
        <f ca="1">IF(CT67=0,"",CT67)</f>
        <v/>
      </c>
      <c r="AL67" s="317"/>
      <c r="AM67" s="317"/>
      <c r="AN67" s="317" t="str">
        <f>IF(CW67=0,"",CW67)</f>
        <v/>
      </c>
      <c r="AO67" s="317"/>
      <c r="AP67" s="317"/>
      <c r="AQ67" s="317" t="str">
        <f ca="1">IF(CZ67=0,"",CZ67)</f>
        <v/>
      </c>
      <c r="AR67" s="317"/>
      <c r="AS67" s="317"/>
      <c r="AT67" s="127"/>
      <c r="AU67" s="128"/>
      <c r="AV67" s="131"/>
      <c r="CB67" s="220">
        <f>IF(OR(CB50=0,CB51=0),0,IF(S45="(HYD)",2.4*$P$32,IF(S45="(FAT)",S46,IF(S45="(OCC)",1.33*1.5*$P$32,1.5*$P$32))))</f>
        <v>0</v>
      </c>
      <c r="CC67" s="220"/>
      <c r="CD67" s="220"/>
      <c r="CE67" s="220">
        <f ca="1">IF(OR(CE50=0,CE51=0),0,IF(V45="(HYD)",2.4*$P$32,IF(V45="(FAT)",V46,IF(V45="(OCC)",1.33*1.5*$P$32,1.5*$P$32))))</f>
        <v>0</v>
      </c>
      <c r="CF67" s="220"/>
      <c r="CG67" s="220"/>
      <c r="CH67" s="220">
        <f ca="1">IF(OR(CH50=0,CH51=0),0,IF(Y45="(HYD)",2.4*$P$32,IF(Y45="(FAT)",Y46,IF(Y45="(OCC)",1.33*1.5*$P$32,1.5*$P$32))))</f>
        <v>0</v>
      </c>
      <c r="CI67" s="220"/>
      <c r="CJ67" s="220"/>
      <c r="CK67" s="220">
        <f ca="1">IF(OR(CK50=0,CK51=0),0,IF(AB45="(HYD)",2.4*$P$32,IF(AB45="(FAT)",AB46,IF(AB45="(OCC)",1.33*1.5*$P$32,1.5*$P$32))))</f>
        <v>0</v>
      </c>
      <c r="CL67" s="220"/>
      <c r="CM67" s="220"/>
      <c r="CN67" s="220">
        <f ca="1">IF(OR(CN50=0,CN51=0),0,IF(AE45="(HYD)",2.4*$P$32,IF(AE45="(FAT)",AE46,IF(AE45="(OCC)",1.33*1.5*$P$32,1.5*$P$32))))</f>
        <v>0</v>
      </c>
      <c r="CO67" s="220"/>
      <c r="CP67" s="220"/>
      <c r="CQ67" s="220">
        <f ca="1">IF(OR(CQ50=0,CQ51=0),0,IF(AH45="(HYD)",2.4*$P$32,IF(AH45="(FAT)",AH46,IF(AH45="(OCC)",1.33*1.5*$P$32,1.5*$P$32))))</f>
        <v>0</v>
      </c>
      <c r="CR67" s="220"/>
      <c r="CS67" s="220"/>
      <c r="CT67" s="220">
        <f ca="1">IF(OR(CT50=0,CT51=0),0,IF(AK45="(HYD)",2.4*$P$32,IF(AK45="(FAT)",AK46,IF(AK45="(OCC)",1.33*1.5*$P$32,1.5*$P$32))))</f>
        <v>0</v>
      </c>
      <c r="CU67" s="220"/>
      <c r="CV67" s="220"/>
      <c r="CW67" s="220">
        <f>IF(OR(CW50=0,CW51=0),0,IF(AN45="(HYD)",2.4*$P$32,IF(AN45="(FAT)",AN46,IF(AN45="(OCC)",1.33*1.5*$P$32,1.5*$P$32))))</f>
        <v>0</v>
      </c>
      <c r="CX67" s="220"/>
      <c r="CY67" s="220"/>
      <c r="CZ67" s="220">
        <f ca="1">IF(OR(CZ50=0,CZ51=0),0,IF(AQ45="(HYD)",2.4*$P$32,IF(AQ45="(FAT)",AQ46,IF(AQ45="(OCC)",1.33*1.5*$P$32,1.5*$P$32))))</f>
        <v>0</v>
      </c>
      <c r="DA67" s="220"/>
      <c r="DB67" s="220"/>
    </row>
    <row r="68" spans="1:106" ht="10.199999999999999" customHeight="1">
      <c r="A68" s="126"/>
      <c r="B68" s="127"/>
      <c r="C68" s="128"/>
      <c r="D68" s="137"/>
      <c r="E68" s="138"/>
      <c r="F68" s="138"/>
      <c r="G68" s="138"/>
      <c r="H68" s="138"/>
      <c r="I68" s="138"/>
      <c r="J68" s="138"/>
      <c r="K68" s="138"/>
      <c r="L68" s="138"/>
      <c r="M68" s="138"/>
      <c r="N68" s="138"/>
      <c r="O68" s="138"/>
      <c r="P68" s="139" t="s">
        <v>99</v>
      </c>
      <c r="Q68" s="138"/>
      <c r="R68" s="151" t="s">
        <v>77</v>
      </c>
      <c r="S68" s="313" t="str">
        <f>IF(CB68=0,"",CB68)</f>
        <v/>
      </c>
      <c r="T68" s="314"/>
      <c r="U68" s="315"/>
      <c r="V68" s="313" t="str">
        <f ca="1">IF(CE68=0,"",CE68)</f>
        <v/>
      </c>
      <c r="W68" s="314"/>
      <c r="X68" s="315"/>
      <c r="Y68" s="313" t="str">
        <f ca="1">IF(CH68=0,"",CH68)</f>
        <v/>
      </c>
      <c r="Z68" s="314"/>
      <c r="AA68" s="315"/>
      <c r="AB68" s="313" t="str">
        <f ca="1">IF(CK68=0,"",CK68)</f>
        <v/>
      </c>
      <c r="AC68" s="314"/>
      <c r="AD68" s="315"/>
      <c r="AE68" s="313" t="str">
        <f ca="1">IF(CN68=0,"",CN68)</f>
        <v/>
      </c>
      <c r="AF68" s="314"/>
      <c r="AG68" s="315"/>
      <c r="AH68" s="313" t="str">
        <f ca="1">IF(CQ68=0,"",CQ68)</f>
        <v/>
      </c>
      <c r="AI68" s="314"/>
      <c r="AJ68" s="315"/>
      <c r="AK68" s="313" t="str">
        <f ca="1">IF(CT68=0,"",CT68)</f>
        <v/>
      </c>
      <c r="AL68" s="314"/>
      <c r="AM68" s="315"/>
      <c r="AN68" s="313" t="str">
        <f>IF(CW68=0,"",CW68)</f>
        <v/>
      </c>
      <c r="AO68" s="314"/>
      <c r="AP68" s="315"/>
      <c r="AQ68" s="313" t="str">
        <f ca="1">IF(CZ68=0,"",CZ68)</f>
        <v/>
      </c>
      <c r="AR68" s="314"/>
      <c r="AS68" s="315"/>
      <c r="AT68" s="127"/>
      <c r="AU68" s="128"/>
      <c r="AV68" s="131"/>
      <c r="CB68" s="220">
        <f>IF(AND(CB50=0,CB51=0),0,CB62)</f>
        <v>0</v>
      </c>
      <c r="CC68" s="220"/>
      <c r="CD68" s="220"/>
      <c r="CE68" s="220">
        <f ca="1">IF(AND(CE50=0,CE51=0),0,CE62)</f>
        <v>0</v>
      </c>
      <c r="CF68" s="220"/>
      <c r="CG68" s="220"/>
      <c r="CH68" s="220">
        <f ca="1">IF(AND(CH50=0,CH51=0),0,CH62)</f>
        <v>0</v>
      </c>
      <c r="CI68" s="220"/>
      <c r="CJ68" s="220"/>
      <c r="CK68" s="220">
        <f ca="1">IF(AND(CK50=0,CK51=0),0,CK62)</f>
        <v>0</v>
      </c>
      <c r="CL68" s="220"/>
      <c r="CM68" s="220"/>
      <c r="CN68" s="220">
        <f ca="1">IF(AND(CN50=0,CN51=0),0,CN62)</f>
        <v>0</v>
      </c>
      <c r="CO68" s="220"/>
      <c r="CP68" s="220"/>
      <c r="CQ68" s="220">
        <f ca="1">IF(AND(CQ50=0,CQ51=0),0,CQ62)</f>
        <v>0</v>
      </c>
      <c r="CR68" s="220"/>
      <c r="CS68" s="220"/>
      <c r="CT68" s="220">
        <f ca="1">IF(OR(CT50="",CT51=""),0,CT62)</f>
        <v>0</v>
      </c>
      <c r="CU68" s="220"/>
      <c r="CV68" s="220"/>
      <c r="CW68" s="220">
        <f>IF(OR(CW50="",CW51=""),0,CW62)</f>
        <v>0</v>
      </c>
      <c r="CX68" s="220"/>
      <c r="CY68" s="220"/>
      <c r="CZ68" s="220">
        <f ca="1">IF(OR(CZ50="",CZ51=""),0,CZ62)</f>
        <v>0</v>
      </c>
      <c r="DA68" s="220"/>
      <c r="DB68" s="220"/>
    </row>
    <row r="69" spans="1:106" ht="10.199999999999999" customHeight="1">
      <c r="A69" s="126"/>
      <c r="B69" s="127"/>
      <c r="C69" s="128"/>
      <c r="D69" s="137"/>
      <c r="E69" s="138"/>
      <c r="F69" s="138"/>
      <c r="G69" s="138"/>
      <c r="H69" s="138"/>
      <c r="I69" s="138"/>
      <c r="J69" s="138"/>
      <c r="K69" s="138"/>
      <c r="L69" s="138"/>
      <c r="M69" s="138"/>
      <c r="N69" s="138"/>
      <c r="O69" s="138"/>
      <c r="P69" s="177" t="s">
        <v>178</v>
      </c>
      <c r="Q69" s="138"/>
      <c r="R69" s="151" t="s">
        <v>77</v>
      </c>
      <c r="S69" s="317" t="str">
        <f t="shared" si="12"/>
        <v/>
      </c>
      <c r="T69" s="317"/>
      <c r="U69" s="317"/>
      <c r="V69" s="317" t="str">
        <f ca="1">IF(CE69=0,"",CE69)</f>
        <v/>
      </c>
      <c r="W69" s="317"/>
      <c r="X69" s="317"/>
      <c r="Y69" s="317" t="str">
        <f ca="1">IF(CH69=0,"",CH69)</f>
        <v/>
      </c>
      <c r="Z69" s="317"/>
      <c r="AA69" s="317"/>
      <c r="AB69" s="317" t="str">
        <f ca="1">IF(CK69=0,"",CK69)</f>
        <v/>
      </c>
      <c r="AC69" s="317"/>
      <c r="AD69" s="317"/>
      <c r="AE69" s="317" t="str">
        <f ca="1">IF(CN69=0,"",CN69)</f>
        <v/>
      </c>
      <c r="AF69" s="317"/>
      <c r="AG69" s="317"/>
      <c r="AH69" s="306" t="str">
        <f ca="1">IF(CQ69=0,"",CQ69)</f>
        <v/>
      </c>
      <c r="AI69" s="307"/>
      <c r="AJ69" s="308"/>
      <c r="AK69" s="317" t="str">
        <f ca="1">IF(CT69=0,"",CT69)</f>
        <v/>
      </c>
      <c r="AL69" s="317"/>
      <c r="AM69" s="317"/>
      <c r="AN69" s="317" t="str">
        <f>IF(CW69=0,"",CW69)</f>
        <v/>
      </c>
      <c r="AO69" s="317"/>
      <c r="AP69" s="317"/>
      <c r="AQ69" s="306" t="str">
        <f ca="1">IF(CZ69=0,"",CZ69)</f>
        <v/>
      </c>
      <c r="AR69" s="307"/>
      <c r="AS69" s="308"/>
      <c r="AT69" s="127"/>
      <c r="AU69" s="128"/>
      <c r="AV69" s="131"/>
      <c r="CB69" s="220">
        <f>IF(AND(CB50=0,CB51=0),0,S46)</f>
        <v>0</v>
      </c>
      <c r="CC69" s="220"/>
      <c r="CD69" s="220"/>
      <c r="CE69" s="220">
        <f ca="1">IF(AND(CE50=0,CE51=0),0,V46)</f>
        <v>0</v>
      </c>
      <c r="CF69" s="220"/>
      <c r="CG69" s="220"/>
      <c r="CH69" s="220">
        <f ca="1">IF(AND(CH50=0,CH51=0),0,Y46)</f>
        <v>0</v>
      </c>
      <c r="CI69" s="220"/>
      <c r="CJ69" s="220"/>
      <c r="CK69" s="220">
        <f ca="1">IF(AND(CK50=0,CK51=0),0,AB46)</f>
        <v>0</v>
      </c>
      <c r="CL69" s="220"/>
      <c r="CM69" s="220"/>
      <c r="CN69" s="220">
        <f ca="1">IF(AND(CN50=0,CN51=0),0,AE46)</f>
        <v>0</v>
      </c>
      <c r="CO69" s="220"/>
      <c r="CP69" s="220"/>
      <c r="CQ69" s="220">
        <f ca="1">IF(AND(CQ50=0,CQ51=0),0,AH46)</f>
        <v>0</v>
      </c>
      <c r="CR69" s="220"/>
      <c r="CS69" s="220"/>
      <c r="CT69" s="220">
        <f ca="1">IF(OR(CT50=0,CT51=0),0,AK46)</f>
        <v>0</v>
      </c>
      <c r="CU69" s="220"/>
      <c r="CV69" s="220"/>
      <c r="CW69" s="220">
        <f>IF(OR(CW50=0,CW51=0),0,AN46)</f>
        <v>0</v>
      </c>
      <c r="CX69" s="220"/>
      <c r="CY69" s="220"/>
      <c r="CZ69" s="220">
        <f ca="1">IF(OR(CZ50=0,CZ51=0),0,AQ46)</f>
        <v>0</v>
      </c>
      <c r="DA69" s="220"/>
      <c r="DB69" s="220"/>
    </row>
    <row r="70" spans="1:106" ht="10.199999999999999" customHeight="1">
      <c r="A70" s="126"/>
      <c r="B70" s="127"/>
      <c r="C70" s="128"/>
      <c r="D70" s="153"/>
      <c r="E70" s="154"/>
      <c r="F70" s="154"/>
      <c r="G70" s="154"/>
      <c r="H70" s="154"/>
      <c r="I70" s="154"/>
      <c r="J70" s="154"/>
      <c r="K70" s="154"/>
      <c r="L70" s="154"/>
      <c r="M70" s="154"/>
      <c r="N70" s="154"/>
      <c r="O70" s="154"/>
      <c r="P70" s="155"/>
      <c r="Q70" s="154"/>
      <c r="R70" s="156"/>
      <c r="S70" s="292" t="str">
        <f>IF(AND(S64="",S65="",S66="",S67="",S68="",S69=""),"",IF(AND(S65&gt;S64,S67&gt;S66,S69&gt;S68),"PASSED","FAILED"))</f>
        <v/>
      </c>
      <c r="T70" s="293"/>
      <c r="U70" s="294"/>
      <c r="V70" s="292" t="str">
        <f ca="1">IF(AND(V64="",V65="",V66="",V67="",V68="",V69=""),"",IF(AND(V65&gt;V64,V67&gt;V66,V69&gt;V68),"PASSED","FAILED"))</f>
        <v/>
      </c>
      <c r="W70" s="293"/>
      <c r="X70" s="294"/>
      <c r="Y70" s="292" t="str">
        <f ca="1">IF(AND(Y64="",Y65="",Y66="",Y67="",Y68="",Y69=""),"",IF(AND(Y65&gt;Y64,Y67&gt;Y66,Y69&gt;Y68),"PASSED","FAILED"))</f>
        <v/>
      </c>
      <c r="Z70" s="293"/>
      <c r="AA70" s="294"/>
      <c r="AB70" s="292" t="str">
        <f ca="1">IF(AND(AB64="",AB65="",AB66="",AB67="",AB68="",AB69=""),"",IF(AND(AB65&gt;AB64,AB67&gt;AB66,AB69&gt;AB68),"PASSED","FAILED"))</f>
        <v/>
      </c>
      <c r="AC70" s="293"/>
      <c r="AD70" s="294"/>
      <c r="AE70" s="292" t="str">
        <f ca="1">IF(AND(AE64="",AE65="",AE66="",AE67="",AE68="",AE69=""),"",IF(AND(AE65&gt;AE64,AE67&gt;AE66,AE69&gt;AE68),"PASSED","FAILED"))</f>
        <v/>
      </c>
      <c r="AF70" s="293"/>
      <c r="AG70" s="294"/>
      <c r="AH70" s="310" t="str">
        <f ca="1">IF(AND(AH64="",AH65="",AH66="",AH67="",AH68="",AH69=""),"",IF(AND(AH65&gt;AH64,AH67&gt;AH66,AH69&gt;AH68),"PASSED","FAILED"))</f>
        <v/>
      </c>
      <c r="AI70" s="311"/>
      <c r="AJ70" s="312"/>
      <c r="AK70" s="292" t="str">
        <f ca="1">IF(AND(AK64="",AK65="",AK66="",AK67="",AK68="",AK69=""),"",IF(AND(AK65&gt;AK64,AK67&gt;AK66,AK69&gt;AK68),"PASSED","FAILED"))</f>
        <v/>
      </c>
      <c r="AL70" s="293"/>
      <c r="AM70" s="294"/>
      <c r="AN70" s="292" t="str">
        <f>IF(AND(AN64="",AN65="",AN66="",AN67="",AN68="",AN69=""),"",IF(AND(AN65&gt;AN64,AN67&gt;AN66,AN69&gt;AN68),"PASSED","FAILED"))</f>
        <v/>
      </c>
      <c r="AO70" s="293"/>
      <c r="AP70" s="294"/>
      <c r="AQ70" s="310" t="str">
        <f ca="1">IF(AND(AQ64="",AQ65="",AQ66="",AQ67="",AQ68="",AQ69=""),"",IF(AND(AQ65&gt;AQ64,AQ67&gt;AQ66,AQ69&gt;AQ68),"PASSED","FAILED"))</f>
        <v/>
      </c>
      <c r="AR70" s="311"/>
      <c r="AS70" s="312"/>
      <c r="AT70" s="127"/>
      <c r="AU70" s="128"/>
      <c r="AV70" s="131"/>
    </row>
    <row r="71" spans="1:106" ht="10.199999999999999" customHeight="1" thickBot="1">
      <c r="A71" s="157"/>
      <c r="B71" s="158"/>
      <c r="C71" s="159"/>
      <c r="D71" s="160"/>
      <c r="E71" s="160"/>
      <c r="F71" s="160"/>
      <c r="G71" s="160"/>
      <c r="H71" s="160"/>
      <c r="I71" s="160"/>
      <c r="J71" s="160"/>
      <c r="K71" s="160"/>
      <c r="L71" s="160"/>
      <c r="M71" s="160"/>
      <c r="N71" s="160"/>
      <c r="O71" s="160"/>
      <c r="P71" s="160"/>
      <c r="Q71" s="160"/>
      <c r="R71" s="160"/>
      <c r="S71" s="161"/>
      <c r="T71" s="160"/>
      <c r="U71" s="160"/>
      <c r="V71" s="160"/>
      <c r="W71" s="160"/>
      <c r="X71" s="160"/>
      <c r="Y71" s="160"/>
      <c r="Z71" s="160"/>
      <c r="AA71" s="160"/>
      <c r="AB71" s="160"/>
      <c r="AC71" s="160"/>
      <c r="AD71" s="160"/>
      <c r="AE71" s="160"/>
      <c r="AF71" s="160"/>
      <c r="AG71" s="160"/>
      <c r="AH71" s="160"/>
      <c r="AI71" s="160"/>
      <c r="AJ71" s="160"/>
      <c r="AK71" s="160"/>
      <c r="AL71" s="160"/>
      <c r="AM71" s="160"/>
      <c r="AN71" s="160"/>
      <c r="AO71" s="160"/>
      <c r="AP71" s="160"/>
      <c r="AQ71" s="160"/>
      <c r="AR71" s="160"/>
      <c r="AS71" s="160"/>
      <c r="AT71" s="158"/>
      <c r="AU71" s="159"/>
      <c r="AV71" s="162"/>
    </row>
    <row r="72" spans="1:106" ht="10.199999999999999" customHeight="1"/>
    <row r="73" spans="1:106" ht="10.199999999999999" customHeight="1"/>
    <row r="74" spans="1:106" ht="0" hidden="1" customHeight="1"/>
    <row r="75" spans="1:106" ht="0" hidden="1" customHeight="1"/>
    <row r="76" spans="1:106" ht="0" hidden="1" customHeight="1"/>
    <row r="77" spans="1:106" ht="0" hidden="1" customHeight="1"/>
  </sheetData>
  <sheetProtection password="83B1" sheet="1" objects="1" scenarios="1" selectLockedCells="1"/>
  <mergeCells count="812">
    <mergeCell ref="AN52:AP52"/>
    <mergeCell ref="AN53:AP53"/>
    <mergeCell ref="AQ52:AS52"/>
    <mergeCell ref="AQ53:AS53"/>
    <mergeCell ref="S31:U31"/>
    <mergeCell ref="S52:U52"/>
    <mergeCell ref="S53:U53"/>
    <mergeCell ref="V52:X52"/>
    <mergeCell ref="V53:X53"/>
    <mergeCell ref="Y52:AA52"/>
    <mergeCell ref="Y53:AA53"/>
    <mergeCell ref="AB52:AD52"/>
    <mergeCell ref="AB53:AD53"/>
    <mergeCell ref="AE52:AG52"/>
    <mergeCell ref="AE53:AG53"/>
    <mergeCell ref="AH46:AJ46"/>
    <mergeCell ref="AK46:AM46"/>
    <mergeCell ref="S50:U50"/>
    <mergeCell ref="S51:U51"/>
    <mergeCell ref="Y51:AA51"/>
    <mergeCell ref="CE49:CG49"/>
    <mergeCell ref="CH49:CJ49"/>
    <mergeCell ref="CK49:CM49"/>
    <mergeCell ref="CB51:CD51"/>
    <mergeCell ref="CB52:CD52"/>
    <mergeCell ref="CB53:CD53"/>
    <mergeCell ref="BL55:BN55"/>
    <mergeCell ref="BO55:BQ55"/>
    <mergeCell ref="BR55:BT55"/>
    <mergeCell ref="CB45:CD45"/>
    <mergeCell ref="CB44:CD44"/>
    <mergeCell ref="CE44:CG44"/>
    <mergeCell ref="BE53:BF53"/>
    <mergeCell ref="BG53:BH53"/>
    <mergeCell ref="BI53:BK53"/>
    <mergeCell ref="BL53:BN53"/>
    <mergeCell ref="BO53:BQ53"/>
    <mergeCell ref="BR53:BT53"/>
    <mergeCell ref="BE49:BF49"/>
    <mergeCell ref="BG49:BH49"/>
    <mergeCell ref="BI49:BK49"/>
    <mergeCell ref="BL49:BN49"/>
    <mergeCell ref="BO49:BQ49"/>
    <mergeCell ref="BR49:BT49"/>
    <mergeCell ref="BE50:BF50"/>
    <mergeCell ref="BG50:BH50"/>
    <mergeCell ref="BI50:BK50"/>
    <mergeCell ref="BL50:BN50"/>
    <mergeCell ref="BO50:BQ50"/>
    <mergeCell ref="BR50:BT50"/>
    <mergeCell ref="BE47:BF47"/>
    <mergeCell ref="BG47:BH47"/>
    <mergeCell ref="BI47:BK47"/>
    <mergeCell ref="BE54:BF54"/>
    <mergeCell ref="BG54:BH54"/>
    <mergeCell ref="BI54:BK54"/>
    <mergeCell ref="BL54:BN54"/>
    <mergeCell ref="BO54:BQ54"/>
    <mergeCell ref="BR54:BT54"/>
    <mergeCell ref="BE51:BF51"/>
    <mergeCell ref="BG51:BH51"/>
    <mergeCell ref="BI51:BK51"/>
    <mergeCell ref="BL51:BN51"/>
    <mergeCell ref="BO51:BQ51"/>
    <mergeCell ref="BR51:BT51"/>
    <mergeCell ref="BE52:BF52"/>
    <mergeCell ref="BG52:BH52"/>
    <mergeCell ref="BI52:BK52"/>
    <mergeCell ref="BL52:BN52"/>
    <mergeCell ref="BO52:BQ52"/>
    <mergeCell ref="BR52:BT52"/>
    <mergeCell ref="BL47:BN47"/>
    <mergeCell ref="BO47:BQ47"/>
    <mergeCell ref="BR47:BT47"/>
    <mergeCell ref="BE48:BF48"/>
    <mergeCell ref="BG48:BH48"/>
    <mergeCell ref="BI48:BK48"/>
    <mergeCell ref="BL48:BN48"/>
    <mergeCell ref="BO48:BQ48"/>
    <mergeCell ref="BR48:BT48"/>
    <mergeCell ref="BI44:BK44"/>
    <mergeCell ref="BL44:BN44"/>
    <mergeCell ref="BO44:BQ44"/>
    <mergeCell ref="BR44:BT44"/>
    <mergeCell ref="BE45:BF45"/>
    <mergeCell ref="BG45:BH45"/>
    <mergeCell ref="BI45:BK45"/>
    <mergeCell ref="BL45:BN45"/>
    <mergeCell ref="BO45:BQ45"/>
    <mergeCell ref="BR45:BT45"/>
    <mergeCell ref="BE41:BF41"/>
    <mergeCell ref="BG41:BH41"/>
    <mergeCell ref="BI41:BK41"/>
    <mergeCell ref="BL41:BN41"/>
    <mergeCell ref="BO41:BQ41"/>
    <mergeCell ref="BR41:BT41"/>
    <mergeCell ref="BE42:BF42"/>
    <mergeCell ref="BG42:BH42"/>
    <mergeCell ref="BI42:BK42"/>
    <mergeCell ref="BL42:BN42"/>
    <mergeCell ref="BO42:BQ42"/>
    <mergeCell ref="BR42:BT42"/>
    <mergeCell ref="BE39:BF39"/>
    <mergeCell ref="BG39:BH39"/>
    <mergeCell ref="BI39:BK39"/>
    <mergeCell ref="BL39:BN39"/>
    <mergeCell ref="BO39:BQ39"/>
    <mergeCell ref="BR39:BT39"/>
    <mergeCell ref="BE40:BF40"/>
    <mergeCell ref="BG40:BH40"/>
    <mergeCell ref="BI40:BK40"/>
    <mergeCell ref="BL40:BN40"/>
    <mergeCell ref="BO40:BQ40"/>
    <mergeCell ref="BR40:BT40"/>
    <mergeCell ref="BE37:BF37"/>
    <mergeCell ref="BG37:BH37"/>
    <mergeCell ref="BI37:BK37"/>
    <mergeCell ref="BL37:BN37"/>
    <mergeCell ref="BO37:BQ37"/>
    <mergeCell ref="BR37:BT37"/>
    <mergeCell ref="BE38:BF38"/>
    <mergeCell ref="BG38:BH38"/>
    <mergeCell ref="BI38:BK38"/>
    <mergeCell ref="BL38:BN38"/>
    <mergeCell ref="BO38:BQ38"/>
    <mergeCell ref="BR38:BT38"/>
    <mergeCell ref="BE35:BF35"/>
    <mergeCell ref="BG35:BH35"/>
    <mergeCell ref="BI35:BK35"/>
    <mergeCell ref="BL35:BN35"/>
    <mergeCell ref="BO35:BQ35"/>
    <mergeCell ref="BR35:BT35"/>
    <mergeCell ref="BE36:BF36"/>
    <mergeCell ref="BG36:BH36"/>
    <mergeCell ref="BI36:BK36"/>
    <mergeCell ref="BL36:BN36"/>
    <mergeCell ref="BO36:BQ36"/>
    <mergeCell ref="BR36:BT36"/>
    <mergeCell ref="BI33:BK33"/>
    <mergeCell ref="BL33:BN33"/>
    <mergeCell ref="BO33:BQ33"/>
    <mergeCell ref="BR33:BT33"/>
    <mergeCell ref="BE34:BF34"/>
    <mergeCell ref="BG34:BH34"/>
    <mergeCell ref="BI34:BK34"/>
    <mergeCell ref="BL34:BN34"/>
    <mergeCell ref="BO34:BQ34"/>
    <mergeCell ref="BR34:BT34"/>
    <mergeCell ref="CZ49:DB49"/>
    <mergeCell ref="BE29:BF29"/>
    <mergeCell ref="BG29:BH29"/>
    <mergeCell ref="BI29:BK29"/>
    <mergeCell ref="BL29:BN29"/>
    <mergeCell ref="BO29:BQ29"/>
    <mergeCell ref="BR29:BT29"/>
    <mergeCell ref="BE30:BF30"/>
    <mergeCell ref="BG30:BH30"/>
    <mergeCell ref="BI30:BK30"/>
    <mergeCell ref="BL30:BN30"/>
    <mergeCell ref="BO30:BQ30"/>
    <mergeCell ref="BR30:BT30"/>
    <mergeCell ref="BE31:BF31"/>
    <mergeCell ref="BG31:BH31"/>
    <mergeCell ref="BI31:BK31"/>
    <mergeCell ref="BL31:BN31"/>
    <mergeCell ref="BO31:BQ31"/>
    <mergeCell ref="BR31:BT31"/>
    <mergeCell ref="BE32:BF32"/>
    <mergeCell ref="BG32:BH32"/>
    <mergeCell ref="BI32:BK32"/>
    <mergeCell ref="BL32:BN32"/>
    <mergeCell ref="BG33:BH33"/>
    <mergeCell ref="BI28:BK28"/>
    <mergeCell ref="BL28:BN28"/>
    <mergeCell ref="BO28:BQ28"/>
    <mergeCell ref="BR28:BT28"/>
    <mergeCell ref="CB47:CD47"/>
    <mergeCell ref="CB48:CD48"/>
    <mergeCell ref="CB49:CD49"/>
    <mergeCell ref="CW47:CY47"/>
    <mergeCell ref="CZ47:DB47"/>
    <mergeCell ref="CE48:CG48"/>
    <mergeCell ref="CH48:CJ48"/>
    <mergeCell ref="CK48:CM48"/>
    <mergeCell ref="CN48:CP48"/>
    <mergeCell ref="CQ48:CS48"/>
    <mergeCell ref="CT48:CV48"/>
    <mergeCell ref="CW48:CY48"/>
    <mergeCell ref="CZ48:DB48"/>
    <mergeCell ref="CE47:CG47"/>
    <mergeCell ref="CH47:CJ47"/>
    <mergeCell ref="CK47:CM47"/>
    <mergeCell ref="CN47:CP47"/>
    <mergeCell ref="CQ47:CS47"/>
    <mergeCell ref="CT47:CV47"/>
    <mergeCell ref="CW49:CY49"/>
    <mergeCell ref="CN49:CP49"/>
    <mergeCell ref="CQ49:CS49"/>
    <mergeCell ref="CT49:CV49"/>
    <mergeCell ref="BO32:BQ32"/>
    <mergeCell ref="BR32:BT32"/>
    <mergeCell ref="BE33:BF33"/>
    <mergeCell ref="BE26:BF26"/>
    <mergeCell ref="BG26:BH26"/>
    <mergeCell ref="BI26:BK26"/>
    <mergeCell ref="BL26:BN26"/>
    <mergeCell ref="BO26:BQ26"/>
    <mergeCell ref="BR26:BT26"/>
    <mergeCell ref="BE27:BF27"/>
    <mergeCell ref="BG27:BH27"/>
    <mergeCell ref="BI27:BK27"/>
    <mergeCell ref="BL27:BN27"/>
    <mergeCell ref="BO27:BQ27"/>
    <mergeCell ref="BR27:BT27"/>
    <mergeCell ref="CD32:CE32"/>
    <mergeCell ref="CD33:CE33"/>
    <mergeCell ref="CD34:CE34"/>
    <mergeCell ref="CD35:CE35"/>
    <mergeCell ref="BE28:BF28"/>
    <mergeCell ref="BG28:BH28"/>
    <mergeCell ref="BE24:BF24"/>
    <mergeCell ref="BG24:BH24"/>
    <mergeCell ref="BI24:BK24"/>
    <mergeCell ref="BL24:BN24"/>
    <mergeCell ref="BO24:BQ24"/>
    <mergeCell ref="BR24:BT24"/>
    <mergeCell ref="BE25:BF25"/>
    <mergeCell ref="BG25:BH25"/>
    <mergeCell ref="BI25:BK25"/>
    <mergeCell ref="BL25:BN25"/>
    <mergeCell ref="BO25:BQ25"/>
    <mergeCell ref="BR25:BT25"/>
    <mergeCell ref="BE22:BF22"/>
    <mergeCell ref="BG22:BH22"/>
    <mergeCell ref="BI22:BK22"/>
    <mergeCell ref="BL22:BN22"/>
    <mergeCell ref="BO22:BQ22"/>
    <mergeCell ref="BR22:BT22"/>
    <mergeCell ref="BE23:BF23"/>
    <mergeCell ref="BG23:BH23"/>
    <mergeCell ref="BI23:BK23"/>
    <mergeCell ref="BL23:BN23"/>
    <mergeCell ref="BO23:BQ23"/>
    <mergeCell ref="BR23:BT23"/>
    <mergeCell ref="BE20:BF20"/>
    <mergeCell ref="BG20:BH20"/>
    <mergeCell ref="BI20:BK20"/>
    <mergeCell ref="BL20:BN20"/>
    <mergeCell ref="BO20:BQ20"/>
    <mergeCell ref="BR20:BT20"/>
    <mergeCell ref="BE21:BF21"/>
    <mergeCell ref="BG21:BH21"/>
    <mergeCell ref="BI21:BK21"/>
    <mergeCell ref="BL21:BN21"/>
    <mergeCell ref="BO21:BQ21"/>
    <mergeCell ref="BR21:BT21"/>
    <mergeCell ref="BE18:BF18"/>
    <mergeCell ref="BG18:BH18"/>
    <mergeCell ref="BI18:BK18"/>
    <mergeCell ref="BL18:BN18"/>
    <mergeCell ref="BO18:BQ18"/>
    <mergeCell ref="BR18:BT18"/>
    <mergeCell ref="BE19:BF19"/>
    <mergeCell ref="BG19:BH19"/>
    <mergeCell ref="BI19:BK19"/>
    <mergeCell ref="BL19:BN19"/>
    <mergeCell ref="BO19:BQ19"/>
    <mergeCell ref="BR19:BT19"/>
    <mergeCell ref="BE16:BF16"/>
    <mergeCell ref="BG16:BH16"/>
    <mergeCell ref="BI16:BK16"/>
    <mergeCell ref="BL16:BN16"/>
    <mergeCell ref="BO16:BQ16"/>
    <mergeCell ref="BR16:BT16"/>
    <mergeCell ref="BE17:BF17"/>
    <mergeCell ref="BG17:BH17"/>
    <mergeCell ref="BI17:BK17"/>
    <mergeCell ref="BL17:BN17"/>
    <mergeCell ref="BO17:BQ17"/>
    <mergeCell ref="BR17:BT17"/>
    <mergeCell ref="BE14:BF14"/>
    <mergeCell ref="BG14:BH14"/>
    <mergeCell ref="BI14:BK14"/>
    <mergeCell ref="BL14:BN14"/>
    <mergeCell ref="BO14:BQ14"/>
    <mergeCell ref="BR14:BT14"/>
    <mergeCell ref="BE15:BF15"/>
    <mergeCell ref="BG15:BH15"/>
    <mergeCell ref="BI15:BK15"/>
    <mergeCell ref="BL15:BN15"/>
    <mergeCell ref="BO15:BQ15"/>
    <mergeCell ref="BR15:BT15"/>
    <mergeCell ref="BG12:BH12"/>
    <mergeCell ref="BI12:BK12"/>
    <mergeCell ref="BL12:BN12"/>
    <mergeCell ref="BO12:BQ12"/>
    <mergeCell ref="BR12:BT12"/>
    <mergeCell ref="BE13:BF13"/>
    <mergeCell ref="BG13:BH13"/>
    <mergeCell ref="BI13:BK13"/>
    <mergeCell ref="BL13:BN13"/>
    <mergeCell ref="BO13:BQ13"/>
    <mergeCell ref="BR13:BT13"/>
    <mergeCell ref="CZ66:DB66"/>
    <mergeCell ref="CZ67:DB67"/>
    <mergeCell ref="CZ68:DB68"/>
    <mergeCell ref="CZ69:DB69"/>
    <mergeCell ref="CW67:CY67"/>
    <mergeCell ref="CW68:CY68"/>
    <mergeCell ref="CW69:CY69"/>
    <mergeCell ref="CZ50:DB50"/>
    <mergeCell ref="CZ51:DB51"/>
    <mergeCell ref="CZ52:DB52"/>
    <mergeCell ref="CZ53:DB53"/>
    <mergeCell ref="CZ55:DB55"/>
    <mergeCell ref="CZ56:DB56"/>
    <mergeCell ref="CZ57:DB57"/>
    <mergeCell ref="CZ59:DB59"/>
    <mergeCell ref="CZ60:DB60"/>
    <mergeCell ref="CZ61:DB61"/>
    <mergeCell ref="CZ62:DB62"/>
    <mergeCell ref="CZ64:DB64"/>
    <mergeCell ref="CZ65:DB65"/>
    <mergeCell ref="CT68:CV68"/>
    <mergeCell ref="CT69:CV69"/>
    <mergeCell ref="CW50:CY50"/>
    <mergeCell ref="CW51:CY51"/>
    <mergeCell ref="CW52:CY52"/>
    <mergeCell ref="CW53:CY53"/>
    <mergeCell ref="CW55:CY55"/>
    <mergeCell ref="CW56:CY56"/>
    <mergeCell ref="CW57:CY57"/>
    <mergeCell ref="CW59:CY59"/>
    <mergeCell ref="CW60:CY60"/>
    <mergeCell ref="CW61:CY61"/>
    <mergeCell ref="CW62:CY62"/>
    <mergeCell ref="CW64:CY64"/>
    <mergeCell ref="CW65:CY65"/>
    <mergeCell ref="CW66:CY66"/>
    <mergeCell ref="CT62:CV62"/>
    <mergeCell ref="CT64:CV64"/>
    <mergeCell ref="CT65:CV65"/>
    <mergeCell ref="CT66:CV66"/>
    <mergeCell ref="CT67:CV67"/>
    <mergeCell ref="CT56:CV56"/>
    <mergeCell ref="CT57:CV57"/>
    <mergeCell ref="CT59:CV59"/>
    <mergeCell ref="CT60:CV60"/>
    <mergeCell ref="CT61:CV61"/>
    <mergeCell ref="CT50:CV50"/>
    <mergeCell ref="CT51:CV51"/>
    <mergeCell ref="CT52:CV52"/>
    <mergeCell ref="CT53:CV53"/>
    <mergeCell ref="CT55:CV55"/>
    <mergeCell ref="CQ65:CS65"/>
    <mergeCell ref="CQ66:CS66"/>
    <mergeCell ref="CQ67:CS67"/>
    <mergeCell ref="CQ68:CS68"/>
    <mergeCell ref="CQ69:CS69"/>
    <mergeCell ref="CN66:CP66"/>
    <mergeCell ref="CN67:CP67"/>
    <mergeCell ref="CN68:CP68"/>
    <mergeCell ref="CN69:CP69"/>
    <mergeCell ref="CQ50:CS50"/>
    <mergeCell ref="CQ51:CS51"/>
    <mergeCell ref="CQ52:CS52"/>
    <mergeCell ref="CQ53:CS53"/>
    <mergeCell ref="CQ55:CS55"/>
    <mergeCell ref="CQ56:CS56"/>
    <mergeCell ref="CQ57:CS57"/>
    <mergeCell ref="CQ59:CS59"/>
    <mergeCell ref="CQ60:CS60"/>
    <mergeCell ref="CQ61:CS61"/>
    <mergeCell ref="CQ62:CS62"/>
    <mergeCell ref="CQ64:CS64"/>
    <mergeCell ref="CK67:CM67"/>
    <mergeCell ref="CK68:CM68"/>
    <mergeCell ref="CK69:CM69"/>
    <mergeCell ref="CN50:CP50"/>
    <mergeCell ref="CN51:CP51"/>
    <mergeCell ref="CN52:CP52"/>
    <mergeCell ref="CN53:CP53"/>
    <mergeCell ref="CN55:CP55"/>
    <mergeCell ref="CN56:CP56"/>
    <mergeCell ref="CN57:CP57"/>
    <mergeCell ref="CN59:CP59"/>
    <mergeCell ref="CN60:CP60"/>
    <mergeCell ref="CN61:CP61"/>
    <mergeCell ref="CN62:CP62"/>
    <mergeCell ref="CN64:CP64"/>
    <mergeCell ref="CN65:CP65"/>
    <mergeCell ref="CH68:CJ68"/>
    <mergeCell ref="CH69:CJ69"/>
    <mergeCell ref="CK50:CM50"/>
    <mergeCell ref="CK51:CM51"/>
    <mergeCell ref="CK52:CM52"/>
    <mergeCell ref="CK53:CM53"/>
    <mergeCell ref="CK55:CM55"/>
    <mergeCell ref="CK56:CM56"/>
    <mergeCell ref="CK57:CM57"/>
    <mergeCell ref="CK59:CM59"/>
    <mergeCell ref="CK60:CM60"/>
    <mergeCell ref="CK61:CM61"/>
    <mergeCell ref="CK62:CM62"/>
    <mergeCell ref="CK64:CM64"/>
    <mergeCell ref="CK65:CM65"/>
    <mergeCell ref="CK66:CM66"/>
    <mergeCell ref="CH62:CJ62"/>
    <mergeCell ref="CH64:CJ64"/>
    <mergeCell ref="CH65:CJ65"/>
    <mergeCell ref="CH66:CJ66"/>
    <mergeCell ref="CH67:CJ67"/>
    <mergeCell ref="CH56:CJ56"/>
    <mergeCell ref="CH57:CJ57"/>
    <mergeCell ref="CH59:CJ59"/>
    <mergeCell ref="CH60:CJ60"/>
    <mergeCell ref="CH61:CJ61"/>
    <mergeCell ref="CH50:CJ50"/>
    <mergeCell ref="CH51:CJ51"/>
    <mergeCell ref="CH52:CJ52"/>
    <mergeCell ref="CH53:CJ53"/>
    <mergeCell ref="CH55:CJ55"/>
    <mergeCell ref="CE65:CG65"/>
    <mergeCell ref="CE66:CG66"/>
    <mergeCell ref="CE67:CG67"/>
    <mergeCell ref="CE68:CG68"/>
    <mergeCell ref="CE69:CG69"/>
    <mergeCell ref="AK70:AM70"/>
    <mergeCell ref="AN70:AP70"/>
    <mergeCell ref="AQ70:AS70"/>
    <mergeCell ref="CB50:CD50"/>
    <mergeCell ref="CE50:CG50"/>
    <mergeCell ref="CE51:CG51"/>
    <mergeCell ref="CE52:CG52"/>
    <mergeCell ref="CE53:CG53"/>
    <mergeCell ref="CE55:CG55"/>
    <mergeCell ref="CE56:CG56"/>
    <mergeCell ref="CE57:CG57"/>
    <mergeCell ref="CE59:CG59"/>
    <mergeCell ref="CE60:CG60"/>
    <mergeCell ref="CE61:CG61"/>
    <mergeCell ref="CE62:CG62"/>
    <mergeCell ref="CE64:CG64"/>
    <mergeCell ref="AK66:AM66"/>
    <mergeCell ref="AN66:AP66"/>
    <mergeCell ref="AQ66:AS66"/>
    <mergeCell ref="CB66:CD66"/>
    <mergeCell ref="CB65:CD65"/>
    <mergeCell ref="AK67:AM67"/>
    <mergeCell ref="AN67:AP67"/>
    <mergeCell ref="AQ67:AS67"/>
    <mergeCell ref="CB69:CD69"/>
    <mergeCell ref="CB68:CD68"/>
    <mergeCell ref="CB67:CD67"/>
    <mergeCell ref="V70:X70"/>
    <mergeCell ref="Y70:AA70"/>
    <mergeCell ref="AB70:AD70"/>
    <mergeCell ref="AE70:AG70"/>
    <mergeCell ref="AH70:AJ70"/>
    <mergeCell ref="AK68:AM68"/>
    <mergeCell ref="AN68:AP68"/>
    <mergeCell ref="AQ68:AS68"/>
    <mergeCell ref="V69:X69"/>
    <mergeCell ref="Y69:AA69"/>
    <mergeCell ref="AB69:AD69"/>
    <mergeCell ref="AE69:AG69"/>
    <mergeCell ref="AH69:AJ69"/>
    <mergeCell ref="AK69:AM69"/>
    <mergeCell ref="AN69:AP69"/>
    <mergeCell ref="AQ69:AS69"/>
    <mergeCell ref="AB67:AD67"/>
    <mergeCell ref="AE67:AG67"/>
    <mergeCell ref="S69:U69"/>
    <mergeCell ref="V63:X63"/>
    <mergeCell ref="Y63:AA63"/>
    <mergeCell ref="AB63:AD63"/>
    <mergeCell ref="AE63:AG63"/>
    <mergeCell ref="AH63:AJ63"/>
    <mergeCell ref="AK63:AM63"/>
    <mergeCell ref="AN63:AP63"/>
    <mergeCell ref="AQ63:AS63"/>
    <mergeCell ref="V64:X64"/>
    <mergeCell ref="Y64:AA64"/>
    <mergeCell ref="AB64:AD64"/>
    <mergeCell ref="AE64:AG64"/>
    <mergeCell ref="AH64:AJ64"/>
    <mergeCell ref="AK64:AM64"/>
    <mergeCell ref="S65:U65"/>
    <mergeCell ref="S67:U67"/>
    <mergeCell ref="V65:X65"/>
    <mergeCell ref="Y65:AA65"/>
    <mergeCell ref="AB65:AD65"/>
    <mergeCell ref="AE65:AG65"/>
    <mergeCell ref="AH65:AJ65"/>
    <mergeCell ref="AK65:AM65"/>
    <mergeCell ref="AN65:AP65"/>
    <mergeCell ref="AQ65:AS65"/>
    <mergeCell ref="AK62:AM62"/>
    <mergeCell ref="AN62:AP62"/>
    <mergeCell ref="AQ62:AS62"/>
    <mergeCell ref="Y61:AA61"/>
    <mergeCell ref="AN61:AP61"/>
    <mergeCell ref="AQ61:AS61"/>
    <mergeCell ref="CB64:CD64"/>
    <mergeCell ref="S63:U63"/>
    <mergeCell ref="S64:U64"/>
    <mergeCell ref="AN64:AP64"/>
    <mergeCell ref="AQ64:AS64"/>
    <mergeCell ref="V62:X62"/>
    <mergeCell ref="Y62:AA62"/>
    <mergeCell ref="AB62:AD62"/>
    <mergeCell ref="AE62:AG62"/>
    <mergeCell ref="AH62:AJ62"/>
    <mergeCell ref="S62:U62"/>
    <mergeCell ref="CB62:CD62"/>
    <mergeCell ref="AK56:AM56"/>
    <mergeCell ref="AN56:AP56"/>
    <mergeCell ref="AQ56:AS56"/>
    <mergeCell ref="CB56:CD56"/>
    <mergeCell ref="CB57:CD57"/>
    <mergeCell ref="AQ57:AS57"/>
    <mergeCell ref="V60:X60"/>
    <mergeCell ref="Y60:AA60"/>
    <mergeCell ref="AB60:AD60"/>
    <mergeCell ref="AE60:AG60"/>
    <mergeCell ref="AH60:AJ60"/>
    <mergeCell ref="BL59:BN59"/>
    <mergeCell ref="BO59:BQ59"/>
    <mergeCell ref="BR59:BT59"/>
    <mergeCell ref="CB59:CD59"/>
    <mergeCell ref="BL57:BN57"/>
    <mergeCell ref="BO57:BQ57"/>
    <mergeCell ref="BR57:BT57"/>
    <mergeCell ref="BL58:BN58"/>
    <mergeCell ref="BO58:BQ58"/>
    <mergeCell ref="BR58:BT58"/>
    <mergeCell ref="AQ58:AS58"/>
    <mergeCell ref="Y59:AA59"/>
    <mergeCell ref="AB59:AD59"/>
    <mergeCell ref="AK59:AM59"/>
    <mergeCell ref="AN59:AP59"/>
    <mergeCell ref="AQ59:AS59"/>
    <mergeCell ref="AK60:AM60"/>
    <mergeCell ref="AN60:AP60"/>
    <mergeCell ref="AQ60:AS60"/>
    <mergeCell ref="Y58:AA58"/>
    <mergeCell ref="AB58:AD58"/>
    <mergeCell ref="AE58:AG58"/>
    <mergeCell ref="AH58:AJ58"/>
    <mergeCell ref="AK58:AM58"/>
    <mergeCell ref="AQ55:AS55"/>
    <mergeCell ref="CB60:CD60"/>
    <mergeCell ref="CB61:CD61"/>
    <mergeCell ref="BE60:BF60"/>
    <mergeCell ref="BG60:BH60"/>
    <mergeCell ref="BI60:BK60"/>
    <mergeCell ref="BL60:BN60"/>
    <mergeCell ref="BO60:BQ60"/>
    <mergeCell ref="BR60:BT60"/>
    <mergeCell ref="BE56:BF56"/>
    <mergeCell ref="BG56:BH56"/>
    <mergeCell ref="BI56:BK56"/>
    <mergeCell ref="BL56:BN56"/>
    <mergeCell ref="BO56:BQ56"/>
    <mergeCell ref="BR56:BT56"/>
    <mergeCell ref="BE57:BF57"/>
    <mergeCell ref="BG57:BH57"/>
    <mergeCell ref="BI57:BK57"/>
    <mergeCell ref="BE58:BF58"/>
    <mergeCell ref="BG58:BH58"/>
    <mergeCell ref="BI58:BK58"/>
    <mergeCell ref="BE59:BF59"/>
    <mergeCell ref="BG59:BH59"/>
    <mergeCell ref="BI59:BK59"/>
    <mergeCell ref="BE55:BF55"/>
    <mergeCell ref="BG55:BH55"/>
    <mergeCell ref="BI55:BK55"/>
    <mergeCell ref="Q55:R55"/>
    <mergeCell ref="Q56:R56"/>
    <mergeCell ref="Q57:R57"/>
    <mergeCell ref="S58:U58"/>
    <mergeCell ref="S59:U59"/>
    <mergeCell ref="AK61:AM61"/>
    <mergeCell ref="AN58:AP58"/>
    <mergeCell ref="AK57:AM57"/>
    <mergeCell ref="AN57:AP57"/>
    <mergeCell ref="V57:X57"/>
    <mergeCell ref="Y57:AA57"/>
    <mergeCell ref="AB57:AD57"/>
    <mergeCell ref="AE57:AG57"/>
    <mergeCell ref="AH57:AJ57"/>
    <mergeCell ref="AK55:AM55"/>
    <mergeCell ref="AN55:AP55"/>
    <mergeCell ref="V56:X56"/>
    <mergeCell ref="V55:X55"/>
    <mergeCell ref="Y55:AA55"/>
    <mergeCell ref="AB55:AD55"/>
    <mergeCell ref="AE55:AG55"/>
    <mergeCell ref="AH55:AJ55"/>
    <mergeCell ref="V59:X59"/>
    <mergeCell ref="V58:X58"/>
    <mergeCell ref="S54:U54"/>
    <mergeCell ref="V54:X54"/>
    <mergeCell ref="Y54:AA54"/>
    <mergeCell ref="AB54:AD54"/>
    <mergeCell ref="AE54:AG54"/>
    <mergeCell ref="AH54:AJ54"/>
    <mergeCell ref="Y56:AA56"/>
    <mergeCell ref="AB56:AD56"/>
    <mergeCell ref="AE56:AG56"/>
    <mergeCell ref="AH56:AJ56"/>
    <mergeCell ref="AE59:AG59"/>
    <mergeCell ref="AH59:AJ59"/>
    <mergeCell ref="AK54:AM54"/>
    <mergeCell ref="AN54:AP54"/>
    <mergeCell ref="AQ54:AS54"/>
    <mergeCell ref="AH51:AJ51"/>
    <mergeCell ref="AQ47:AS47"/>
    <mergeCell ref="AQ48:AS48"/>
    <mergeCell ref="AQ49:AS49"/>
    <mergeCell ref="AQ50:AS50"/>
    <mergeCell ref="AQ51:AS51"/>
    <mergeCell ref="AN47:AP47"/>
    <mergeCell ref="AN48:AP48"/>
    <mergeCell ref="AN49:AP49"/>
    <mergeCell ref="AN50:AP50"/>
    <mergeCell ref="AN51:AP51"/>
    <mergeCell ref="AK47:AM47"/>
    <mergeCell ref="AK48:AM48"/>
    <mergeCell ref="AK49:AM49"/>
    <mergeCell ref="AH47:AJ47"/>
    <mergeCell ref="AH48:AJ48"/>
    <mergeCell ref="AH49:AJ49"/>
    <mergeCell ref="AH52:AJ52"/>
    <mergeCell ref="AH53:AJ53"/>
    <mergeCell ref="AK52:AM52"/>
    <mergeCell ref="AK53:AM53"/>
    <mergeCell ref="N50:P50"/>
    <mergeCell ref="P28:R28"/>
    <mergeCell ref="P34:T34"/>
    <mergeCell ref="AE47:AG47"/>
    <mergeCell ref="AE48:AG48"/>
    <mergeCell ref="AE49:AG49"/>
    <mergeCell ref="AB47:AD47"/>
    <mergeCell ref="AB48:AD48"/>
    <mergeCell ref="AB49:AD49"/>
    <mergeCell ref="P39:R39"/>
    <mergeCell ref="P37:R37"/>
    <mergeCell ref="P38:R38"/>
    <mergeCell ref="P40:R40"/>
    <mergeCell ref="S47:U47"/>
    <mergeCell ref="S49:U49"/>
    <mergeCell ref="S48:U48"/>
    <mergeCell ref="Y48:AA48"/>
    <mergeCell ref="Y49:AA49"/>
    <mergeCell ref="Y50:AA50"/>
    <mergeCell ref="S46:U46"/>
    <mergeCell ref="V46:X46"/>
    <mergeCell ref="Y46:AA46"/>
    <mergeCell ref="AB46:AD46"/>
    <mergeCell ref="AE46:AG46"/>
    <mergeCell ref="N55:P55"/>
    <mergeCell ref="S55:U55"/>
    <mergeCell ref="CB55:CD55"/>
    <mergeCell ref="AE44:AG44"/>
    <mergeCell ref="AH44:AJ44"/>
    <mergeCell ref="AK44:AM44"/>
    <mergeCell ref="AN44:AP44"/>
    <mergeCell ref="AQ44:AS44"/>
    <mergeCell ref="V47:X47"/>
    <mergeCell ref="V48:X48"/>
    <mergeCell ref="V49:X49"/>
    <mergeCell ref="V50:X50"/>
    <mergeCell ref="N52:P52"/>
    <mergeCell ref="N53:P53"/>
    <mergeCell ref="AE50:AG50"/>
    <mergeCell ref="AE51:AG51"/>
    <mergeCell ref="AB50:AD50"/>
    <mergeCell ref="AB51:AD51"/>
    <mergeCell ref="AK50:AM50"/>
    <mergeCell ref="AK51:AM51"/>
    <mergeCell ref="AH50:AJ50"/>
    <mergeCell ref="N51:P51"/>
    <mergeCell ref="V51:X51"/>
    <mergeCell ref="Y47:AA47"/>
    <mergeCell ref="AE66:AG66"/>
    <mergeCell ref="AH66:AJ66"/>
    <mergeCell ref="V68:X68"/>
    <mergeCell ref="Y68:AA68"/>
    <mergeCell ref="AB68:AD68"/>
    <mergeCell ref="AE68:AG68"/>
    <mergeCell ref="AH68:AJ68"/>
    <mergeCell ref="N57:P57"/>
    <mergeCell ref="S56:U56"/>
    <mergeCell ref="S57:U57"/>
    <mergeCell ref="V61:X61"/>
    <mergeCell ref="AB61:AD61"/>
    <mergeCell ref="AE61:AG61"/>
    <mergeCell ref="AH61:AJ61"/>
    <mergeCell ref="V66:X66"/>
    <mergeCell ref="Y66:AA66"/>
    <mergeCell ref="V67:X67"/>
    <mergeCell ref="Y67:AA67"/>
    <mergeCell ref="AH67:AJ67"/>
    <mergeCell ref="K59:P59"/>
    <mergeCell ref="K60:P60"/>
    <mergeCell ref="K61:P61"/>
    <mergeCell ref="S60:U60"/>
    <mergeCell ref="S61:U61"/>
    <mergeCell ref="S70:U70"/>
    <mergeCell ref="P24:R24"/>
    <mergeCell ref="P36:R36"/>
    <mergeCell ref="P35:R35"/>
    <mergeCell ref="AU5:AV5"/>
    <mergeCell ref="P8:R8"/>
    <mergeCell ref="P11:R11"/>
    <mergeCell ref="P9:R9"/>
    <mergeCell ref="P32:R32"/>
    <mergeCell ref="P12:R12"/>
    <mergeCell ref="P10:R10"/>
    <mergeCell ref="P17:R17"/>
    <mergeCell ref="P18:R18"/>
    <mergeCell ref="P19:R19"/>
    <mergeCell ref="P20:R20"/>
    <mergeCell ref="P21:R21"/>
    <mergeCell ref="P22:R22"/>
    <mergeCell ref="P13:R13"/>
    <mergeCell ref="P25:R25"/>
    <mergeCell ref="P41:R41"/>
    <mergeCell ref="N56:P56"/>
    <mergeCell ref="S66:U66"/>
    <mergeCell ref="S68:U68"/>
    <mergeCell ref="AB66:AD66"/>
    <mergeCell ref="A5:B5"/>
    <mergeCell ref="P30:R30"/>
    <mergeCell ref="P31:R31"/>
    <mergeCell ref="P23:R23"/>
    <mergeCell ref="Y2:AD2"/>
    <mergeCell ref="P27:R27"/>
    <mergeCell ref="P15:R15"/>
    <mergeCell ref="S44:U44"/>
    <mergeCell ref="V44:X44"/>
    <mergeCell ref="Y44:AA44"/>
    <mergeCell ref="AB44:AD44"/>
    <mergeCell ref="P14:R14"/>
    <mergeCell ref="P26:R26"/>
    <mergeCell ref="AE2:AV2"/>
    <mergeCell ref="I4:X4"/>
    <mergeCell ref="Y4:AD4"/>
    <mergeCell ref="AE4:AJ4"/>
    <mergeCell ref="AK4:AP4"/>
    <mergeCell ref="AQ4:AV4"/>
    <mergeCell ref="A1:H4"/>
    <mergeCell ref="I2:R2"/>
    <mergeCell ref="S2:X2"/>
    <mergeCell ref="BE46:BF46"/>
    <mergeCell ref="BG46:BH46"/>
    <mergeCell ref="BI46:BK46"/>
    <mergeCell ref="BL46:BN46"/>
    <mergeCell ref="BO46:BQ46"/>
    <mergeCell ref="BR46:BT46"/>
    <mergeCell ref="AQ45:AS45"/>
    <mergeCell ref="AQ5:AT5"/>
    <mergeCell ref="AK5:AP5"/>
    <mergeCell ref="AN46:AP46"/>
    <mergeCell ref="AQ46:AS46"/>
    <mergeCell ref="BE9:BF10"/>
    <mergeCell ref="BG9:BH10"/>
    <mergeCell ref="BI9:BK10"/>
    <mergeCell ref="BL9:BN10"/>
    <mergeCell ref="BO9:BQ10"/>
    <mergeCell ref="BR9:BT10"/>
    <mergeCell ref="BE11:BF11"/>
    <mergeCell ref="BG11:BH11"/>
    <mergeCell ref="BI11:BK11"/>
    <mergeCell ref="BL11:BN11"/>
    <mergeCell ref="BO11:BQ11"/>
    <mergeCell ref="BR11:BT11"/>
    <mergeCell ref="BE12:BF12"/>
    <mergeCell ref="CZ44:DB44"/>
    <mergeCell ref="CH45:CJ45"/>
    <mergeCell ref="CK45:CM45"/>
    <mergeCell ref="CN45:CP45"/>
    <mergeCell ref="CQ45:CS45"/>
    <mergeCell ref="CT45:CV45"/>
    <mergeCell ref="CW45:CY45"/>
    <mergeCell ref="CZ45:DB45"/>
    <mergeCell ref="P42:R42"/>
    <mergeCell ref="CE45:CG45"/>
    <mergeCell ref="CH44:CJ44"/>
    <mergeCell ref="CK44:CM44"/>
    <mergeCell ref="CN44:CP44"/>
    <mergeCell ref="CQ44:CS44"/>
    <mergeCell ref="CT44:CV44"/>
    <mergeCell ref="CW44:CY44"/>
    <mergeCell ref="BE43:BF43"/>
    <mergeCell ref="BG43:BH43"/>
    <mergeCell ref="BI43:BK43"/>
    <mergeCell ref="BL43:BN43"/>
    <mergeCell ref="BO43:BQ43"/>
    <mergeCell ref="BR43:BT43"/>
    <mergeCell ref="BE44:BF44"/>
    <mergeCell ref="BG44:BH44"/>
    <mergeCell ref="AE5:AJ5"/>
    <mergeCell ref="S45:U45"/>
    <mergeCell ref="V45:X45"/>
    <mergeCell ref="Y45:AA45"/>
    <mergeCell ref="AB45:AD45"/>
    <mergeCell ref="AE45:AG45"/>
    <mergeCell ref="AH45:AJ45"/>
    <mergeCell ref="AK45:AM45"/>
    <mergeCell ref="AN45:AP45"/>
  </mergeCells>
  <conditionalFormatting sqref="P9:R9">
    <cfRule type="cellIs" dxfId="549" priority="1585" operator="greaterThanOrEqual">
      <formula>1000</formula>
    </cfRule>
    <cfRule type="cellIs" dxfId="548" priority="1586" operator="greaterThanOrEqual">
      <formula>100</formula>
    </cfRule>
    <cfRule type="cellIs" dxfId="547" priority="1587" operator="greaterThanOrEqual">
      <formula>10</formula>
    </cfRule>
    <cfRule type="cellIs" dxfId="546" priority="1588" operator="lessThan">
      <formula>10</formula>
    </cfRule>
  </conditionalFormatting>
  <conditionalFormatting sqref="P36:R36">
    <cfRule type="cellIs" dxfId="545" priority="1537" operator="greaterThanOrEqual">
      <formula>1000</formula>
    </cfRule>
    <cfRule type="cellIs" dxfId="544" priority="1538" operator="greaterThanOrEqual">
      <formula>100</formula>
    </cfRule>
    <cfRule type="cellIs" dxfId="543" priority="1539" operator="greaterThanOrEqual">
      <formula>10</formula>
    </cfRule>
    <cfRule type="cellIs" dxfId="542" priority="1540" operator="lessThan">
      <formula>10</formula>
    </cfRule>
  </conditionalFormatting>
  <conditionalFormatting sqref="P10:R10">
    <cfRule type="cellIs" dxfId="541" priority="1581" operator="greaterThanOrEqual">
      <formula>1000</formula>
    </cfRule>
    <cfRule type="cellIs" dxfId="540" priority="1582" operator="greaterThanOrEqual">
      <formula>100</formula>
    </cfRule>
    <cfRule type="cellIs" dxfId="539" priority="1583" operator="greaterThanOrEqual">
      <formula>10</formula>
    </cfRule>
    <cfRule type="cellIs" dxfId="538" priority="1584" operator="lessThan">
      <formula>10</formula>
    </cfRule>
  </conditionalFormatting>
  <conditionalFormatting sqref="P12:R12">
    <cfRule type="cellIs" dxfId="537" priority="1577" operator="greaterThanOrEqual">
      <formula>1000</formula>
    </cfRule>
    <cfRule type="cellIs" dxfId="536" priority="1578" operator="greaterThanOrEqual">
      <formula>100</formula>
    </cfRule>
    <cfRule type="cellIs" dxfId="535" priority="1579" operator="greaterThanOrEqual">
      <formula>10</formula>
    </cfRule>
    <cfRule type="cellIs" dxfId="534" priority="1580" operator="lessThan">
      <formula>10</formula>
    </cfRule>
  </conditionalFormatting>
  <conditionalFormatting sqref="P13:R13">
    <cfRule type="cellIs" dxfId="533" priority="1573" operator="greaterThanOrEqual">
      <formula>1000</formula>
    </cfRule>
    <cfRule type="cellIs" dxfId="532" priority="1574" operator="greaterThanOrEqual">
      <formula>100</formula>
    </cfRule>
    <cfRule type="cellIs" dxfId="531" priority="1575" operator="greaterThanOrEqual">
      <formula>10</formula>
    </cfRule>
    <cfRule type="cellIs" dxfId="530" priority="1576" operator="lessThan">
      <formula>10</formula>
    </cfRule>
  </conditionalFormatting>
  <conditionalFormatting sqref="P15:R15">
    <cfRule type="cellIs" dxfId="529" priority="1569" operator="greaterThanOrEqual">
      <formula>1000</formula>
    </cfRule>
    <cfRule type="cellIs" dxfId="528" priority="1570" operator="greaterThanOrEqual">
      <formula>100</formula>
    </cfRule>
    <cfRule type="cellIs" dxfId="527" priority="1571" operator="greaterThanOrEqual">
      <formula>10</formula>
    </cfRule>
    <cfRule type="cellIs" dxfId="526" priority="1572" operator="lessThan">
      <formula>10</formula>
    </cfRule>
  </conditionalFormatting>
  <conditionalFormatting sqref="P18:R18">
    <cfRule type="cellIs" dxfId="525" priority="1565" operator="greaterThanOrEqual">
      <formula>1000</formula>
    </cfRule>
    <cfRule type="cellIs" dxfId="524" priority="1566" operator="greaterThanOrEqual">
      <formula>100</formula>
    </cfRule>
    <cfRule type="cellIs" dxfId="523" priority="1567" operator="greaterThanOrEqual">
      <formula>10</formula>
    </cfRule>
    <cfRule type="cellIs" dxfId="522" priority="1568" operator="lessThan">
      <formula>10</formula>
    </cfRule>
  </conditionalFormatting>
  <conditionalFormatting sqref="P19:R19">
    <cfRule type="cellIs" dxfId="521" priority="1561" operator="greaterThanOrEqual">
      <formula>1000</formula>
    </cfRule>
    <cfRule type="cellIs" dxfId="520" priority="1562" operator="greaterThanOrEqual">
      <formula>100</formula>
    </cfRule>
    <cfRule type="cellIs" dxfId="519" priority="1563" operator="greaterThanOrEqual">
      <formula>10</formula>
    </cfRule>
    <cfRule type="cellIs" dxfId="518" priority="1564" operator="lessThan">
      <formula>10</formula>
    </cfRule>
  </conditionalFormatting>
  <conditionalFormatting sqref="P21:R21">
    <cfRule type="cellIs" dxfId="517" priority="1557" operator="greaterThanOrEqual">
      <formula>1000</formula>
    </cfRule>
    <cfRule type="cellIs" dxfId="516" priority="1558" operator="greaterThanOrEqual">
      <formula>100</formula>
    </cfRule>
    <cfRule type="cellIs" dxfId="515" priority="1559" operator="greaterThanOrEqual">
      <formula>10</formula>
    </cfRule>
    <cfRule type="cellIs" dxfId="514" priority="1560" operator="lessThan">
      <formula>10</formula>
    </cfRule>
  </conditionalFormatting>
  <conditionalFormatting sqref="P27:R27">
    <cfRule type="cellIs" dxfId="513" priority="1549" operator="greaterThanOrEqual">
      <formula>1000</formula>
    </cfRule>
    <cfRule type="cellIs" dxfId="512" priority="1550" operator="greaterThanOrEqual">
      <formula>100</formula>
    </cfRule>
    <cfRule type="cellIs" dxfId="511" priority="1551" operator="greaterThanOrEqual">
      <formula>10</formula>
    </cfRule>
    <cfRule type="cellIs" dxfId="510" priority="1552" operator="lessThan">
      <formula>10</formula>
    </cfRule>
  </conditionalFormatting>
  <conditionalFormatting sqref="P22:R22">
    <cfRule type="cellIs" dxfId="509" priority="1545" operator="greaterThanOrEqual">
      <formula>1000</formula>
    </cfRule>
    <cfRule type="cellIs" dxfId="508" priority="1546" operator="greaterThanOrEqual">
      <formula>100</formula>
    </cfRule>
    <cfRule type="cellIs" dxfId="507" priority="1547" operator="greaterThanOrEqual">
      <formula>10</formula>
    </cfRule>
    <cfRule type="cellIs" dxfId="506" priority="1548" operator="lessThan">
      <formula>10</formula>
    </cfRule>
  </conditionalFormatting>
  <conditionalFormatting sqref="P30:R32">
    <cfRule type="cellIs" dxfId="505" priority="1541" operator="greaterThanOrEqual">
      <formula>1000</formula>
    </cfRule>
    <cfRule type="cellIs" dxfId="504" priority="1542" operator="greaterThanOrEqual">
      <formula>100</formula>
    </cfRule>
    <cfRule type="cellIs" dxfId="503" priority="1543" operator="greaterThanOrEqual">
      <formula>10</formula>
    </cfRule>
    <cfRule type="cellIs" dxfId="502" priority="1544" operator="lessThan">
      <formula>10</formula>
    </cfRule>
  </conditionalFormatting>
  <conditionalFormatting sqref="P37:R41">
    <cfRule type="cellIs" dxfId="501" priority="1533" operator="greaterThanOrEqual">
      <formula>1000</formula>
    </cfRule>
    <cfRule type="cellIs" dxfId="500" priority="1534" operator="greaterThanOrEqual">
      <formula>100</formula>
    </cfRule>
    <cfRule type="cellIs" dxfId="499" priority="1535" operator="greaterThanOrEqual">
      <formula>10</formula>
    </cfRule>
    <cfRule type="cellIs" dxfId="498" priority="1536" operator="lessThan">
      <formula>10</formula>
    </cfRule>
  </conditionalFormatting>
  <conditionalFormatting sqref="S50:U50">
    <cfRule type="cellIs" dxfId="497" priority="1517" operator="greaterThanOrEqual">
      <formula>1000</formula>
    </cfRule>
    <cfRule type="cellIs" dxfId="496" priority="1518" operator="greaterThanOrEqual">
      <formula>100</formula>
    </cfRule>
    <cfRule type="cellIs" dxfId="495" priority="1519" operator="greaterThanOrEqual">
      <formula>10</formula>
    </cfRule>
    <cfRule type="cellIs" dxfId="494" priority="1520" operator="lessThan">
      <formula>10</formula>
    </cfRule>
  </conditionalFormatting>
  <conditionalFormatting sqref="S51:U51">
    <cfRule type="cellIs" dxfId="493" priority="1509" operator="greaterThanOrEqual">
      <formula>1000</formula>
    </cfRule>
    <cfRule type="cellIs" dxfId="492" priority="1510" operator="greaterThanOrEqual">
      <formula>100</formula>
    </cfRule>
    <cfRule type="cellIs" dxfId="491" priority="1511" operator="greaterThanOrEqual">
      <formula>10</formula>
    </cfRule>
    <cfRule type="cellIs" dxfId="490" priority="1512" operator="lessThan">
      <formula>10</formula>
    </cfRule>
  </conditionalFormatting>
  <conditionalFormatting sqref="S69:U69">
    <cfRule type="cellIs" dxfId="489" priority="1481" operator="greaterThanOrEqual">
      <formula>1000</formula>
    </cfRule>
    <cfRule type="cellIs" dxfId="488" priority="1482" operator="greaterThanOrEqual">
      <formula>100</formula>
    </cfRule>
    <cfRule type="cellIs" dxfId="487" priority="1483" operator="greaterThanOrEqual">
      <formula>10</formula>
    </cfRule>
    <cfRule type="cellIs" dxfId="486" priority="1484" operator="lessThan">
      <formula>10</formula>
    </cfRule>
  </conditionalFormatting>
  <conditionalFormatting sqref="P42:R42">
    <cfRule type="expression" dxfId="485" priority="1238">
      <formula>$O$42="="</formula>
    </cfRule>
  </conditionalFormatting>
  <conditionalFormatting sqref="V46:X46">
    <cfRule type="cellIs" dxfId="484" priority="1230" operator="greaterThanOrEqual">
      <formula>1000</formula>
    </cfRule>
    <cfRule type="cellIs" dxfId="483" priority="1231" operator="greaterThanOrEqual">
      <formula>100</formula>
    </cfRule>
    <cfRule type="cellIs" dxfId="482" priority="1232" operator="greaterThanOrEqual">
      <formula>10</formula>
    </cfRule>
    <cfRule type="cellIs" dxfId="481" priority="1233" operator="lessThan">
      <formula>10</formula>
    </cfRule>
  </conditionalFormatting>
  <conditionalFormatting sqref="S31:U31">
    <cfRule type="cellIs" dxfId="480" priority="1194" operator="greaterThanOrEqual">
      <formula>1000</formula>
    </cfRule>
    <cfRule type="cellIs" dxfId="479" priority="1195" operator="greaterThanOrEqual">
      <formula>100</formula>
    </cfRule>
    <cfRule type="cellIs" dxfId="478" priority="1196" operator="greaterThanOrEqual">
      <formula>10</formula>
    </cfRule>
    <cfRule type="cellIs" dxfId="477" priority="1197" operator="lessThan">
      <formula>10</formula>
    </cfRule>
  </conditionalFormatting>
  <conditionalFormatting sqref="S46:U46">
    <cfRule type="cellIs" dxfId="476" priority="1168" operator="greaterThanOrEqual">
      <formula>1000</formula>
    </cfRule>
    <cfRule type="cellIs" dxfId="475" priority="1169" operator="greaterThanOrEqual">
      <formula>100</formula>
    </cfRule>
    <cfRule type="cellIs" dxfId="474" priority="1170" operator="greaterThanOrEqual">
      <formula>10</formula>
    </cfRule>
    <cfRule type="cellIs" dxfId="473" priority="1171" operator="lessThan">
      <formula>10</formula>
    </cfRule>
  </conditionalFormatting>
  <conditionalFormatting sqref="Y46:AA46">
    <cfRule type="cellIs" dxfId="472" priority="1092" operator="greaterThanOrEqual">
      <formula>1000</formula>
    </cfRule>
    <cfRule type="cellIs" dxfId="471" priority="1093" operator="greaterThanOrEqual">
      <formula>100</formula>
    </cfRule>
    <cfRule type="cellIs" dxfId="470" priority="1094" operator="greaterThanOrEqual">
      <formula>10</formula>
    </cfRule>
    <cfRule type="cellIs" dxfId="469" priority="1095" operator="lessThan">
      <formula>10</formula>
    </cfRule>
  </conditionalFormatting>
  <conditionalFormatting sqref="AK46:AM46">
    <cfRule type="cellIs" dxfId="468" priority="1076" operator="greaterThanOrEqual">
      <formula>1000</formula>
    </cfRule>
    <cfRule type="cellIs" dxfId="467" priority="1077" operator="greaterThanOrEqual">
      <formula>100</formula>
    </cfRule>
    <cfRule type="cellIs" dxfId="466" priority="1078" operator="greaterThanOrEqual">
      <formula>10</formula>
    </cfRule>
    <cfRule type="cellIs" dxfId="465" priority="1079" operator="lessThan">
      <formula>10</formula>
    </cfRule>
  </conditionalFormatting>
  <conditionalFormatting sqref="AN46:AP46">
    <cfRule type="cellIs" dxfId="464" priority="1072" operator="greaterThanOrEqual">
      <formula>1000</formula>
    </cfRule>
    <cfRule type="cellIs" dxfId="463" priority="1073" operator="greaterThanOrEqual">
      <formula>100</formula>
    </cfRule>
    <cfRule type="cellIs" dxfId="462" priority="1074" operator="greaterThanOrEqual">
      <formula>10</formula>
    </cfRule>
    <cfRule type="cellIs" dxfId="461" priority="1075" operator="lessThan">
      <formula>10</formula>
    </cfRule>
  </conditionalFormatting>
  <conditionalFormatting sqref="AQ46:AS46">
    <cfRule type="cellIs" dxfId="460" priority="1068" operator="greaterThanOrEqual">
      <formula>1000</formula>
    </cfRule>
    <cfRule type="cellIs" dxfId="459" priority="1069" operator="greaterThanOrEqual">
      <formula>100</formula>
    </cfRule>
    <cfRule type="cellIs" dxfId="458" priority="1070" operator="greaterThanOrEqual">
      <formula>10</formula>
    </cfRule>
    <cfRule type="cellIs" dxfId="457" priority="1071" operator="lessThan">
      <formula>10</formula>
    </cfRule>
  </conditionalFormatting>
  <conditionalFormatting sqref="V54:X63">
    <cfRule type="cellIs" dxfId="456" priority="1058" operator="greaterThanOrEqual">
      <formula>1000</formula>
    </cfRule>
    <cfRule type="cellIs" dxfId="455" priority="1059" operator="greaterThanOrEqual">
      <formula>100</formula>
    </cfRule>
    <cfRule type="cellIs" dxfId="454" priority="1060" operator="greaterThanOrEqual">
      <formula>10</formula>
    </cfRule>
    <cfRule type="cellIs" dxfId="453" priority="1061" operator="lessThan">
      <formula>10</formula>
    </cfRule>
  </conditionalFormatting>
  <conditionalFormatting sqref="V50:X50">
    <cfRule type="cellIs" dxfId="452" priority="1050" operator="greaterThanOrEqual">
      <formula>1000</formula>
    </cfRule>
    <cfRule type="cellIs" dxfId="451" priority="1051" operator="greaterThanOrEqual">
      <formula>100</formula>
    </cfRule>
    <cfRule type="cellIs" dxfId="450" priority="1052" operator="greaterThanOrEqual">
      <formula>10</formula>
    </cfRule>
    <cfRule type="cellIs" dxfId="449" priority="1053" operator="lessThan">
      <formula>10</formula>
    </cfRule>
  </conditionalFormatting>
  <conditionalFormatting sqref="V51:X51">
    <cfRule type="cellIs" dxfId="448" priority="1046" operator="greaterThanOrEqual">
      <formula>1000</formula>
    </cfRule>
    <cfRule type="cellIs" dxfId="447" priority="1047" operator="greaterThanOrEqual">
      <formula>100</formula>
    </cfRule>
    <cfRule type="cellIs" dxfId="446" priority="1048" operator="greaterThanOrEqual">
      <formula>10</formula>
    </cfRule>
    <cfRule type="cellIs" dxfId="445" priority="1049" operator="lessThan">
      <formula>10</formula>
    </cfRule>
  </conditionalFormatting>
  <conditionalFormatting sqref="Y54:AA63">
    <cfRule type="cellIs" dxfId="444" priority="1020" operator="greaterThanOrEqual">
      <formula>1000</formula>
    </cfRule>
    <cfRule type="cellIs" dxfId="443" priority="1021" operator="greaterThanOrEqual">
      <formula>100</formula>
    </cfRule>
    <cfRule type="cellIs" dxfId="442" priority="1022" operator="greaterThanOrEqual">
      <formula>10</formula>
    </cfRule>
    <cfRule type="cellIs" dxfId="441" priority="1023" operator="lessThan">
      <formula>10</formula>
    </cfRule>
  </conditionalFormatting>
  <conditionalFormatting sqref="Y50:AA50">
    <cfRule type="cellIs" dxfId="440" priority="1012" operator="greaterThanOrEqual">
      <formula>1000</formula>
    </cfRule>
    <cfRule type="cellIs" dxfId="439" priority="1013" operator="greaterThanOrEqual">
      <formula>100</formula>
    </cfRule>
    <cfRule type="cellIs" dxfId="438" priority="1014" operator="greaterThanOrEqual">
      <formula>10</formula>
    </cfRule>
    <cfRule type="cellIs" dxfId="437" priority="1015" operator="lessThan">
      <formula>10</formula>
    </cfRule>
  </conditionalFormatting>
  <conditionalFormatting sqref="Y51:AA51">
    <cfRule type="cellIs" dxfId="436" priority="1008" operator="greaterThanOrEqual">
      <formula>1000</formula>
    </cfRule>
    <cfRule type="cellIs" dxfId="435" priority="1009" operator="greaterThanOrEqual">
      <formula>100</formula>
    </cfRule>
    <cfRule type="cellIs" dxfId="434" priority="1010" operator="greaterThanOrEqual">
      <formula>10</formula>
    </cfRule>
    <cfRule type="cellIs" dxfId="433" priority="1011" operator="lessThan">
      <formula>10</formula>
    </cfRule>
  </conditionalFormatting>
  <conditionalFormatting sqref="AB54:AD63">
    <cfRule type="cellIs" dxfId="432" priority="982" operator="greaterThanOrEqual">
      <formula>1000</formula>
    </cfRule>
    <cfRule type="cellIs" dxfId="431" priority="983" operator="greaterThanOrEqual">
      <formula>100</formula>
    </cfRule>
    <cfRule type="cellIs" dxfId="430" priority="984" operator="greaterThanOrEqual">
      <formula>10</formula>
    </cfRule>
    <cfRule type="cellIs" dxfId="429" priority="985" operator="lessThan">
      <formula>10</formula>
    </cfRule>
  </conditionalFormatting>
  <conditionalFormatting sqref="AB52:AB53">
    <cfRule type="cellIs" dxfId="428" priority="978" operator="greaterThanOrEqual">
      <formula>1000</formula>
    </cfRule>
    <cfRule type="cellIs" dxfId="427" priority="979" operator="greaterThanOrEqual">
      <formula>100</formula>
    </cfRule>
    <cfRule type="cellIs" dxfId="426" priority="980" operator="greaterThanOrEqual">
      <formula>10</formula>
    </cfRule>
    <cfRule type="cellIs" dxfId="425" priority="981" operator="lessThan">
      <formula>10</formula>
    </cfRule>
  </conditionalFormatting>
  <conditionalFormatting sqref="AB50:AD50">
    <cfRule type="cellIs" dxfId="424" priority="974" operator="greaterThanOrEqual">
      <formula>1000</formula>
    </cfRule>
    <cfRule type="cellIs" dxfId="423" priority="975" operator="greaterThanOrEqual">
      <formula>100</formula>
    </cfRule>
    <cfRule type="cellIs" dxfId="422" priority="976" operator="greaterThanOrEqual">
      <formula>10</formula>
    </cfRule>
    <cfRule type="cellIs" dxfId="421" priority="977" operator="lessThan">
      <formula>10</formula>
    </cfRule>
  </conditionalFormatting>
  <conditionalFormatting sqref="AB51:AD51">
    <cfRule type="cellIs" dxfId="420" priority="970" operator="greaterThanOrEqual">
      <formula>1000</formula>
    </cfRule>
    <cfRule type="cellIs" dxfId="419" priority="971" operator="greaterThanOrEqual">
      <formula>100</formula>
    </cfRule>
    <cfRule type="cellIs" dxfId="418" priority="972" operator="greaterThanOrEqual">
      <formula>10</formula>
    </cfRule>
    <cfRule type="cellIs" dxfId="417" priority="973" operator="lessThan">
      <formula>10</formula>
    </cfRule>
  </conditionalFormatting>
  <conditionalFormatting sqref="AE54:AG63">
    <cfRule type="cellIs" dxfId="416" priority="944" operator="greaterThanOrEqual">
      <formula>1000</formula>
    </cfRule>
    <cfRule type="cellIs" dxfId="415" priority="945" operator="greaterThanOrEqual">
      <formula>100</formula>
    </cfRule>
    <cfRule type="cellIs" dxfId="414" priority="946" operator="greaterThanOrEqual">
      <formula>10</formula>
    </cfRule>
    <cfRule type="cellIs" dxfId="413" priority="947" operator="lessThan">
      <formula>10</formula>
    </cfRule>
  </conditionalFormatting>
  <conditionalFormatting sqref="AE50:AG50">
    <cfRule type="cellIs" dxfId="412" priority="936" operator="greaterThanOrEqual">
      <formula>1000</formula>
    </cfRule>
    <cfRule type="cellIs" dxfId="411" priority="937" operator="greaterThanOrEqual">
      <formula>100</formula>
    </cfRule>
    <cfRule type="cellIs" dxfId="410" priority="938" operator="greaterThanOrEqual">
      <formula>10</formula>
    </cfRule>
    <cfRule type="cellIs" dxfId="409" priority="939" operator="lessThan">
      <formula>10</formula>
    </cfRule>
  </conditionalFormatting>
  <conditionalFormatting sqref="AE51:AG51">
    <cfRule type="cellIs" dxfId="408" priority="932" operator="greaterThanOrEqual">
      <formula>1000</formula>
    </cfRule>
    <cfRule type="cellIs" dxfId="407" priority="933" operator="greaterThanOrEqual">
      <formula>100</formula>
    </cfRule>
    <cfRule type="cellIs" dxfId="406" priority="934" operator="greaterThanOrEqual">
      <formula>10</formula>
    </cfRule>
    <cfRule type="cellIs" dxfId="405" priority="935" operator="lessThan">
      <formula>10</formula>
    </cfRule>
  </conditionalFormatting>
  <conditionalFormatting sqref="AH54:AJ63">
    <cfRule type="cellIs" dxfId="404" priority="906" operator="greaterThanOrEqual">
      <formula>1000</formula>
    </cfRule>
    <cfRule type="cellIs" dxfId="403" priority="907" operator="greaterThanOrEqual">
      <formula>100</formula>
    </cfRule>
    <cfRule type="cellIs" dxfId="402" priority="908" operator="greaterThanOrEqual">
      <formula>10</formula>
    </cfRule>
    <cfRule type="cellIs" dxfId="401" priority="909" operator="lessThan">
      <formula>10</formula>
    </cfRule>
  </conditionalFormatting>
  <conditionalFormatting sqref="AH50:AJ50">
    <cfRule type="cellIs" dxfId="400" priority="898" operator="greaterThanOrEqual">
      <formula>1000</formula>
    </cfRule>
    <cfRule type="cellIs" dxfId="399" priority="899" operator="greaterThanOrEqual">
      <formula>100</formula>
    </cfRule>
    <cfRule type="cellIs" dxfId="398" priority="900" operator="greaterThanOrEqual">
      <formula>10</formula>
    </cfRule>
    <cfRule type="cellIs" dxfId="397" priority="901" operator="lessThan">
      <formula>10</formula>
    </cfRule>
  </conditionalFormatting>
  <conditionalFormatting sqref="AH51:AJ51">
    <cfRule type="cellIs" dxfId="396" priority="894" operator="greaterThanOrEqual">
      <formula>1000</formula>
    </cfRule>
    <cfRule type="cellIs" dxfId="395" priority="895" operator="greaterThanOrEqual">
      <formula>100</formula>
    </cfRule>
    <cfRule type="cellIs" dxfId="394" priority="896" operator="greaterThanOrEqual">
      <formula>10</formula>
    </cfRule>
    <cfRule type="cellIs" dxfId="393" priority="897" operator="lessThan">
      <formula>10</formula>
    </cfRule>
  </conditionalFormatting>
  <conditionalFormatting sqref="AK54:AM63">
    <cfRule type="cellIs" dxfId="392" priority="868" operator="greaterThanOrEqual">
      <formula>1000</formula>
    </cfRule>
    <cfRule type="cellIs" dxfId="391" priority="869" operator="greaterThanOrEqual">
      <formula>100</formula>
    </cfRule>
    <cfRule type="cellIs" dxfId="390" priority="870" operator="greaterThanOrEqual">
      <formula>10</formula>
    </cfRule>
    <cfRule type="cellIs" dxfId="389" priority="871" operator="lessThan">
      <formula>10</formula>
    </cfRule>
  </conditionalFormatting>
  <conditionalFormatting sqref="AK50:AM50">
    <cfRule type="cellIs" dxfId="388" priority="860" operator="greaterThanOrEqual">
      <formula>1000</formula>
    </cfRule>
    <cfRule type="cellIs" dxfId="387" priority="861" operator="greaterThanOrEqual">
      <formula>100</formula>
    </cfRule>
    <cfRule type="cellIs" dxfId="386" priority="862" operator="greaterThanOrEqual">
      <formula>10</formula>
    </cfRule>
    <cfRule type="cellIs" dxfId="385" priority="863" operator="lessThan">
      <formula>10</formula>
    </cfRule>
  </conditionalFormatting>
  <conditionalFormatting sqref="AK51:AM51">
    <cfRule type="cellIs" dxfId="384" priority="856" operator="greaterThanOrEqual">
      <formula>1000</formula>
    </cfRule>
    <cfRule type="cellIs" dxfId="383" priority="857" operator="greaterThanOrEqual">
      <formula>100</formula>
    </cfRule>
    <cfRule type="cellIs" dxfId="382" priority="858" operator="greaterThanOrEqual">
      <formula>10</formula>
    </cfRule>
    <cfRule type="cellIs" dxfId="381" priority="859" operator="lessThan">
      <formula>10</formula>
    </cfRule>
  </conditionalFormatting>
  <conditionalFormatting sqref="AN54:AP63">
    <cfRule type="cellIs" dxfId="380" priority="830" operator="greaterThanOrEqual">
      <formula>1000</formula>
    </cfRule>
    <cfRule type="cellIs" dxfId="379" priority="831" operator="greaterThanOrEqual">
      <formula>100</formula>
    </cfRule>
    <cfRule type="cellIs" dxfId="378" priority="832" operator="greaterThanOrEqual">
      <formula>10</formula>
    </cfRule>
    <cfRule type="cellIs" dxfId="377" priority="833" operator="lessThan">
      <formula>10</formula>
    </cfRule>
  </conditionalFormatting>
  <conditionalFormatting sqref="AN50:AP50">
    <cfRule type="cellIs" dxfId="376" priority="822" operator="greaterThanOrEqual">
      <formula>1000</formula>
    </cfRule>
    <cfRule type="cellIs" dxfId="375" priority="823" operator="greaterThanOrEqual">
      <formula>100</formula>
    </cfRule>
    <cfRule type="cellIs" dxfId="374" priority="824" operator="greaterThanOrEqual">
      <formula>10</formula>
    </cfRule>
    <cfRule type="cellIs" dxfId="373" priority="825" operator="lessThan">
      <formula>10</formula>
    </cfRule>
  </conditionalFormatting>
  <conditionalFormatting sqref="AN51:AP51">
    <cfRule type="cellIs" dxfId="372" priority="818" operator="greaterThanOrEqual">
      <formula>1000</formula>
    </cfRule>
    <cfRule type="cellIs" dxfId="371" priority="819" operator="greaterThanOrEqual">
      <formula>100</formula>
    </cfRule>
    <cfRule type="cellIs" dxfId="370" priority="820" operator="greaterThanOrEqual">
      <formula>10</formula>
    </cfRule>
    <cfRule type="cellIs" dxfId="369" priority="821" operator="lessThan">
      <formula>10</formula>
    </cfRule>
  </conditionalFormatting>
  <conditionalFormatting sqref="AQ54:AS63">
    <cfRule type="cellIs" dxfId="368" priority="792" operator="greaterThanOrEqual">
      <formula>1000</formula>
    </cfRule>
    <cfRule type="cellIs" dxfId="367" priority="793" operator="greaterThanOrEqual">
      <formula>100</formula>
    </cfRule>
    <cfRule type="cellIs" dxfId="366" priority="794" operator="greaterThanOrEqual">
      <formula>10</formula>
    </cfRule>
    <cfRule type="cellIs" dxfId="365" priority="795" operator="lessThan">
      <formula>10</formula>
    </cfRule>
  </conditionalFormatting>
  <conditionalFormatting sqref="AQ50:AS50">
    <cfRule type="cellIs" dxfId="364" priority="784" operator="greaterThanOrEqual">
      <formula>1000</formula>
    </cfRule>
    <cfRule type="cellIs" dxfId="363" priority="785" operator="greaterThanOrEqual">
      <formula>100</formula>
    </cfRule>
    <cfRule type="cellIs" dxfId="362" priority="786" operator="greaterThanOrEqual">
      <formula>10</formula>
    </cfRule>
    <cfRule type="cellIs" dxfId="361" priority="787" operator="lessThan">
      <formula>10</formula>
    </cfRule>
  </conditionalFormatting>
  <conditionalFormatting sqref="AQ51:AS51">
    <cfRule type="cellIs" dxfId="360" priority="780" operator="greaterThanOrEqual">
      <formula>1000</formula>
    </cfRule>
    <cfRule type="cellIs" dxfId="359" priority="781" operator="greaterThanOrEqual">
      <formula>100</formula>
    </cfRule>
    <cfRule type="cellIs" dxfId="358" priority="782" operator="greaterThanOrEqual">
      <formula>10</formula>
    </cfRule>
    <cfRule type="cellIs" dxfId="357" priority="783" operator="lessThan">
      <formula>10</formula>
    </cfRule>
  </conditionalFormatting>
  <conditionalFormatting sqref="S54:S63">
    <cfRule type="cellIs" dxfId="356" priority="760" operator="greaterThanOrEqual">
      <formula>1000</formula>
    </cfRule>
    <cfRule type="cellIs" dxfId="355" priority="761" operator="greaterThanOrEqual">
      <formula>100</formula>
    </cfRule>
    <cfRule type="cellIs" dxfId="354" priority="762" operator="greaterThanOrEqual">
      <formula>10</formula>
    </cfRule>
    <cfRule type="cellIs" dxfId="353" priority="763" operator="lessThan">
      <formula>10</formula>
    </cfRule>
  </conditionalFormatting>
  <conditionalFormatting sqref="V70:X70">
    <cfRule type="cellIs" dxfId="352" priority="744" operator="equal">
      <formula>"FAILED"</formula>
    </cfRule>
    <cfRule type="cellIs" dxfId="351" priority="745" operator="equal">
      <formula>"PASSED"</formula>
    </cfRule>
  </conditionalFormatting>
  <conditionalFormatting sqref="V69:X69">
    <cfRule type="cellIs" dxfId="350" priority="736" operator="greaterThanOrEqual">
      <formula>1000</formula>
    </cfRule>
    <cfRule type="cellIs" dxfId="349" priority="737" operator="greaterThanOrEqual">
      <formula>100</formula>
    </cfRule>
    <cfRule type="cellIs" dxfId="348" priority="738" operator="greaterThanOrEqual">
      <formula>10</formula>
    </cfRule>
    <cfRule type="cellIs" dxfId="347" priority="739" operator="lessThan">
      <formula>10</formula>
    </cfRule>
  </conditionalFormatting>
  <conditionalFormatting sqref="Y69:AA69">
    <cfRule type="cellIs" dxfId="346" priority="707" operator="greaterThanOrEqual">
      <formula>1000</formula>
    </cfRule>
    <cfRule type="cellIs" dxfId="345" priority="708" operator="greaterThanOrEqual">
      <formula>100</formula>
    </cfRule>
    <cfRule type="cellIs" dxfId="344" priority="709" operator="greaterThanOrEqual">
      <formula>10</formula>
    </cfRule>
    <cfRule type="cellIs" dxfId="343" priority="710" operator="lessThan">
      <formula>10</formula>
    </cfRule>
  </conditionalFormatting>
  <conditionalFormatting sqref="AB69:AD69">
    <cfRule type="cellIs" dxfId="342" priority="678" operator="greaterThanOrEqual">
      <formula>1000</formula>
    </cfRule>
    <cfRule type="cellIs" dxfId="341" priority="679" operator="greaterThanOrEqual">
      <formula>100</formula>
    </cfRule>
    <cfRule type="cellIs" dxfId="340" priority="680" operator="greaterThanOrEqual">
      <formula>10</formula>
    </cfRule>
    <cfRule type="cellIs" dxfId="339" priority="681" operator="lessThan">
      <formula>10</formula>
    </cfRule>
  </conditionalFormatting>
  <conditionalFormatting sqref="AE69:AG69">
    <cfRule type="cellIs" dxfId="338" priority="649" operator="greaterThanOrEqual">
      <formula>1000</formula>
    </cfRule>
    <cfRule type="cellIs" dxfId="337" priority="650" operator="greaterThanOrEqual">
      <formula>100</formula>
    </cfRule>
    <cfRule type="cellIs" dxfId="336" priority="651" operator="greaterThanOrEqual">
      <formula>10</formula>
    </cfRule>
    <cfRule type="cellIs" dxfId="335" priority="652" operator="lessThan">
      <formula>10</formula>
    </cfRule>
  </conditionalFormatting>
  <conditionalFormatting sqref="AH69:AJ69">
    <cfRule type="cellIs" dxfId="334" priority="620" operator="greaterThanOrEqual">
      <formula>1000</formula>
    </cfRule>
    <cfRule type="cellIs" dxfId="333" priority="621" operator="greaterThanOrEqual">
      <formula>100</formula>
    </cfRule>
    <cfRule type="cellIs" dxfId="332" priority="622" operator="greaterThanOrEqual">
      <formula>10</formula>
    </cfRule>
    <cfRule type="cellIs" dxfId="331" priority="623" operator="lessThan">
      <formula>10</formula>
    </cfRule>
  </conditionalFormatting>
  <conditionalFormatting sqref="AK69:AM69">
    <cfRule type="cellIs" dxfId="330" priority="591" operator="greaterThanOrEqual">
      <formula>1000</formula>
    </cfRule>
    <cfRule type="cellIs" dxfId="329" priority="592" operator="greaterThanOrEqual">
      <formula>100</formula>
    </cfRule>
    <cfRule type="cellIs" dxfId="328" priority="593" operator="greaterThanOrEqual">
      <formula>10</formula>
    </cfRule>
    <cfRule type="cellIs" dxfId="327" priority="594" operator="lessThan">
      <formula>10</formula>
    </cfRule>
  </conditionalFormatting>
  <conditionalFormatting sqref="S70:U70">
    <cfRule type="cellIs" dxfId="326" priority="514" operator="equal">
      <formula>"FAILED"</formula>
    </cfRule>
    <cfRule type="cellIs" dxfId="325" priority="515" operator="equal">
      <formula>"PASSED"</formula>
    </cfRule>
  </conditionalFormatting>
  <conditionalFormatting sqref="Y70:AA70">
    <cfRule type="cellIs" dxfId="324" priority="512" operator="equal">
      <formula>"FAILED"</formula>
    </cfRule>
    <cfRule type="cellIs" dxfId="323" priority="513" operator="equal">
      <formula>"PASSED"</formula>
    </cfRule>
  </conditionalFormatting>
  <conditionalFormatting sqref="AB70:AD70">
    <cfRule type="cellIs" dxfId="322" priority="510" operator="equal">
      <formula>"FAILED"</formula>
    </cfRule>
    <cfRule type="cellIs" dxfId="321" priority="511" operator="equal">
      <formula>"PASSED"</formula>
    </cfRule>
  </conditionalFormatting>
  <conditionalFormatting sqref="AE70:AG70">
    <cfRule type="cellIs" dxfId="320" priority="508" operator="equal">
      <formula>"FAILED"</formula>
    </cfRule>
    <cfRule type="cellIs" dxfId="319" priority="509" operator="equal">
      <formula>"PASSED"</formula>
    </cfRule>
  </conditionalFormatting>
  <conditionalFormatting sqref="AH70:AJ70">
    <cfRule type="cellIs" dxfId="318" priority="506" operator="equal">
      <formula>"FAILED"</formula>
    </cfRule>
    <cfRule type="cellIs" dxfId="317" priority="507" operator="equal">
      <formula>"PASSED"</formula>
    </cfRule>
  </conditionalFormatting>
  <conditionalFormatting sqref="AK70:AM70">
    <cfRule type="cellIs" dxfId="316" priority="504" operator="equal">
      <formula>"FAILED"</formula>
    </cfRule>
    <cfRule type="cellIs" dxfId="315" priority="505" operator="equal">
      <formula>"PASSED"</formula>
    </cfRule>
  </conditionalFormatting>
  <conditionalFormatting sqref="AK66:AM66">
    <cfRule type="cellIs" dxfId="314" priority="495" operator="greaterThanOrEqual">
      <formula>1000</formula>
    </cfRule>
    <cfRule type="cellIs" dxfId="313" priority="496" operator="greaterThanOrEqual">
      <formula>100</formula>
    </cfRule>
    <cfRule type="cellIs" dxfId="312" priority="497" operator="greaterThanOrEqual">
      <formula>10</formula>
    </cfRule>
    <cfRule type="cellIs" dxfId="311" priority="498" operator="lessThan">
      <formula>10</formula>
    </cfRule>
    <cfRule type="cellIs" dxfId="310" priority="499" operator="lessThanOrEqual">
      <formula>CT$67</formula>
    </cfRule>
  </conditionalFormatting>
  <conditionalFormatting sqref="AK68:AM68">
    <cfRule type="cellIs" dxfId="309" priority="490" operator="greaterThanOrEqual">
      <formula>1000</formula>
    </cfRule>
    <cfRule type="cellIs" dxfId="308" priority="491" operator="greaterThanOrEqual">
      <formula>100</formula>
    </cfRule>
    <cfRule type="cellIs" dxfId="307" priority="492" operator="greaterThanOrEqual">
      <formula>10</formula>
    </cfRule>
    <cfRule type="cellIs" dxfId="306" priority="493" operator="lessThan">
      <formula>10</formula>
    </cfRule>
    <cfRule type="cellIs" dxfId="305" priority="494" operator="lessThanOrEqual">
      <formula>CT$69</formula>
    </cfRule>
  </conditionalFormatting>
  <conditionalFormatting sqref="S52:S53">
    <cfRule type="cellIs" dxfId="304" priority="486" operator="greaterThanOrEqual">
      <formula>1000</formula>
    </cfRule>
    <cfRule type="cellIs" dxfId="303" priority="487" operator="greaterThanOrEqual">
      <formula>100</formula>
    </cfRule>
    <cfRule type="cellIs" dxfId="302" priority="488" operator="greaterThanOrEqual">
      <formula>10</formula>
    </cfRule>
    <cfRule type="cellIs" dxfId="301" priority="489" operator="lessThan">
      <formula>10</formula>
    </cfRule>
  </conditionalFormatting>
  <conditionalFormatting sqref="V52:V53">
    <cfRule type="cellIs" dxfId="300" priority="482" operator="greaterThanOrEqual">
      <formula>1000</formula>
    </cfRule>
    <cfRule type="cellIs" dxfId="299" priority="483" operator="greaterThanOrEqual">
      <formula>100</formula>
    </cfRule>
    <cfRule type="cellIs" dxfId="298" priority="484" operator="greaterThanOrEqual">
      <formula>10</formula>
    </cfRule>
    <cfRule type="cellIs" dxfId="297" priority="485" operator="lessThan">
      <formula>10</formula>
    </cfRule>
  </conditionalFormatting>
  <conditionalFormatting sqref="Y52:Y53">
    <cfRule type="cellIs" dxfId="296" priority="478" operator="greaterThanOrEqual">
      <formula>1000</formula>
    </cfRule>
    <cfRule type="cellIs" dxfId="295" priority="479" operator="greaterThanOrEqual">
      <formula>100</formula>
    </cfRule>
    <cfRule type="cellIs" dxfId="294" priority="480" operator="greaterThanOrEqual">
      <formula>10</formula>
    </cfRule>
    <cfRule type="cellIs" dxfId="293" priority="481" operator="lessThan">
      <formula>10</formula>
    </cfRule>
  </conditionalFormatting>
  <conditionalFormatting sqref="AE52:AE53">
    <cfRule type="cellIs" dxfId="292" priority="474" operator="greaterThanOrEqual">
      <formula>1000</formula>
    </cfRule>
    <cfRule type="cellIs" dxfId="291" priority="475" operator="greaterThanOrEqual">
      <formula>100</formula>
    </cfRule>
    <cfRule type="cellIs" dxfId="290" priority="476" operator="greaterThanOrEqual">
      <formula>10</formula>
    </cfRule>
    <cfRule type="cellIs" dxfId="289" priority="477" operator="lessThan">
      <formula>10</formula>
    </cfRule>
  </conditionalFormatting>
  <conditionalFormatting sqref="AH52:AH53">
    <cfRule type="cellIs" dxfId="288" priority="470" operator="greaterThanOrEqual">
      <formula>1000</formula>
    </cfRule>
    <cfRule type="cellIs" dxfId="287" priority="471" operator="greaterThanOrEqual">
      <formula>100</formula>
    </cfRule>
    <cfRule type="cellIs" dxfId="286" priority="472" operator="greaterThanOrEqual">
      <formula>10</formula>
    </cfRule>
    <cfRule type="cellIs" dxfId="285" priority="473" operator="lessThan">
      <formula>10</formula>
    </cfRule>
  </conditionalFormatting>
  <conditionalFormatting sqref="AK52:AK53">
    <cfRule type="cellIs" dxfId="284" priority="466" operator="greaterThanOrEqual">
      <formula>1000</formula>
    </cfRule>
    <cfRule type="cellIs" dxfId="283" priority="467" operator="greaterThanOrEqual">
      <formula>100</formula>
    </cfRule>
    <cfRule type="cellIs" dxfId="282" priority="468" operator="greaterThanOrEqual">
      <formula>10</formula>
    </cfRule>
    <cfRule type="cellIs" dxfId="281" priority="469" operator="lessThan">
      <formula>10</formula>
    </cfRule>
  </conditionalFormatting>
  <conditionalFormatting sqref="AN52:AN53">
    <cfRule type="cellIs" dxfId="280" priority="462" operator="greaterThanOrEqual">
      <formula>1000</formula>
    </cfRule>
    <cfRule type="cellIs" dxfId="279" priority="463" operator="greaterThanOrEqual">
      <formula>100</formula>
    </cfRule>
    <cfRule type="cellIs" dxfId="278" priority="464" operator="greaterThanOrEqual">
      <formula>10</formula>
    </cfRule>
    <cfRule type="cellIs" dxfId="277" priority="465" operator="lessThan">
      <formula>10</formula>
    </cfRule>
  </conditionalFormatting>
  <conditionalFormatting sqref="AQ52:AQ53">
    <cfRule type="cellIs" dxfId="276" priority="458" operator="greaterThanOrEqual">
      <formula>1000</formula>
    </cfRule>
    <cfRule type="cellIs" dxfId="275" priority="459" operator="greaterThanOrEqual">
      <formula>100</formula>
    </cfRule>
    <cfRule type="cellIs" dxfId="274" priority="460" operator="greaterThanOrEqual">
      <formula>10</formula>
    </cfRule>
    <cfRule type="cellIs" dxfId="273" priority="461" operator="lessThan">
      <formula>10</formula>
    </cfRule>
  </conditionalFormatting>
  <conditionalFormatting sqref="AN69:AP69">
    <cfRule type="cellIs" dxfId="272" priority="446" operator="greaterThanOrEqual">
      <formula>1000</formula>
    </cfRule>
    <cfRule type="cellIs" dxfId="271" priority="447" operator="greaterThanOrEqual">
      <formula>100</formula>
    </cfRule>
    <cfRule type="cellIs" dxfId="270" priority="448" operator="greaterThanOrEqual">
      <formula>10</formula>
    </cfRule>
    <cfRule type="cellIs" dxfId="269" priority="449" operator="lessThan">
      <formula>10</formula>
    </cfRule>
  </conditionalFormatting>
  <conditionalFormatting sqref="AN70:AP70">
    <cfRule type="cellIs" dxfId="268" priority="439" operator="equal">
      <formula>"FAILED"</formula>
    </cfRule>
    <cfRule type="cellIs" dxfId="267" priority="440" operator="equal">
      <formula>"PASSED"</formula>
    </cfRule>
  </conditionalFormatting>
  <conditionalFormatting sqref="AQ69:AS69">
    <cfRule type="cellIs" dxfId="266" priority="417" operator="greaterThanOrEqual">
      <formula>1000</formula>
    </cfRule>
    <cfRule type="cellIs" dxfId="265" priority="418" operator="greaterThanOrEqual">
      <formula>100</formula>
    </cfRule>
    <cfRule type="cellIs" dxfId="264" priority="419" operator="greaterThanOrEqual">
      <formula>10</formula>
    </cfRule>
    <cfRule type="cellIs" dxfId="263" priority="420" operator="lessThan">
      <formula>10</formula>
    </cfRule>
  </conditionalFormatting>
  <conditionalFormatting sqref="AQ70:AS70">
    <cfRule type="cellIs" dxfId="262" priority="410" operator="equal">
      <formula>"FAILED"</formula>
    </cfRule>
    <cfRule type="cellIs" dxfId="261" priority="411" operator="equal">
      <formula>"PASSED"</formula>
    </cfRule>
  </conditionalFormatting>
  <conditionalFormatting sqref="AK64:AM64">
    <cfRule type="cellIs" dxfId="260" priority="395" operator="greaterThanOrEqual">
      <formula>1000</formula>
    </cfRule>
    <cfRule type="cellIs" dxfId="259" priority="396" operator="greaterThanOrEqual">
      <formula>100</formula>
    </cfRule>
    <cfRule type="cellIs" dxfId="258" priority="397" operator="greaterThanOrEqual">
      <formula>10</formula>
    </cfRule>
    <cfRule type="cellIs" dxfId="257" priority="398" operator="lessThan">
      <formula>10</formula>
    </cfRule>
    <cfRule type="cellIs" dxfId="256" priority="399" operator="lessThanOrEqual">
      <formula>CT$65</formula>
    </cfRule>
  </conditionalFormatting>
  <conditionalFormatting sqref="AN65:AP65">
    <cfRule type="cellIs" dxfId="255" priority="381" operator="greaterThanOrEqual">
      <formula>1000</formula>
    </cfRule>
    <cfRule type="cellIs" dxfId="254" priority="382" operator="greaterThanOrEqual">
      <formula>100</formula>
    </cfRule>
    <cfRule type="cellIs" dxfId="253" priority="383" operator="greaterThanOrEqual">
      <formula>10</formula>
    </cfRule>
    <cfRule type="cellIs" dxfId="252" priority="384" operator="lessThan">
      <formula>10</formula>
    </cfRule>
  </conditionalFormatting>
  <conditionalFormatting sqref="AN67:AP67">
    <cfRule type="cellIs" dxfId="251" priority="377" operator="greaterThanOrEqual">
      <formula>1000</formula>
    </cfRule>
    <cfRule type="cellIs" dxfId="250" priority="378" operator="greaterThanOrEqual">
      <formula>100</formula>
    </cfRule>
    <cfRule type="cellIs" dxfId="249" priority="379" operator="greaterThanOrEqual">
      <formula>10</formula>
    </cfRule>
    <cfRule type="cellIs" dxfId="248" priority="380" operator="lessThan">
      <formula>10</formula>
    </cfRule>
  </conditionalFormatting>
  <conditionalFormatting sqref="AN66:AP66">
    <cfRule type="cellIs" dxfId="247" priority="372" operator="greaterThanOrEqual">
      <formula>1000</formula>
    </cfRule>
    <cfRule type="cellIs" dxfId="246" priority="373" operator="greaterThanOrEqual">
      <formula>100</formula>
    </cfRule>
    <cfRule type="cellIs" dxfId="245" priority="374" operator="greaterThanOrEqual">
      <formula>10</formula>
    </cfRule>
    <cfRule type="cellIs" dxfId="244" priority="375" operator="lessThan">
      <formula>10</formula>
    </cfRule>
    <cfRule type="cellIs" dxfId="243" priority="376" operator="lessThanOrEqual">
      <formula>CW$67</formula>
    </cfRule>
  </conditionalFormatting>
  <conditionalFormatting sqref="AN68:AP68">
    <cfRule type="cellIs" dxfId="242" priority="367" operator="greaterThanOrEqual">
      <formula>1000</formula>
    </cfRule>
    <cfRule type="cellIs" dxfId="241" priority="368" operator="greaterThanOrEqual">
      <formula>100</formula>
    </cfRule>
    <cfRule type="cellIs" dxfId="240" priority="369" operator="greaterThanOrEqual">
      <formula>10</formula>
    </cfRule>
    <cfRule type="cellIs" dxfId="239" priority="370" operator="lessThan">
      <formula>10</formula>
    </cfRule>
    <cfRule type="cellIs" dxfId="238" priority="371" operator="lessThanOrEqual">
      <formula>CW$69</formula>
    </cfRule>
  </conditionalFormatting>
  <conditionalFormatting sqref="AN64:AP64">
    <cfRule type="cellIs" dxfId="237" priority="362" operator="greaterThanOrEqual">
      <formula>1000</formula>
    </cfRule>
    <cfRule type="cellIs" dxfId="236" priority="363" operator="greaterThanOrEqual">
      <formula>100</formula>
    </cfRule>
    <cfRule type="cellIs" dxfId="235" priority="364" operator="greaterThanOrEqual">
      <formula>10</formula>
    </cfRule>
    <cfRule type="cellIs" dxfId="234" priority="365" operator="lessThan">
      <formula>10</formula>
    </cfRule>
    <cfRule type="cellIs" dxfId="233" priority="366" operator="lessThanOrEqual">
      <formula>CW$65</formula>
    </cfRule>
  </conditionalFormatting>
  <conditionalFormatting sqref="AQ66:AS66">
    <cfRule type="cellIs" dxfId="232" priority="349" operator="greaterThanOrEqual">
      <formula>1000</formula>
    </cfRule>
    <cfRule type="cellIs" dxfId="231" priority="350" operator="greaterThanOrEqual">
      <formula>100</formula>
    </cfRule>
    <cfRule type="cellIs" dxfId="230" priority="351" operator="greaterThanOrEqual">
      <formula>10</formula>
    </cfRule>
    <cfRule type="cellIs" dxfId="229" priority="352" operator="lessThan">
      <formula>10</formula>
    </cfRule>
    <cfRule type="cellIs" dxfId="228" priority="353" operator="lessThanOrEqual">
      <formula>CZ$67</formula>
    </cfRule>
  </conditionalFormatting>
  <conditionalFormatting sqref="AQ68:AS68">
    <cfRule type="cellIs" dxfId="227" priority="344" operator="greaterThanOrEqual">
      <formula>1000</formula>
    </cfRule>
    <cfRule type="cellIs" dxfId="226" priority="345" operator="greaterThanOrEqual">
      <formula>100</formula>
    </cfRule>
    <cfRule type="cellIs" dxfId="225" priority="346" operator="greaterThanOrEqual">
      <formula>10</formula>
    </cfRule>
    <cfRule type="cellIs" dxfId="224" priority="347" operator="lessThan">
      <formula>10</formula>
    </cfRule>
    <cfRule type="cellIs" dxfId="223" priority="348" operator="lessThanOrEqual">
      <formula>CZ$69</formula>
    </cfRule>
  </conditionalFormatting>
  <conditionalFormatting sqref="AQ64:AS64">
    <cfRule type="cellIs" dxfId="222" priority="339" operator="greaterThanOrEqual">
      <formula>1000</formula>
    </cfRule>
    <cfRule type="cellIs" dxfId="221" priority="340" operator="greaterThanOrEqual">
      <formula>100</formula>
    </cfRule>
    <cfRule type="cellIs" dxfId="220" priority="341" operator="greaterThanOrEqual">
      <formula>10</formula>
    </cfRule>
    <cfRule type="cellIs" dxfId="219" priority="342" operator="lessThan">
      <formula>10</formula>
    </cfRule>
    <cfRule type="cellIs" dxfId="218" priority="343" operator="lessThanOrEqual">
      <formula>CZ$65</formula>
    </cfRule>
  </conditionalFormatting>
  <conditionalFormatting sqref="AH66:AJ66">
    <cfRule type="cellIs" dxfId="217" priority="326" operator="greaterThanOrEqual">
      <formula>1000</formula>
    </cfRule>
    <cfRule type="cellIs" dxfId="216" priority="327" operator="greaterThanOrEqual">
      <formula>100</formula>
    </cfRule>
    <cfRule type="cellIs" dxfId="215" priority="328" operator="greaterThanOrEqual">
      <formula>10</formula>
    </cfRule>
    <cfRule type="cellIs" dxfId="214" priority="329" operator="lessThan">
      <formula>10</formula>
    </cfRule>
    <cfRule type="cellIs" dxfId="213" priority="330" operator="lessThanOrEqual">
      <formula>CQ$67</formula>
    </cfRule>
  </conditionalFormatting>
  <conditionalFormatting sqref="AH68:AJ68">
    <cfRule type="cellIs" dxfId="212" priority="321" operator="greaterThanOrEqual">
      <formula>1000</formula>
    </cfRule>
    <cfRule type="cellIs" dxfId="211" priority="322" operator="greaterThanOrEqual">
      <formula>100</formula>
    </cfRule>
    <cfRule type="cellIs" dxfId="210" priority="323" operator="greaterThanOrEqual">
      <formula>10</formula>
    </cfRule>
    <cfRule type="cellIs" dxfId="209" priority="324" operator="lessThan">
      <formula>10</formula>
    </cfRule>
    <cfRule type="cellIs" dxfId="208" priority="325" operator="lessThanOrEqual">
      <formula>CQ$69</formula>
    </cfRule>
  </conditionalFormatting>
  <conditionalFormatting sqref="AH64:AJ64">
    <cfRule type="cellIs" dxfId="207" priority="316" operator="greaterThanOrEqual">
      <formula>1000</formula>
    </cfRule>
    <cfRule type="cellIs" dxfId="206" priority="317" operator="greaterThanOrEqual">
      <formula>100</formula>
    </cfRule>
    <cfRule type="cellIs" dxfId="205" priority="318" operator="greaterThanOrEqual">
      <formula>10</formula>
    </cfRule>
    <cfRule type="cellIs" dxfId="204" priority="319" operator="lessThan">
      <formula>10</formula>
    </cfRule>
    <cfRule type="cellIs" dxfId="203" priority="320" operator="lessThanOrEqual">
      <formula>CQ$65</formula>
    </cfRule>
  </conditionalFormatting>
  <conditionalFormatting sqref="AE66:AG66">
    <cfRule type="cellIs" dxfId="202" priority="303" operator="greaterThanOrEqual">
      <formula>1000</formula>
    </cfRule>
    <cfRule type="cellIs" dxfId="201" priority="304" operator="greaterThanOrEqual">
      <formula>100</formula>
    </cfRule>
    <cfRule type="cellIs" dxfId="200" priority="305" operator="greaterThanOrEqual">
      <formula>10</formula>
    </cfRule>
    <cfRule type="cellIs" dxfId="199" priority="306" operator="lessThan">
      <formula>10</formula>
    </cfRule>
    <cfRule type="cellIs" dxfId="198" priority="307" operator="lessThanOrEqual">
      <formula>CN$67</formula>
    </cfRule>
  </conditionalFormatting>
  <conditionalFormatting sqref="AE68:AG68">
    <cfRule type="cellIs" dxfId="197" priority="298" operator="greaterThanOrEqual">
      <formula>1000</formula>
    </cfRule>
    <cfRule type="cellIs" dxfId="196" priority="299" operator="greaterThanOrEqual">
      <formula>100</formula>
    </cfRule>
    <cfRule type="cellIs" dxfId="195" priority="300" operator="greaterThanOrEqual">
      <formula>10</formula>
    </cfRule>
    <cfRule type="cellIs" dxfId="194" priority="301" operator="lessThan">
      <formula>10</formula>
    </cfRule>
    <cfRule type="cellIs" dxfId="193" priority="302" operator="lessThanOrEqual">
      <formula>CN$69</formula>
    </cfRule>
  </conditionalFormatting>
  <conditionalFormatting sqref="AE64:AG64">
    <cfRule type="cellIs" dxfId="192" priority="293" operator="greaterThanOrEqual">
      <formula>1000</formula>
    </cfRule>
    <cfRule type="cellIs" dxfId="191" priority="294" operator="greaterThanOrEqual">
      <formula>100</formula>
    </cfRule>
    <cfRule type="cellIs" dxfId="190" priority="295" operator="greaterThanOrEqual">
      <formula>10</formula>
    </cfRule>
    <cfRule type="cellIs" dxfId="189" priority="296" operator="lessThan">
      <formula>10</formula>
    </cfRule>
    <cfRule type="cellIs" dxfId="188" priority="297" operator="lessThanOrEqual">
      <formula>CN$65</formula>
    </cfRule>
  </conditionalFormatting>
  <conditionalFormatting sqref="AB66:AD66">
    <cfRule type="cellIs" dxfId="187" priority="280" operator="greaterThanOrEqual">
      <formula>1000</formula>
    </cfRule>
    <cfRule type="cellIs" dxfId="186" priority="281" operator="greaterThanOrEqual">
      <formula>100</formula>
    </cfRule>
    <cfRule type="cellIs" dxfId="185" priority="282" operator="greaterThanOrEqual">
      <formula>10</formula>
    </cfRule>
    <cfRule type="cellIs" dxfId="184" priority="283" operator="lessThan">
      <formula>10</formula>
    </cfRule>
    <cfRule type="cellIs" dxfId="183" priority="284" operator="lessThanOrEqual">
      <formula>CK$67</formula>
    </cfRule>
  </conditionalFormatting>
  <conditionalFormatting sqref="AB68:AD68">
    <cfRule type="cellIs" dxfId="182" priority="275" operator="greaterThanOrEqual">
      <formula>1000</formula>
    </cfRule>
    <cfRule type="cellIs" dxfId="181" priority="276" operator="greaterThanOrEqual">
      <formula>100</formula>
    </cfRule>
    <cfRule type="cellIs" dxfId="180" priority="277" operator="greaterThanOrEqual">
      <formula>10</formula>
    </cfRule>
    <cfRule type="cellIs" dxfId="179" priority="278" operator="lessThan">
      <formula>10</formula>
    </cfRule>
    <cfRule type="cellIs" dxfId="178" priority="279" operator="lessThanOrEqual">
      <formula>CK$69</formula>
    </cfRule>
  </conditionalFormatting>
  <conditionalFormatting sqref="AB64:AD64">
    <cfRule type="cellIs" dxfId="177" priority="270" operator="greaterThanOrEqual">
      <formula>1000</formula>
    </cfRule>
    <cfRule type="cellIs" dxfId="176" priority="271" operator="greaterThanOrEqual">
      <formula>100</formula>
    </cfRule>
    <cfRule type="cellIs" dxfId="175" priority="272" operator="greaterThanOrEqual">
      <formula>10</formula>
    </cfRule>
    <cfRule type="cellIs" dxfId="174" priority="273" operator="lessThan">
      <formula>10</formula>
    </cfRule>
    <cfRule type="cellIs" dxfId="173" priority="274" operator="lessThanOrEqual">
      <formula>CK$65</formula>
    </cfRule>
  </conditionalFormatting>
  <conditionalFormatting sqref="Y66:AA66">
    <cfRule type="cellIs" dxfId="172" priority="257" operator="greaterThanOrEqual">
      <formula>1000</formula>
    </cfRule>
    <cfRule type="cellIs" dxfId="171" priority="258" operator="greaterThanOrEqual">
      <formula>100</formula>
    </cfRule>
    <cfRule type="cellIs" dxfId="170" priority="259" operator="greaterThanOrEqual">
      <formula>10</formula>
    </cfRule>
    <cfRule type="cellIs" dxfId="169" priority="260" operator="lessThan">
      <formula>10</formula>
    </cfRule>
    <cfRule type="cellIs" dxfId="168" priority="261" operator="lessThanOrEqual">
      <formula>CH$67</formula>
    </cfRule>
  </conditionalFormatting>
  <conditionalFormatting sqref="Y68:AA68">
    <cfRule type="cellIs" dxfId="167" priority="252" operator="greaterThanOrEqual">
      <formula>1000</formula>
    </cfRule>
    <cfRule type="cellIs" dxfId="166" priority="253" operator="greaterThanOrEqual">
      <formula>100</formula>
    </cfRule>
    <cfRule type="cellIs" dxfId="165" priority="254" operator="greaterThanOrEqual">
      <formula>10</formula>
    </cfRule>
    <cfRule type="cellIs" dxfId="164" priority="255" operator="lessThan">
      <formula>10</formula>
    </cfRule>
    <cfRule type="cellIs" dxfId="163" priority="256" operator="lessThanOrEqual">
      <formula>CH$69</formula>
    </cfRule>
  </conditionalFormatting>
  <conditionalFormatting sqref="Y64:AA64">
    <cfRule type="cellIs" dxfId="162" priority="247" operator="greaterThanOrEqual">
      <formula>1000</formula>
    </cfRule>
    <cfRule type="cellIs" dxfId="161" priority="248" operator="greaterThanOrEqual">
      <formula>100</formula>
    </cfRule>
    <cfRule type="cellIs" dxfId="160" priority="249" operator="greaterThanOrEqual">
      <formula>10</formula>
    </cfRule>
    <cfRule type="cellIs" dxfId="159" priority="250" operator="lessThan">
      <formula>10</formula>
    </cfRule>
    <cfRule type="cellIs" dxfId="158" priority="251" operator="lessThanOrEqual">
      <formula>CH$65</formula>
    </cfRule>
  </conditionalFormatting>
  <conditionalFormatting sqref="V66:X66">
    <cfRule type="cellIs" dxfId="157" priority="234" operator="greaterThanOrEqual">
      <formula>1000</formula>
    </cfRule>
    <cfRule type="cellIs" dxfId="156" priority="235" operator="greaterThanOrEqual">
      <formula>100</formula>
    </cfRule>
    <cfRule type="cellIs" dxfId="155" priority="236" operator="greaterThanOrEqual">
      <formula>10</formula>
    </cfRule>
    <cfRule type="cellIs" dxfId="154" priority="237" operator="lessThan">
      <formula>10</formula>
    </cfRule>
    <cfRule type="cellIs" dxfId="153" priority="238" operator="lessThanOrEqual">
      <formula>CE$67</formula>
    </cfRule>
  </conditionalFormatting>
  <conditionalFormatting sqref="V68:X68">
    <cfRule type="cellIs" dxfId="152" priority="229" operator="greaterThanOrEqual">
      <formula>1000</formula>
    </cfRule>
    <cfRule type="cellIs" dxfId="151" priority="230" operator="greaterThanOrEqual">
      <formula>100</formula>
    </cfRule>
    <cfRule type="cellIs" dxfId="150" priority="231" operator="greaterThanOrEqual">
      <formula>10</formula>
    </cfRule>
    <cfRule type="cellIs" dxfId="149" priority="232" operator="lessThan">
      <formula>10</formula>
    </cfRule>
    <cfRule type="cellIs" dxfId="148" priority="233" operator="lessThanOrEqual">
      <formula>CE$69</formula>
    </cfRule>
  </conditionalFormatting>
  <conditionalFormatting sqref="V64:X64">
    <cfRule type="cellIs" dxfId="147" priority="224" operator="greaterThanOrEqual">
      <formula>1000</formula>
    </cfRule>
    <cfRule type="cellIs" dxfId="146" priority="225" operator="greaterThanOrEqual">
      <formula>100</formula>
    </cfRule>
    <cfRule type="cellIs" dxfId="145" priority="226" operator="greaterThanOrEqual">
      <formula>10</formula>
    </cfRule>
    <cfRule type="cellIs" dxfId="144" priority="227" operator="lessThan">
      <formula>10</formula>
    </cfRule>
    <cfRule type="cellIs" dxfId="143" priority="228" operator="lessThanOrEqual">
      <formula>CE$65</formula>
    </cfRule>
  </conditionalFormatting>
  <conditionalFormatting sqref="S66:U66">
    <cfRule type="cellIs" dxfId="142" priority="211" operator="greaterThanOrEqual">
      <formula>1000</formula>
    </cfRule>
    <cfRule type="cellIs" dxfId="141" priority="212" operator="greaterThanOrEqual">
      <formula>100</formula>
    </cfRule>
    <cfRule type="cellIs" dxfId="140" priority="213" operator="greaterThanOrEqual">
      <formula>10</formula>
    </cfRule>
    <cfRule type="cellIs" dxfId="139" priority="214" operator="lessThan">
      <formula>10</formula>
    </cfRule>
    <cfRule type="cellIs" dxfId="138" priority="215" operator="lessThanOrEqual">
      <formula>CB$67</formula>
    </cfRule>
  </conditionalFormatting>
  <conditionalFormatting sqref="S68:U68">
    <cfRule type="cellIs" dxfId="137" priority="206" operator="greaterThanOrEqual">
      <formula>1000</formula>
    </cfRule>
    <cfRule type="cellIs" dxfId="136" priority="207" operator="greaterThanOrEqual">
      <formula>100</formula>
    </cfRule>
    <cfRule type="cellIs" dxfId="135" priority="208" operator="greaterThanOrEqual">
      <formula>10</formula>
    </cfRule>
    <cfRule type="cellIs" dxfId="134" priority="209" operator="lessThan">
      <formula>10</formula>
    </cfRule>
    <cfRule type="cellIs" dxfId="133" priority="210" operator="lessThanOrEqual">
      <formula>CB$69</formula>
    </cfRule>
  </conditionalFormatting>
  <conditionalFormatting sqref="S64:U64">
    <cfRule type="cellIs" dxfId="132" priority="201" operator="greaterThanOrEqual">
      <formula>1000</formula>
    </cfRule>
    <cfRule type="cellIs" dxfId="131" priority="202" operator="greaterThanOrEqual">
      <formula>100</formula>
    </cfRule>
    <cfRule type="cellIs" dxfId="130" priority="203" operator="greaterThanOrEqual">
      <formula>10</formula>
    </cfRule>
    <cfRule type="cellIs" dxfId="129" priority="204" operator="lessThan">
      <formula>10</formula>
    </cfRule>
    <cfRule type="cellIs" dxfId="128" priority="205" operator="lessThanOrEqual">
      <formula>CB$65</formula>
    </cfRule>
  </conditionalFormatting>
  <conditionalFormatting sqref="AQ65:AS65">
    <cfRule type="cellIs" dxfId="127" priority="133" operator="greaterThanOrEqual">
      <formula>1000</formula>
    </cfRule>
    <cfRule type="cellIs" dxfId="126" priority="134" operator="greaterThanOrEqual">
      <formula>100</formula>
    </cfRule>
    <cfRule type="cellIs" dxfId="125" priority="135" operator="greaterThanOrEqual">
      <formula>10</formula>
    </cfRule>
    <cfRule type="cellIs" dxfId="124" priority="136" operator="lessThan">
      <formula>10</formula>
    </cfRule>
  </conditionalFormatting>
  <conditionalFormatting sqref="AK65:AM65">
    <cfRule type="cellIs" dxfId="123" priority="129" operator="greaterThanOrEqual">
      <formula>1000</formula>
    </cfRule>
    <cfRule type="cellIs" dxfId="122" priority="130" operator="greaterThanOrEqual">
      <formula>100</formula>
    </cfRule>
    <cfRule type="cellIs" dxfId="121" priority="131" operator="greaterThanOrEqual">
      <formula>10</formula>
    </cfRule>
    <cfRule type="cellIs" dxfId="120" priority="132" operator="lessThan">
      <formula>10</formula>
    </cfRule>
  </conditionalFormatting>
  <conditionalFormatting sqref="AH65:AJ65">
    <cfRule type="cellIs" dxfId="119" priority="125" operator="greaterThanOrEqual">
      <formula>1000</formula>
    </cfRule>
    <cfRule type="cellIs" dxfId="118" priority="126" operator="greaterThanOrEqual">
      <formula>100</formula>
    </cfRule>
    <cfRule type="cellIs" dxfId="117" priority="127" operator="greaterThanOrEqual">
      <formula>10</formula>
    </cfRule>
    <cfRule type="cellIs" dxfId="116" priority="128" operator="lessThan">
      <formula>10</formula>
    </cfRule>
  </conditionalFormatting>
  <conditionalFormatting sqref="AE65:AG65">
    <cfRule type="cellIs" dxfId="115" priority="121" operator="greaterThanOrEqual">
      <formula>1000</formula>
    </cfRule>
    <cfRule type="cellIs" dxfId="114" priority="122" operator="greaterThanOrEqual">
      <formula>100</formula>
    </cfRule>
    <cfRule type="cellIs" dxfId="113" priority="123" operator="greaterThanOrEqual">
      <formula>10</formula>
    </cfRule>
    <cfRule type="cellIs" dxfId="112" priority="124" operator="lessThan">
      <formula>10</formula>
    </cfRule>
  </conditionalFormatting>
  <conditionalFormatting sqref="AB65:AD65">
    <cfRule type="cellIs" dxfId="111" priority="117" operator="greaterThanOrEqual">
      <formula>1000</formula>
    </cfRule>
    <cfRule type="cellIs" dxfId="110" priority="118" operator="greaterThanOrEqual">
      <formula>100</formula>
    </cfRule>
    <cfRule type="cellIs" dxfId="109" priority="119" operator="greaterThanOrEqual">
      <formula>10</formula>
    </cfRule>
    <cfRule type="cellIs" dxfId="108" priority="120" operator="lessThan">
      <formula>10</formula>
    </cfRule>
  </conditionalFormatting>
  <conditionalFormatting sqref="Y65:AA65">
    <cfRule type="cellIs" dxfId="107" priority="113" operator="greaterThanOrEqual">
      <formula>1000</formula>
    </cfRule>
    <cfRule type="cellIs" dxfId="106" priority="114" operator="greaterThanOrEqual">
      <formula>100</formula>
    </cfRule>
    <cfRule type="cellIs" dxfId="105" priority="115" operator="greaterThanOrEqual">
      <formula>10</formula>
    </cfRule>
    <cfRule type="cellIs" dxfId="104" priority="116" operator="lessThan">
      <formula>10</formula>
    </cfRule>
  </conditionalFormatting>
  <conditionalFormatting sqref="V65:X65">
    <cfRule type="cellIs" dxfId="103" priority="109" operator="greaterThanOrEqual">
      <formula>1000</formula>
    </cfRule>
    <cfRule type="cellIs" dxfId="102" priority="110" operator="greaterThanOrEqual">
      <formula>100</formula>
    </cfRule>
    <cfRule type="cellIs" dxfId="101" priority="111" operator="greaterThanOrEqual">
      <formula>10</formula>
    </cfRule>
    <cfRule type="cellIs" dxfId="100" priority="112" operator="lessThan">
      <formula>10</formula>
    </cfRule>
  </conditionalFormatting>
  <conditionalFormatting sqref="S65:U65">
    <cfRule type="cellIs" dxfId="99" priority="105" operator="greaterThanOrEqual">
      <formula>1000</formula>
    </cfRule>
    <cfRule type="cellIs" dxfId="98" priority="106" operator="greaterThanOrEqual">
      <formula>100</formula>
    </cfRule>
    <cfRule type="cellIs" dxfId="97" priority="107" operator="greaterThanOrEqual">
      <formula>10</formula>
    </cfRule>
    <cfRule type="cellIs" dxfId="96" priority="108" operator="lessThan">
      <formula>10</formula>
    </cfRule>
  </conditionalFormatting>
  <conditionalFormatting sqref="AQ67:AS67">
    <cfRule type="cellIs" dxfId="95" priority="101" operator="greaterThanOrEqual">
      <formula>1000</formula>
    </cfRule>
    <cfRule type="cellIs" dxfId="94" priority="102" operator="greaterThanOrEqual">
      <formula>100</formula>
    </cfRule>
    <cfRule type="cellIs" dxfId="93" priority="103" operator="greaterThanOrEqual">
      <formula>10</formula>
    </cfRule>
    <cfRule type="cellIs" dxfId="92" priority="104" operator="lessThan">
      <formula>10</formula>
    </cfRule>
  </conditionalFormatting>
  <conditionalFormatting sqref="AK67:AM67">
    <cfRule type="cellIs" dxfId="91" priority="97" operator="greaterThanOrEqual">
      <formula>1000</formula>
    </cfRule>
    <cfRule type="cellIs" dxfId="90" priority="98" operator="greaterThanOrEqual">
      <formula>100</formula>
    </cfRule>
    <cfRule type="cellIs" dxfId="89" priority="99" operator="greaterThanOrEqual">
      <formula>10</formula>
    </cfRule>
    <cfRule type="cellIs" dxfId="88" priority="100" operator="lessThan">
      <formula>10</formula>
    </cfRule>
  </conditionalFormatting>
  <conditionalFormatting sqref="AH67:AJ67">
    <cfRule type="cellIs" dxfId="87" priority="93" operator="greaterThanOrEqual">
      <formula>1000</formula>
    </cfRule>
    <cfRule type="cellIs" dxfId="86" priority="94" operator="greaterThanOrEqual">
      <formula>100</formula>
    </cfRule>
    <cfRule type="cellIs" dxfId="85" priority="95" operator="greaterThanOrEqual">
      <formula>10</formula>
    </cfRule>
    <cfRule type="cellIs" dxfId="84" priority="96" operator="lessThan">
      <formula>10</formula>
    </cfRule>
  </conditionalFormatting>
  <conditionalFormatting sqref="AE67:AG67">
    <cfRule type="cellIs" dxfId="83" priority="89" operator="greaterThanOrEqual">
      <formula>1000</formula>
    </cfRule>
    <cfRule type="cellIs" dxfId="82" priority="90" operator="greaterThanOrEqual">
      <formula>100</formula>
    </cfRule>
    <cfRule type="cellIs" dxfId="81" priority="91" operator="greaterThanOrEqual">
      <formula>10</formula>
    </cfRule>
    <cfRule type="cellIs" dxfId="80" priority="92" operator="lessThan">
      <formula>10</formula>
    </cfRule>
  </conditionalFormatting>
  <conditionalFormatting sqref="AB67:AD67">
    <cfRule type="cellIs" dxfId="79" priority="85" operator="greaterThanOrEqual">
      <formula>1000</formula>
    </cfRule>
    <cfRule type="cellIs" dxfId="78" priority="86" operator="greaterThanOrEqual">
      <formula>100</formula>
    </cfRule>
    <cfRule type="cellIs" dxfId="77" priority="87" operator="greaterThanOrEqual">
      <formula>10</formula>
    </cfRule>
    <cfRule type="cellIs" dxfId="76" priority="88" operator="lessThan">
      <formula>10</formula>
    </cfRule>
  </conditionalFormatting>
  <conditionalFormatting sqref="Y67:AA67">
    <cfRule type="cellIs" dxfId="75" priority="81" operator="greaterThanOrEqual">
      <formula>1000</formula>
    </cfRule>
    <cfRule type="cellIs" dxfId="74" priority="82" operator="greaterThanOrEqual">
      <formula>100</formula>
    </cfRule>
    <cfRule type="cellIs" dxfId="73" priority="83" operator="greaterThanOrEqual">
      <formula>10</formula>
    </cfRule>
    <cfRule type="cellIs" dxfId="72" priority="84" operator="lessThan">
      <formula>10</formula>
    </cfRule>
  </conditionalFormatting>
  <conditionalFormatting sqref="V67:X67">
    <cfRule type="cellIs" dxfId="71" priority="77" operator="greaterThanOrEqual">
      <formula>1000</formula>
    </cfRule>
    <cfRule type="cellIs" dxfId="70" priority="78" operator="greaterThanOrEqual">
      <formula>100</formula>
    </cfRule>
    <cfRule type="cellIs" dxfId="69" priority="79" operator="greaterThanOrEqual">
      <formula>10</formula>
    </cfRule>
    <cfRule type="cellIs" dxfId="68" priority="80" operator="lessThan">
      <formula>10</formula>
    </cfRule>
  </conditionalFormatting>
  <conditionalFormatting sqref="S67:U67">
    <cfRule type="cellIs" dxfId="67" priority="73" operator="greaterThanOrEqual">
      <formula>1000</formula>
    </cfRule>
    <cfRule type="cellIs" dxfId="66" priority="74" operator="greaterThanOrEqual">
      <formula>100</formula>
    </cfRule>
    <cfRule type="cellIs" dxfId="65" priority="75" operator="greaterThanOrEqual">
      <formula>10</formula>
    </cfRule>
    <cfRule type="cellIs" dxfId="64" priority="76" operator="lessThan">
      <formula>10</formula>
    </cfRule>
  </conditionalFormatting>
  <conditionalFormatting sqref="AB46:AD46">
    <cfRule type="cellIs" dxfId="63" priority="69" operator="greaterThanOrEqual">
      <formula>1000</formula>
    </cfRule>
    <cfRule type="cellIs" dxfId="62" priority="70" operator="greaterThanOrEqual">
      <formula>100</formula>
    </cfRule>
    <cfRule type="cellIs" dxfId="61" priority="71" operator="greaterThanOrEqual">
      <formula>10</formula>
    </cfRule>
    <cfRule type="cellIs" dxfId="60" priority="72" operator="lessThan">
      <formula>10</formula>
    </cfRule>
  </conditionalFormatting>
  <conditionalFormatting sqref="AE46:AG46">
    <cfRule type="cellIs" dxfId="59" priority="65" operator="greaterThanOrEqual">
      <formula>1000</formula>
    </cfRule>
    <cfRule type="cellIs" dxfId="58" priority="66" operator="greaterThanOrEqual">
      <formula>100</formula>
    </cfRule>
    <cfRule type="cellIs" dxfId="57" priority="67" operator="greaterThanOrEqual">
      <formula>10</formula>
    </cfRule>
    <cfRule type="cellIs" dxfId="56" priority="68" operator="lessThan">
      <formula>10</formula>
    </cfRule>
  </conditionalFormatting>
  <conditionalFormatting sqref="AH46:AJ46">
    <cfRule type="cellIs" dxfId="55" priority="61" operator="greaterThanOrEqual">
      <formula>1000</formula>
    </cfRule>
    <cfRule type="cellIs" dxfId="54" priority="62" operator="greaterThanOrEqual">
      <formula>100</formula>
    </cfRule>
    <cfRule type="cellIs" dxfId="53" priority="63" operator="greaterThanOrEqual">
      <formula>10</formula>
    </cfRule>
    <cfRule type="cellIs" dxfId="52" priority="64" operator="lessThan">
      <formula>10</formula>
    </cfRule>
  </conditionalFormatting>
  <conditionalFormatting sqref="S44:U44">
    <cfRule type="cellIs" dxfId="51" priority="55" operator="equal">
      <formula>"L23"</formula>
    </cfRule>
    <cfRule type="cellIs" dxfId="50" priority="54" operator="equal">
      <formula>"L24"</formula>
    </cfRule>
    <cfRule type="cellIs" dxfId="49" priority="53" operator="equal">
      <formula>"L15"</formula>
    </cfRule>
  </conditionalFormatting>
  <conditionalFormatting sqref="V44:X44">
    <cfRule type="cellIs" dxfId="48" priority="49" operator="equal">
      <formula>"L15"</formula>
    </cfRule>
    <cfRule type="cellIs" dxfId="47" priority="50" operator="equal">
      <formula>"L24"</formula>
    </cfRule>
    <cfRule type="cellIs" dxfId="46" priority="51" operator="equal">
      <formula>"L23"</formula>
    </cfRule>
  </conditionalFormatting>
  <conditionalFormatting sqref="Y44:AA44">
    <cfRule type="cellIs" dxfId="45" priority="45" operator="equal">
      <formula>"L15"</formula>
    </cfRule>
    <cfRule type="cellIs" dxfId="44" priority="46" operator="equal">
      <formula>"L24"</formula>
    </cfRule>
    <cfRule type="cellIs" dxfId="43" priority="47" operator="equal">
      <formula>"L23"</formula>
    </cfRule>
  </conditionalFormatting>
  <conditionalFormatting sqref="AB44:AD44">
    <cfRule type="cellIs" dxfId="42" priority="41" operator="equal">
      <formula>"L15"</formula>
    </cfRule>
    <cfRule type="cellIs" dxfId="41" priority="42" operator="equal">
      <formula>"L24"</formula>
    </cfRule>
    <cfRule type="cellIs" dxfId="40" priority="43" operator="equal">
      <formula>"L23"</formula>
    </cfRule>
  </conditionalFormatting>
  <conditionalFormatting sqref="AE44:AG44">
    <cfRule type="cellIs" dxfId="39" priority="33" operator="equal">
      <formula>"L15"</formula>
    </cfRule>
    <cfRule type="cellIs" dxfId="38" priority="34" operator="equal">
      <formula>"L24"</formula>
    </cfRule>
    <cfRule type="cellIs" dxfId="37" priority="35" operator="equal">
      <formula>"L23"</formula>
    </cfRule>
  </conditionalFormatting>
  <conditionalFormatting sqref="AH44:AJ44">
    <cfRule type="cellIs" dxfId="36" priority="29" operator="equal">
      <formula>"L15"</formula>
    </cfRule>
    <cfRule type="cellIs" dxfId="35" priority="30" operator="equal">
      <formula>"L24"</formula>
    </cfRule>
    <cfRule type="cellIs" dxfId="34" priority="31" operator="equal">
      <formula>"L23"</formula>
    </cfRule>
  </conditionalFormatting>
  <conditionalFormatting sqref="AK44:AM44">
    <cfRule type="cellIs" dxfId="33" priority="25" operator="equal">
      <formula>"L15"</formula>
    </cfRule>
    <cfRule type="cellIs" dxfId="32" priority="26" operator="equal">
      <formula>"L24"</formula>
    </cfRule>
    <cfRule type="cellIs" dxfId="31" priority="27" operator="equal">
      <formula>"L23"</formula>
    </cfRule>
  </conditionalFormatting>
  <conditionalFormatting sqref="AN44:AP44">
    <cfRule type="cellIs" dxfId="30" priority="21" operator="equal">
      <formula>"L15"</formula>
    </cfRule>
    <cfRule type="cellIs" dxfId="29" priority="22" operator="equal">
      <formula>"L24"</formula>
    </cfRule>
    <cfRule type="cellIs" dxfId="28" priority="23" operator="equal">
      <formula>"L23"</formula>
    </cfRule>
  </conditionalFormatting>
  <conditionalFormatting sqref="AQ44:AS44">
    <cfRule type="cellIs" dxfId="27" priority="17" operator="equal">
      <formula>"L15"</formula>
    </cfRule>
    <cfRule type="cellIs" dxfId="26" priority="18" operator="equal">
      <formula>"L24"</formula>
    </cfRule>
    <cfRule type="cellIs" dxfId="25" priority="19" operator="equal">
      <formula>"L23"</formula>
    </cfRule>
  </conditionalFormatting>
  <conditionalFormatting sqref="P23:R23">
    <cfRule type="cellIs" dxfId="24" priority="13" operator="greaterThanOrEqual">
      <formula>1000</formula>
    </cfRule>
    <cfRule type="cellIs" dxfId="23" priority="14" operator="greaterThanOrEqual">
      <formula>100</formula>
    </cfRule>
    <cfRule type="cellIs" dxfId="22" priority="15" operator="greaterThanOrEqual">
      <formula>10</formula>
    </cfRule>
    <cfRule type="cellIs" dxfId="21" priority="16" operator="lessThan">
      <formula>10</formula>
    </cfRule>
  </conditionalFormatting>
  <conditionalFormatting sqref="P24:R24">
    <cfRule type="cellIs" dxfId="20" priority="9" operator="greaterThanOrEqual">
      <formula>1000</formula>
    </cfRule>
    <cfRule type="cellIs" dxfId="19" priority="10" operator="greaterThanOrEqual">
      <formula>100</formula>
    </cfRule>
    <cfRule type="cellIs" dxfId="18" priority="11" operator="greaterThanOrEqual">
      <formula>10</formula>
    </cfRule>
    <cfRule type="cellIs" dxfId="17" priority="12" operator="lessThan">
      <formula>10</formula>
    </cfRule>
  </conditionalFormatting>
  <conditionalFormatting sqref="P25:R25">
    <cfRule type="cellIs" dxfId="16" priority="5" operator="greaterThanOrEqual">
      <formula>1000</formula>
    </cfRule>
    <cfRule type="cellIs" dxfId="15" priority="6" operator="greaterThanOrEqual">
      <formula>100</formula>
    </cfRule>
    <cfRule type="cellIs" dxfId="14" priority="7" operator="greaterThanOrEqual">
      <formula>10</formula>
    </cfRule>
    <cfRule type="cellIs" dxfId="13" priority="8" operator="lessThan">
      <formula>10</formula>
    </cfRule>
  </conditionalFormatting>
  <conditionalFormatting sqref="P28:R28">
    <cfRule type="cellIs" dxfId="12" priority="1" operator="greaterThanOrEqual">
      <formula>1000</formula>
    </cfRule>
    <cfRule type="cellIs" dxfId="11" priority="2" operator="greaterThanOrEqual">
      <formula>100</formula>
    </cfRule>
    <cfRule type="cellIs" dxfId="10" priority="3" operator="greaterThanOrEqual">
      <formula>10</formula>
    </cfRule>
    <cfRule type="cellIs" dxfId="9" priority="4" operator="lessThan">
      <formula>10</formula>
    </cfRule>
  </conditionalFormatting>
  <dataValidations count="7">
    <dataValidation type="list" allowBlank="1" showInputMessage="1" showErrorMessage="1" sqref="AA8">
      <formula1>$BD$8</formula1>
    </dataValidation>
    <dataValidation type="list" allowBlank="1" showInputMessage="1" showErrorMessage="1" sqref="AM34:AN34 AJ35:AN35">
      <formula1>$CC$32:$CC$35</formula1>
    </dataValidation>
    <dataValidation type="list" allowBlank="1" showInputMessage="1" showErrorMessage="1" sqref="P35:R35">
      <formula1>$CC$31:$CC$35</formula1>
    </dataValidation>
    <dataValidation type="list" allowBlank="1" showInputMessage="1" showErrorMessage="1" sqref="P34">
      <formula1>$CB$24:$CB$26</formula1>
    </dataValidation>
    <dataValidation type="list" allowBlank="1" showInputMessage="1" showErrorMessage="1" sqref="AQ5">
      <formula1>$BE$11:$BE$60</formula1>
    </dataValidation>
    <dataValidation type="list" allowBlank="1" showInputMessage="1" showErrorMessage="1" sqref="S45:AS45">
      <formula1>"(EXP),(SUS),(OCC),(OPE),(FAT),(HYD)"</formula1>
    </dataValidation>
    <dataValidation type="list" allowBlank="1" showInputMessage="1" showErrorMessage="1" sqref="S44:AS44">
      <formula1>"L3,L90,L91,L97,L98,L99,L23,L24,L15"</formula1>
    </dataValidation>
  </dataValidations>
  <pageMargins left="0.94488188976377963" right="0" top="0.15748031496062992" bottom="0.35433070866141736" header="0" footer="0"/>
  <pageSetup paperSize="9" orientation="portrait" r:id="rId1"/>
  <headerFooter>
    <oddFooter>&amp;L&amp;8&amp;D&amp;R&amp;8&amp;F</oddFooter>
  </headerFooter>
  <drawing r:id="rId2"/>
  <extLst>
    <ext xmlns:x14="http://schemas.microsoft.com/office/spreadsheetml/2009/9/main" uri="{78C0D931-6437-407d-A8EE-F0AAD7539E65}">
      <x14:conditionalFormattings>
        <x14:conditionalFormatting xmlns:xm="http://schemas.microsoft.com/office/excel/2006/main">
          <x14:cfRule type="notContainsText" priority="1179" operator="notContains" id="{DACA4D22-A580-4248-BED8-54BC2A42C9D1}">
            <xm:f>ISERROR(SEARCH(CB$44,S44))</xm:f>
            <xm:f>CB$44</xm:f>
            <x14:dxf>
              <font>
                <b/>
                <i val="0"/>
                <color rgb="FFFF0000"/>
              </font>
            </x14:dxf>
          </x14:cfRule>
          <xm:sqref>S44</xm:sqref>
        </x14:conditionalFormatting>
        <x14:conditionalFormatting xmlns:xm="http://schemas.microsoft.com/office/excel/2006/main">
          <x14:cfRule type="notContainsText" priority="52" operator="notContains" id="{989BAD2C-5104-46CC-A1B0-8D3C24C4779B}">
            <xm:f>ISERROR(SEARCH(CE$44,V44))</xm:f>
            <xm:f>CE$44</xm:f>
            <x14:dxf>
              <font>
                <b/>
                <i val="0"/>
                <color rgb="FFFF0000"/>
              </font>
            </x14:dxf>
          </x14:cfRule>
          <xm:sqref>V44</xm:sqref>
        </x14:conditionalFormatting>
        <x14:conditionalFormatting xmlns:xm="http://schemas.microsoft.com/office/excel/2006/main">
          <x14:cfRule type="notContainsText" priority="48" operator="notContains" id="{40B2970D-9E8A-433D-9B01-BD820755298F}">
            <xm:f>ISERROR(SEARCH(CH$44,Y44))</xm:f>
            <xm:f>CH$44</xm:f>
            <x14:dxf>
              <font>
                <b/>
                <i val="0"/>
                <color rgb="FFFF0000"/>
              </font>
            </x14:dxf>
          </x14:cfRule>
          <xm:sqref>Y44</xm:sqref>
        </x14:conditionalFormatting>
        <x14:conditionalFormatting xmlns:xm="http://schemas.microsoft.com/office/excel/2006/main">
          <x14:cfRule type="notContainsText" priority="44" operator="notContains" id="{D971228B-86C6-4EA0-A55C-B5857A05A8D5}">
            <xm:f>ISERROR(SEARCH(CK$44,AB44))</xm:f>
            <xm:f>CK$44</xm:f>
            <x14:dxf>
              <font>
                <b/>
                <i val="0"/>
                <color rgb="FFFF0000"/>
              </font>
            </x14:dxf>
          </x14:cfRule>
          <xm:sqref>AB44</xm:sqref>
        </x14:conditionalFormatting>
        <x14:conditionalFormatting xmlns:xm="http://schemas.microsoft.com/office/excel/2006/main">
          <x14:cfRule type="notContainsText" priority="36" operator="notContains" id="{4753EE91-3FFA-4317-B7CA-80C437640643}">
            <xm:f>ISERROR(SEARCH(CN$44,AE44))</xm:f>
            <xm:f>CN$44</xm:f>
            <x14:dxf>
              <font>
                <b/>
                <i val="0"/>
                <color rgb="FFFF0000"/>
              </font>
            </x14:dxf>
          </x14:cfRule>
          <xm:sqref>AE44</xm:sqref>
        </x14:conditionalFormatting>
        <x14:conditionalFormatting xmlns:xm="http://schemas.microsoft.com/office/excel/2006/main">
          <x14:cfRule type="notContainsText" priority="32" operator="notContains" id="{F015F12F-86E5-4241-A768-650E0645C839}">
            <xm:f>ISERROR(SEARCH(CQ$44,AH44))</xm:f>
            <xm:f>CQ$44</xm:f>
            <x14:dxf>
              <font>
                <b/>
                <i val="0"/>
                <color rgb="FFFF0000"/>
              </font>
            </x14:dxf>
          </x14:cfRule>
          <xm:sqref>AH44</xm:sqref>
        </x14:conditionalFormatting>
        <x14:conditionalFormatting xmlns:xm="http://schemas.microsoft.com/office/excel/2006/main">
          <x14:cfRule type="notContainsText" priority="28" operator="notContains" id="{44BC70EA-D3BC-40FF-89BF-423B9F516E91}">
            <xm:f>ISERROR(SEARCH(CT$44,AK44))</xm:f>
            <xm:f>CT$44</xm:f>
            <x14:dxf>
              <font>
                <b/>
                <i val="0"/>
                <color rgb="FFFF0000"/>
              </font>
            </x14:dxf>
          </x14:cfRule>
          <xm:sqref>AK44</xm:sqref>
        </x14:conditionalFormatting>
        <x14:conditionalFormatting xmlns:xm="http://schemas.microsoft.com/office/excel/2006/main">
          <x14:cfRule type="notContainsText" priority="24" operator="notContains" id="{53DFFCFB-EDDF-4D2D-A114-5CACC31268A2}">
            <xm:f>ISERROR(SEARCH(CW$44,AN44))</xm:f>
            <xm:f>CW$44</xm:f>
            <x14:dxf>
              <font>
                <b/>
                <i val="0"/>
                <color rgb="FFFF0000"/>
              </font>
            </x14:dxf>
          </x14:cfRule>
          <xm:sqref>AN44</xm:sqref>
        </x14:conditionalFormatting>
        <x14:conditionalFormatting xmlns:xm="http://schemas.microsoft.com/office/excel/2006/main">
          <x14:cfRule type="notContainsText" priority="20" operator="notContains" id="{CA514DD0-0771-4F98-83F3-37529986AA0C}">
            <xm:f>ISERROR(SEARCH(CZ$44,AQ44))</xm:f>
            <xm:f>CZ$44</xm:f>
            <x14:dxf>
              <font>
                <b/>
                <i val="0"/>
                <color rgb="FFFF0000"/>
              </font>
            </x14:dxf>
          </x14:cfRule>
          <xm:sqref>AQ44</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14:formula1>
            <xm:f>'Pipe Schedules'!$A$7:$A$48</xm:f>
          </x14:formula1>
          <xm:sqref>P8 S17:T19 P17:R17</xm:sqref>
        </x14:dataValidation>
        <x14:dataValidation type="list" allowBlank="1" showInputMessage="1" showErrorMessage="1">
          <x14:formula1>
            <xm:f>'Pipe Schedules'!$C$6:$T$6</xm:f>
          </x14:formula1>
          <xm:sqref>P11 P20:R20 S20:T22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Z884"/>
  <sheetViews>
    <sheetView workbookViewId="0">
      <selection activeCell="P1" sqref="P1"/>
    </sheetView>
  </sheetViews>
  <sheetFormatPr defaultRowHeight="10.199999999999999" customHeight="1"/>
  <cols>
    <col min="1" max="15" width="8.88671875" style="94"/>
    <col min="16" max="17" width="8.88671875" style="164"/>
    <col min="18" max="18" width="8.88671875" style="164" customWidth="1"/>
    <col min="19" max="26" width="8.88671875" style="164"/>
    <col min="27" max="16384" width="8.88671875" style="94"/>
  </cols>
  <sheetData>
    <row r="1" spans="2:26" ht="10.199999999999999" customHeight="1">
      <c r="B1" s="94" t="s">
        <v>144</v>
      </c>
      <c r="C1" s="94" t="s">
        <v>145</v>
      </c>
      <c r="D1" s="94" t="s">
        <v>146</v>
      </c>
      <c r="E1" s="94" t="s">
        <v>147</v>
      </c>
      <c r="F1" s="94" t="s">
        <v>148</v>
      </c>
      <c r="G1" s="94" t="s">
        <v>149</v>
      </c>
      <c r="H1" s="94" t="s">
        <v>150</v>
      </c>
      <c r="I1" s="94" t="s">
        <v>151</v>
      </c>
      <c r="J1" s="94" t="s">
        <v>152</v>
      </c>
      <c r="P1" s="167"/>
      <c r="Q1" s="167"/>
      <c r="R1" s="167"/>
      <c r="S1" s="167"/>
      <c r="T1" s="167"/>
      <c r="U1" s="167"/>
      <c r="V1" s="167"/>
      <c r="W1" s="167"/>
      <c r="X1" s="167"/>
      <c r="Y1" s="167"/>
      <c r="Z1" s="167"/>
    </row>
    <row r="2" spans="2:26" ht="10.199999999999999" customHeight="1">
      <c r="B2" s="94" t="s">
        <v>153</v>
      </c>
      <c r="C2" s="94" t="s">
        <v>154</v>
      </c>
      <c r="D2" s="94" t="s">
        <v>154</v>
      </c>
      <c r="E2" s="94" t="s">
        <v>155</v>
      </c>
      <c r="F2" s="94" t="s">
        <v>155</v>
      </c>
      <c r="G2" s="94" t="s">
        <v>156</v>
      </c>
      <c r="H2" s="94" t="s">
        <v>157</v>
      </c>
      <c r="I2" s="94" t="s">
        <v>158</v>
      </c>
      <c r="J2" s="94" t="s">
        <v>159</v>
      </c>
      <c r="K2" s="94" t="s">
        <v>160</v>
      </c>
      <c r="L2" s="94" t="s">
        <v>161</v>
      </c>
      <c r="P2" s="167"/>
      <c r="Q2" s="167"/>
      <c r="R2" s="167"/>
      <c r="S2" s="167"/>
      <c r="T2" s="167"/>
      <c r="U2" s="167"/>
      <c r="V2" s="167"/>
      <c r="W2" s="167"/>
      <c r="X2" s="167"/>
      <c r="Y2" s="167"/>
      <c r="Z2" s="167"/>
    </row>
    <row r="3" spans="2:26" ht="10.199999999999999" customHeight="1">
      <c r="P3" s="167"/>
      <c r="Q3" s="167"/>
      <c r="R3" s="167"/>
      <c r="S3" s="167"/>
      <c r="T3" s="167"/>
      <c r="U3" s="167"/>
      <c r="V3" s="167"/>
      <c r="W3" s="167"/>
      <c r="X3" s="167"/>
      <c r="Y3" s="167"/>
      <c r="Z3" s="167"/>
    </row>
    <row r="4" spans="2:26" ht="10.199999999999999" customHeight="1">
      <c r="B4" s="94" t="s">
        <v>162</v>
      </c>
      <c r="C4" s="95" t="str">
        <f ca="1">IF(P1="","","L"&amp;MID(INDIRECT("P"&amp;L4),6,2))</f>
        <v/>
      </c>
      <c r="D4" s="95" t="str">
        <f ca="1">IF(P1="","",MID(INDIRECT("P"&amp;L4),SEARCH("(",INDIRECT("P"&amp;L4),1)+1,3))</f>
        <v/>
      </c>
      <c r="E4" s="95" t="str">
        <f ca="1">IF(P1="","",MID(INDIRECT("P"&amp;L4),SEARCH(")",INDIRECT("P"&amp;L4),1)+2,LEN(INDIRECT("P"&amp;L4))))</f>
        <v/>
      </c>
      <c r="F4" s="95"/>
      <c r="G4" s="95"/>
      <c r="H4" s="95"/>
      <c r="I4" s="95"/>
      <c r="J4" s="95"/>
      <c r="K4" s="95"/>
      <c r="L4" s="95" t="str">
        <f>IF(P1="","",MATCH("CASE*",P1:P10,0))</f>
        <v/>
      </c>
      <c r="M4" s="96">
        <f>ROUND(COUNT(P:P)*1.6,0)</f>
        <v>0</v>
      </c>
      <c r="P4" s="167"/>
      <c r="Q4" s="167"/>
      <c r="R4" s="167"/>
      <c r="S4" s="167"/>
      <c r="T4" s="167"/>
      <c r="U4" s="167"/>
      <c r="V4" s="167"/>
      <c r="W4" s="167"/>
      <c r="X4" s="167"/>
      <c r="Y4" s="167"/>
      <c r="Z4" s="167"/>
    </row>
    <row r="5" spans="2:26" ht="10.199999999999999" customHeight="1">
      <c r="P5" s="167"/>
      <c r="Q5" s="167"/>
      <c r="R5" s="167"/>
      <c r="S5" s="167"/>
      <c r="T5" s="167"/>
      <c r="U5" s="167"/>
      <c r="V5" s="167"/>
      <c r="W5" s="167"/>
      <c r="X5" s="167"/>
      <c r="Y5" s="167"/>
      <c r="Z5" s="167"/>
    </row>
    <row r="6" spans="2:26" ht="10.199999999999999" customHeight="1">
      <c r="B6" s="97" t="str">
        <f>IF(Calculation!BE11="","",Calculation!BE11)</f>
        <v/>
      </c>
      <c r="C6" s="96" t="str">
        <f t="shared" ref="C6:L21" ca="1" si="0">IF($M$4=0,"",VLOOKUP($B6,INDIRECT("$P$1:$Z$"&amp;$M$4),COLUMN()-1,0))</f>
        <v/>
      </c>
      <c r="D6" s="96" t="str">
        <f t="shared" ca="1" si="0"/>
        <v/>
      </c>
      <c r="E6" s="96" t="str">
        <f t="shared" ca="1" si="0"/>
        <v/>
      </c>
      <c r="F6" s="96" t="str">
        <f t="shared" ca="1" si="0"/>
        <v/>
      </c>
      <c r="G6" s="96" t="str">
        <f t="shared" ca="1" si="0"/>
        <v/>
      </c>
      <c r="H6" s="96" t="str">
        <f t="shared" ca="1" si="0"/>
        <v/>
      </c>
      <c r="I6" s="96" t="str">
        <f t="shared" ca="1" si="0"/>
        <v/>
      </c>
      <c r="J6" s="96" t="str">
        <f t="shared" ca="1" si="0"/>
        <v/>
      </c>
      <c r="K6" s="96" t="str">
        <f t="shared" ca="1" si="0"/>
        <v/>
      </c>
      <c r="L6" s="96" t="str">
        <f t="shared" ca="1" si="0"/>
        <v/>
      </c>
      <c r="P6" s="167"/>
      <c r="Q6" s="167"/>
      <c r="R6" s="167"/>
      <c r="S6" s="167"/>
      <c r="T6" s="167"/>
      <c r="U6" s="167"/>
      <c r="V6" s="167"/>
      <c r="W6" s="167"/>
      <c r="X6" s="167"/>
      <c r="Y6" s="167"/>
      <c r="Z6" s="167"/>
    </row>
    <row r="7" spans="2:26" ht="10.199999999999999" customHeight="1">
      <c r="B7" s="97" t="str">
        <f>IF(Calculation!BE12="","",Calculation!BE12)</f>
        <v/>
      </c>
      <c r="C7" s="96" t="str">
        <f t="shared" ca="1" si="0"/>
        <v/>
      </c>
      <c r="D7" s="96" t="str">
        <f t="shared" ca="1" si="0"/>
        <v/>
      </c>
      <c r="E7" s="96" t="str">
        <f t="shared" ca="1" si="0"/>
        <v/>
      </c>
      <c r="F7" s="96" t="str">
        <f t="shared" ca="1" si="0"/>
        <v/>
      </c>
      <c r="G7" s="96" t="str">
        <f t="shared" ca="1" si="0"/>
        <v/>
      </c>
      <c r="H7" s="96" t="str">
        <f t="shared" ca="1" si="0"/>
        <v/>
      </c>
      <c r="I7" s="96" t="str">
        <f t="shared" ca="1" si="0"/>
        <v/>
      </c>
      <c r="J7" s="96" t="str">
        <f t="shared" ca="1" si="0"/>
        <v/>
      </c>
      <c r="K7" s="96" t="str">
        <f t="shared" ca="1" si="0"/>
        <v/>
      </c>
      <c r="L7" s="96" t="str">
        <f t="shared" ca="1" si="0"/>
        <v/>
      </c>
      <c r="P7" s="167"/>
      <c r="Q7" s="167"/>
      <c r="R7" s="167"/>
      <c r="S7" s="167"/>
      <c r="T7" s="167"/>
      <c r="U7" s="167"/>
      <c r="V7" s="167"/>
      <c r="W7" s="167"/>
      <c r="X7" s="167"/>
      <c r="Y7" s="167"/>
      <c r="Z7" s="167"/>
    </row>
    <row r="8" spans="2:26" ht="10.199999999999999" customHeight="1">
      <c r="B8" s="97" t="str">
        <f>IF(Calculation!BE13="","",Calculation!BE13)</f>
        <v/>
      </c>
      <c r="C8" s="96" t="str">
        <f t="shared" ca="1" si="0"/>
        <v/>
      </c>
      <c r="D8" s="96" t="str">
        <f t="shared" ca="1" si="0"/>
        <v/>
      </c>
      <c r="E8" s="96" t="str">
        <f t="shared" ca="1" si="0"/>
        <v/>
      </c>
      <c r="F8" s="96" t="str">
        <f t="shared" ca="1" si="0"/>
        <v/>
      </c>
      <c r="G8" s="96" t="str">
        <f t="shared" ca="1" si="0"/>
        <v/>
      </c>
      <c r="H8" s="96" t="str">
        <f t="shared" ca="1" si="0"/>
        <v/>
      </c>
      <c r="I8" s="96" t="str">
        <f t="shared" ca="1" si="0"/>
        <v/>
      </c>
      <c r="J8" s="96" t="str">
        <f t="shared" ca="1" si="0"/>
        <v/>
      </c>
      <c r="K8" s="96" t="str">
        <f t="shared" ca="1" si="0"/>
        <v/>
      </c>
      <c r="L8" s="96" t="str">
        <f t="shared" ca="1" si="0"/>
        <v/>
      </c>
      <c r="P8" s="168"/>
      <c r="Q8" s="168"/>
      <c r="R8" s="168"/>
      <c r="S8" s="168"/>
      <c r="T8" s="168"/>
      <c r="U8" s="168"/>
      <c r="V8" s="168"/>
      <c r="W8" s="168"/>
      <c r="X8" s="168"/>
      <c r="Y8" s="168"/>
      <c r="Z8" s="168"/>
    </row>
    <row r="9" spans="2:26" ht="10.199999999999999" customHeight="1">
      <c r="B9" s="97" t="str">
        <f>IF(Calculation!BE14="","",Calculation!BE14)</f>
        <v/>
      </c>
      <c r="C9" s="96" t="str">
        <f t="shared" ca="1" si="0"/>
        <v/>
      </c>
      <c r="D9" s="96" t="str">
        <f t="shared" ca="1" si="0"/>
        <v/>
      </c>
      <c r="E9" s="96" t="str">
        <f t="shared" ca="1" si="0"/>
        <v/>
      </c>
      <c r="F9" s="96" t="str">
        <f t="shared" ca="1" si="0"/>
        <v/>
      </c>
      <c r="G9" s="96" t="str">
        <f t="shared" ca="1" si="0"/>
        <v/>
      </c>
      <c r="H9" s="96" t="str">
        <f t="shared" ca="1" si="0"/>
        <v/>
      </c>
      <c r="I9" s="96" t="str">
        <f t="shared" ca="1" si="0"/>
        <v/>
      </c>
      <c r="J9" s="96" t="str">
        <f t="shared" ca="1" si="0"/>
        <v/>
      </c>
      <c r="K9" s="96" t="str">
        <f t="shared" ca="1" si="0"/>
        <v/>
      </c>
      <c r="L9" s="96" t="str">
        <f t="shared" ca="1" si="0"/>
        <v/>
      </c>
      <c r="P9" s="167"/>
      <c r="Q9" s="167"/>
      <c r="R9" s="167"/>
      <c r="S9" s="167"/>
      <c r="T9" s="167"/>
      <c r="U9" s="167"/>
      <c r="V9" s="167"/>
      <c r="W9" s="167"/>
      <c r="X9" s="167"/>
      <c r="Y9" s="167"/>
      <c r="Z9" s="167"/>
    </row>
    <row r="10" spans="2:26" ht="10.199999999999999" customHeight="1">
      <c r="B10" s="97" t="str">
        <f>IF(Calculation!BE15="","",Calculation!BE15)</f>
        <v/>
      </c>
      <c r="C10" s="96" t="str">
        <f t="shared" ca="1" si="0"/>
        <v/>
      </c>
      <c r="D10" s="96" t="str">
        <f t="shared" ca="1" si="0"/>
        <v/>
      </c>
      <c r="E10" s="96" t="str">
        <f t="shared" ca="1" si="0"/>
        <v/>
      </c>
      <c r="F10" s="96" t="str">
        <f t="shared" ca="1" si="0"/>
        <v/>
      </c>
      <c r="G10" s="96" t="str">
        <f t="shared" ca="1" si="0"/>
        <v/>
      </c>
      <c r="H10" s="96" t="str">
        <f t="shared" ca="1" si="0"/>
        <v/>
      </c>
      <c r="I10" s="96" t="str">
        <f t="shared" ca="1" si="0"/>
        <v/>
      </c>
      <c r="J10" s="96" t="str">
        <f t="shared" ca="1" si="0"/>
        <v/>
      </c>
      <c r="K10" s="96" t="str">
        <f t="shared" ca="1" si="0"/>
        <v/>
      </c>
      <c r="L10" s="96" t="str">
        <f t="shared" ca="1" si="0"/>
        <v/>
      </c>
      <c r="P10" s="167"/>
      <c r="Q10" s="167"/>
      <c r="R10" s="167"/>
      <c r="S10" s="167"/>
      <c r="T10" s="167"/>
      <c r="U10" s="167"/>
      <c r="V10" s="167"/>
      <c r="W10" s="167"/>
      <c r="X10" s="167"/>
      <c r="Y10" s="167"/>
      <c r="Z10" s="167"/>
    </row>
    <row r="11" spans="2:26" ht="10.199999999999999" customHeight="1">
      <c r="B11" s="97" t="str">
        <f>IF(Calculation!BE16="","",Calculation!BE16)</f>
        <v/>
      </c>
      <c r="C11" s="96" t="str">
        <f t="shared" ca="1" si="0"/>
        <v/>
      </c>
      <c r="D11" s="96" t="str">
        <f t="shared" ca="1" si="0"/>
        <v/>
      </c>
      <c r="E11" s="96" t="str">
        <f t="shared" ca="1" si="0"/>
        <v/>
      </c>
      <c r="F11" s="96" t="str">
        <f t="shared" ca="1" si="0"/>
        <v/>
      </c>
      <c r="G11" s="96" t="str">
        <f t="shared" ca="1" si="0"/>
        <v/>
      </c>
      <c r="H11" s="96" t="str">
        <f t="shared" ca="1" si="0"/>
        <v/>
      </c>
      <c r="I11" s="96" t="str">
        <f t="shared" ca="1" si="0"/>
        <v/>
      </c>
      <c r="J11" s="96" t="str">
        <f t="shared" ca="1" si="0"/>
        <v/>
      </c>
      <c r="K11" s="96" t="str">
        <f t="shared" ca="1" si="0"/>
        <v/>
      </c>
      <c r="L11" s="96" t="str">
        <f t="shared" ca="1" si="0"/>
        <v/>
      </c>
      <c r="P11" s="167"/>
      <c r="Q11" s="167"/>
      <c r="R11" s="167"/>
      <c r="S11" s="167"/>
      <c r="T11" s="167"/>
      <c r="U11" s="167"/>
      <c r="V11" s="167"/>
      <c r="W11" s="167"/>
      <c r="X11" s="167"/>
      <c r="Y11" s="167"/>
      <c r="Z11" s="167"/>
    </row>
    <row r="12" spans="2:26" ht="10.199999999999999" customHeight="1">
      <c r="B12" s="97" t="str">
        <f>IF(Calculation!BE17="","",Calculation!BE17)</f>
        <v/>
      </c>
      <c r="C12" s="96" t="str">
        <f t="shared" ca="1" si="0"/>
        <v/>
      </c>
      <c r="D12" s="96" t="str">
        <f t="shared" ca="1" si="0"/>
        <v/>
      </c>
      <c r="E12" s="96" t="str">
        <f t="shared" ca="1" si="0"/>
        <v/>
      </c>
      <c r="F12" s="96" t="str">
        <f t="shared" ca="1" si="0"/>
        <v/>
      </c>
      <c r="G12" s="96" t="str">
        <f t="shared" ca="1" si="0"/>
        <v/>
      </c>
      <c r="H12" s="96" t="str">
        <f t="shared" ca="1" si="0"/>
        <v/>
      </c>
      <c r="I12" s="96" t="str">
        <f t="shared" ca="1" si="0"/>
        <v/>
      </c>
      <c r="J12" s="96" t="str">
        <f t="shared" ca="1" si="0"/>
        <v/>
      </c>
      <c r="K12" s="96" t="str">
        <f t="shared" ca="1" si="0"/>
        <v/>
      </c>
      <c r="L12" s="96" t="str">
        <f t="shared" ca="1" si="0"/>
        <v/>
      </c>
      <c r="P12" s="168"/>
      <c r="Q12" s="168"/>
      <c r="R12" s="168"/>
      <c r="S12" s="168"/>
      <c r="T12" s="168"/>
      <c r="U12" s="168"/>
      <c r="V12" s="168"/>
      <c r="W12" s="168"/>
      <c r="X12" s="168"/>
      <c r="Y12" s="168"/>
      <c r="Z12" s="168"/>
    </row>
    <row r="13" spans="2:26" ht="10.199999999999999" customHeight="1">
      <c r="B13" s="97" t="str">
        <f>IF(Calculation!BE18="","",Calculation!BE18)</f>
        <v/>
      </c>
      <c r="C13" s="96" t="str">
        <f t="shared" ca="1" si="0"/>
        <v/>
      </c>
      <c r="D13" s="96" t="str">
        <f t="shared" ca="1" si="0"/>
        <v/>
      </c>
      <c r="E13" s="96" t="str">
        <f t="shared" ca="1" si="0"/>
        <v/>
      </c>
      <c r="F13" s="96" t="str">
        <f t="shared" ca="1" si="0"/>
        <v/>
      </c>
      <c r="G13" s="96" t="str">
        <f t="shared" ca="1" si="0"/>
        <v/>
      </c>
      <c r="H13" s="96" t="str">
        <f t="shared" ca="1" si="0"/>
        <v/>
      </c>
      <c r="I13" s="96" t="str">
        <f t="shared" ca="1" si="0"/>
        <v/>
      </c>
      <c r="J13" s="96" t="str">
        <f t="shared" ca="1" si="0"/>
        <v/>
      </c>
      <c r="K13" s="96" t="str">
        <f t="shared" ca="1" si="0"/>
        <v/>
      </c>
      <c r="L13" s="96" t="str">
        <f t="shared" ca="1" si="0"/>
        <v/>
      </c>
      <c r="P13" s="167"/>
      <c r="Q13" s="167"/>
      <c r="R13" s="167"/>
      <c r="S13" s="167"/>
      <c r="T13" s="167"/>
      <c r="U13" s="167"/>
      <c r="V13" s="167"/>
      <c r="W13" s="167"/>
      <c r="X13" s="167"/>
      <c r="Y13" s="167"/>
      <c r="Z13" s="167"/>
    </row>
    <row r="14" spans="2:26" ht="10.199999999999999" customHeight="1">
      <c r="B14" s="97" t="str">
        <f>IF(Calculation!BE19="","",Calculation!BE19)</f>
        <v/>
      </c>
      <c r="C14" s="96" t="str">
        <f t="shared" ca="1" si="0"/>
        <v/>
      </c>
      <c r="D14" s="96" t="str">
        <f t="shared" ca="1" si="0"/>
        <v/>
      </c>
      <c r="E14" s="96" t="str">
        <f t="shared" ca="1" si="0"/>
        <v/>
      </c>
      <c r="F14" s="96" t="str">
        <f t="shared" ca="1" si="0"/>
        <v/>
      </c>
      <c r="G14" s="96" t="str">
        <f t="shared" ca="1" si="0"/>
        <v/>
      </c>
      <c r="H14" s="96" t="str">
        <f t="shared" ca="1" si="0"/>
        <v/>
      </c>
      <c r="I14" s="96" t="str">
        <f t="shared" ca="1" si="0"/>
        <v/>
      </c>
      <c r="J14" s="96" t="str">
        <f t="shared" ca="1" si="0"/>
        <v/>
      </c>
      <c r="K14" s="96" t="str">
        <f t="shared" ca="1" si="0"/>
        <v/>
      </c>
      <c r="L14" s="96" t="str">
        <f t="shared" ca="1" si="0"/>
        <v/>
      </c>
      <c r="P14" s="167"/>
      <c r="Q14" s="167"/>
      <c r="R14" s="167"/>
      <c r="S14" s="167"/>
      <c r="T14" s="167"/>
      <c r="U14" s="167"/>
      <c r="V14" s="167"/>
      <c r="W14" s="167"/>
      <c r="X14" s="167"/>
      <c r="Y14" s="167"/>
      <c r="Z14" s="167"/>
    </row>
    <row r="15" spans="2:26" ht="10.199999999999999" customHeight="1">
      <c r="B15" s="97" t="str">
        <f>IF(Calculation!BE20="","",Calculation!BE20)</f>
        <v/>
      </c>
      <c r="C15" s="96" t="str">
        <f t="shared" ca="1" si="0"/>
        <v/>
      </c>
      <c r="D15" s="96" t="str">
        <f t="shared" ca="1" si="0"/>
        <v/>
      </c>
      <c r="E15" s="96" t="str">
        <f t="shared" ca="1" si="0"/>
        <v/>
      </c>
      <c r="F15" s="96" t="str">
        <f t="shared" ca="1" si="0"/>
        <v/>
      </c>
      <c r="G15" s="96" t="str">
        <f t="shared" ca="1" si="0"/>
        <v/>
      </c>
      <c r="H15" s="96" t="str">
        <f t="shared" ca="1" si="0"/>
        <v/>
      </c>
      <c r="I15" s="96" t="str">
        <f t="shared" ca="1" si="0"/>
        <v/>
      </c>
      <c r="J15" s="96" t="str">
        <f t="shared" ca="1" si="0"/>
        <v/>
      </c>
      <c r="K15" s="96" t="str">
        <f t="shared" ca="1" si="0"/>
        <v/>
      </c>
      <c r="L15" s="96" t="str">
        <f t="shared" ca="1" si="0"/>
        <v/>
      </c>
      <c r="P15" s="168"/>
      <c r="Q15" s="168"/>
      <c r="R15" s="168"/>
      <c r="S15" s="168"/>
      <c r="T15" s="168"/>
      <c r="U15" s="168"/>
      <c r="V15" s="168"/>
      <c r="W15" s="168"/>
      <c r="X15" s="168"/>
      <c r="Y15" s="168"/>
      <c r="Z15" s="168"/>
    </row>
    <row r="16" spans="2:26" ht="10.199999999999999" customHeight="1">
      <c r="B16" s="97" t="str">
        <f>IF(Calculation!BE21="","",Calculation!BE21)</f>
        <v/>
      </c>
      <c r="C16" s="96" t="str">
        <f t="shared" ca="1" si="0"/>
        <v/>
      </c>
      <c r="D16" s="96" t="str">
        <f t="shared" ca="1" si="0"/>
        <v/>
      </c>
      <c r="E16" s="96" t="str">
        <f t="shared" ca="1" si="0"/>
        <v/>
      </c>
      <c r="F16" s="96" t="str">
        <f t="shared" ca="1" si="0"/>
        <v/>
      </c>
      <c r="G16" s="96" t="str">
        <f t="shared" ca="1" si="0"/>
        <v/>
      </c>
      <c r="H16" s="96" t="str">
        <f t="shared" ca="1" si="0"/>
        <v/>
      </c>
      <c r="I16" s="96" t="str">
        <f t="shared" ca="1" si="0"/>
        <v/>
      </c>
      <c r="J16" s="96" t="str">
        <f t="shared" ca="1" si="0"/>
        <v/>
      </c>
      <c r="K16" s="96" t="str">
        <f t="shared" ca="1" si="0"/>
        <v/>
      </c>
      <c r="L16" s="96" t="str">
        <f t="shared" ca="1" si="0"/>
        <v/>
      </c>
      <c r="P16" s="167"/>
      <c r="Q16" s="167"/>
      <c r="R16" s="167"/>
      <c r="S16" s="167"/>
      <c r="T16" s="167"/>
      <c r="U16" s="167"/>
      <c r="V16" s="167"/>
      <c r="W16" s="167"/>
      <c r="X16" s="167"/>
      <c r="Y16" s="167"/>
      <c r="Z16" s="167"/>
    </row>
    <row r="17" spans="2:26" ht="10.199999999999999" customHeight="1">
      <c r="B17" s="97" t="str">
        <f>IF(Calculation!BE22="","",Calculation!BE22)</f>
        <v/>
      </c>
      <c r="C17" s="96" t="str">
        <f t="shared" ca="1" si="0"/>
        <v/>
      </c>
      <c r="D17" s="96" t="str">
        <f t="shared" ca="1" si="0"/>
        <v/>
      </c>
      <c r="E17" s="96" t="str">
        <f t="shared" ca="1" si="0"/>
        <v/>
      </c>
      <c r="F17" s="96" t="str">
        <f t="shared" ca="1" si="0"/>
        <v/>
      </c>
      <c r="G17" s="96" t="str">
        <f t="shared" ca="1" si="0"/>
        <v/>
      </c>
      <c r="H17" s="96" t="str">
        <f t="shared" ca="1" si="0"/>
        <v/>
      </c>
      <c r="I17" s="96" t="str">
        <f t="shared" ca="1" si="0"/>
        <v/>
      </c>
      <c r="J17" s="96" t="str">
        <f t="shared" ca="1" si="0"/>
        <v/>
      </c>
      <c r="K17" s="96" t="str">
        <f t="shared" ca="1" si="0"/>
        <v/>
      </c>
      <c r="L17" s="96" t="str">
        <f t="shared" ca="1" si="0"/>
        <v/>
      </c>
      <c r="P17" s="167"/>
      <c r="Q17" s="167"/>
      <c r="R17" s="167"/>
      <c r="S17" s="167"/>
      <c r="T17" s="167"/>
      <c r="U17" s="167"/>
      <c r="V17" s="167"/>
      <c r="W17" s="167"/>
      <c r="X17" s="167"/>
      <c r="Y17" s="167"/>
      <c r="Z17" s="167"/>
    </row>
    <row r="18" spans="2:26" ht="10.199999999999999" customHeight="1">
      <c r="B18" s="97" t="str">
        <f>IF(Calculation!BE23="","",Calculation!BE23)</f>
        <v/>
      </c>
      <c r="C18" s="96" t="str">
        <f t="shared" ca="1" si="0"/>
        <v/>
      </c>
      <c r="D18" s="96" t="str">
        <f t="shared" ca="1" si="0"/>
        <v/>
      </c>
      <c r="E18" s="96" t="str">
        <f t="shared" ca="1" si="0"/>
        <v/>
      </c>
      <c r="F18" s="96" t="str">
        <f t="shared" ca="1" si="0"/>
        <v/>
      </c>
      <c r="G18" s="96" t="str">
        <f t="shared" ca="1" si="0"/>
        <v/>
      </c>
      <c r="H18" s="96" t="str">
        <f t="shared" ca="1" si="0"/>
        <v/>
      </c>
      <c r="I18" s="96" t="str">
        <f t="shared" ca="1" si="0"/>
        <v/>
      </c>
      <c r="J18" s="96" t="str">
        <f t="shared" ca="1" si="0"/>
        <v/>
      </c>
      <c r="K18" s="96" t="str">
        <f t="shared" ca="1" si="0"/>
        <v/>
      </c>
      <c r="L18" s="96" t="str">
        <f t="shared" ca="1" si="0"/>
        <v/>
      </c>
      <c r="P18" s="168"/>
      <c r="Q18" s="168"/>
      <c r="R18" s="168"/>
      <c r="S18" s="168"/>
      <c r="T18" s="168"/>
      <c r="U18" s="168"/>
      <c r="V18" s="168"/>
      <c r="W18" s="168"/>
      <c r="X18" s="168"/>
      <c r="Y18" s="168"/>
      <c r="Z18" s="168"/>
    </row>
    <row r="19" spans="2:26" ht="10.199999999999999" customHeight="1">
      <c r="B19" s="97" t="str">
        <f>IF(Calculation!BE24="","",Calculation!BE24)</f>
        <v/>
      </c>
      <c r="C19" s="96" t="str">
        <f t="shared" ca="1" si="0"/>
        <v/>
      </c>
      <c r="D19" s="96" t="str">
        <f t="shared" ca="1" si="0"/>
        <v/>
      </c>
      <c r="E19" s="96" t="str">
        <f t="shared" ca="1" si="0"/>
        <v/>
      </c>
      <c r="F19" s="96" t="str">
        <f t="shared" ca="1" si="0"/>
        <v/>
      </c>
      <c r="G19" s="96" t="str">
        <f t="shared" ca="1" si="0"/>
        <v/>
      </c>
      <c r="H19" s="96" t="str">
        <f t="shared" ca="1" si="0"/>
        <v/>
      </c>
      <c r="I19" s="96" t="str">
        <f t="shared" ca="1" si="0"/>
        <v/>
      </c>
      <c r="J19" s="96" t="str">
        <f t="shared" ca="1" si="0"/>
        <v/>
      </c>
      <c r="K19" s="96" t="str">
        <f t="shared" ca="1" si="0"/>
        <v/>
      </c>
      <c r="L19" s="96" t="str">
        <f t="shared" ca="1" si="0"/>
        <v/>
      </c>
      <c r="P19" s="167"/>
      <c r="Q19" s="167"/>
      <c r="R19" s="167"/>
      <c r="S19" s="167"/>
      <c r="T19" s="167"/>
      <c r="U19" s="167"/>
      <c r="V19" s="167"/>
      <c r="W19" s="167"/>
      <c r="X19" s="167"/>
      <c r="Y19" s="167"/>
      <c r="Z19" s="167"/>
    </row>
    <row r="20" spans="2:26" ht="10.199999999999999" customHeight="1">
      <c r="B20" s="97" t="str">
        <f>IF(Calculation!BE25="","",Calculation!BE25)</f>
        <v/>
      </c>
      <c r="C20" s="96" t="str">
        <f t="shared" ca="1" si="0"/>
        <v/>
      </c>
      <c r="D20" s="96" t="str">
        <f t="shared" ca="1" si="0"/>
        <v/>
      </c>
      <c r="E20" s="96" t="str">
        <f t="shared" ca="1" si="0"/>
        <v/>
      </c>
      <c r="F20" s="96" t="str">
        <f t="shared" ca="1" si="0"/>
        <v/>
      </c>
      <c r="G20" s="96" t="str">
        <f t="shared" ca="1" si="0"/>
        <v/>
      </c>
      <c r="H20" s="96" t="str">
        <f t="shared" ca="1" si="0"/>
        <v/>
      </c>
      <c r="I20" s="96" t="str">
        <f t="shared" ca="1" si="0"/>
        <v/>
      </c>
      <c r="J20" s="96" t="str">
        <f t="shared" ca="1" si="0"/>
        <v/>
      </c>
      <c r="K20" s="96" t="str">
        <f t="shared" ca="1" si="0"/>
        <v/>
      </c>
      <c r="L20" s="96" t="str">
        <f t="shared" ca="1" si="0"/>
        <v/>
      </c>
      <c r="P20" s="167"/>
      <c r="Q20" s="167"/>
      <c r="R20" s="167"/>
      <c r="S20" s="167"/>
      <c r="T20" s="167"/>
      <c r="U20" s="167"/>
      <c r="V20" s="167"/>
      <c r="W20" s="167"/>
      <c r="X20" s="167"/>
      <c r="Y20" s="167"/>
      <c r="Z20" s="167"/>
    </row>
    <row r="21" spans="2:26" ht="10.199999999999999" customHeight="1">
      <c r="B21" s="97" t="str">
        <f>IF(Calculation!BE26="","",Calculation!BE26)</f>
        <v/>
      </c>
      <c r="C21" s="96" t="str">
        <f t="shared" ca="1" si="0"/>
        <v/>
      </c>
      <c r="D21" s="96" t="str">
        <f t="shared" ca="1" si="0"/>
        <v/>
      </c>
      <c r="E21" s="96" t="str">
        <f t="shared" ca="1" si="0"/>
        <v/>
      </c>
      <c r="F21" s="96" t="str">
        <f t="shared" ca="1" si="0"/>
        <v/>
      </c>
      <c r="G21" s="96" t="str">
        <f t="shared" ca="1" si="0"/>
        <v/>
      </c>
      <c r="H21" s="96" t="str">
        <f t="shared" ca="1" si="0"/>
        <v/>
      </c>
      <c r="I21" s="96" t="str">
        <f t="shared" ca="1" si="0"/>
        <v/>
      </c>
      <c r="J21" s="96" t="str">
        <f t="shared" ca="1" si="0"/>
        <v/>
      </c>
      <c r="K21" s="96" t="str">
        <f t="shared" ca="1" si="0"/>
        <v/>
      </c>
      <c r="L21" s="96" t="str">
        <f t="shared" ca="1" si="0"/>
        <v/>
      </c>
      <c r="P21" s="168"/>
      <c r="Q21" s="168"/>
      <c r="R21" s="168"/>
      <c r="S21" s="168"/>
      <c r="T21" s="168"/>
      <c r="U21" s="168"/>
      <c r="V21" s="168"/>
      <c r="W21" s="168"/>
      <c r="X21" s="168"/>
      <c r="Y21" s="168"/>
      <c r="Z21" s="168"/>
    </row>
    <row r="22" spans="2:26" ht="10.199999999999999" customHeight="1">
      <c r="B22" s="97" t="str">
        <f>IF(Calculation!BE27="","",Calculation!BE27)</f>
        <v/>
      </c>
      <c r="C22" s="96" t="str">
        <f t="shared" ref="C22:L37" ca="1" si="1">IF($M$4=0,"",VLOOKUP($B22,INDIRECT("$P$1:$Z$"&amp;$M$4),COLUMN()-1,0))</f>
        <v/>
      </c>
      <c r="D22" s="96" t="str">
        <f t="shared" ca="1" si="1"/>
        <v/>
      </c>
      <c r="E22" s="96" t="str">
        <f t="shared" ca="1" si="1"/>
        <v/>
      </c>
      <c r="F22" s="96" t="str">
        <f t="shared" ca="1" si="1"/>
        <v/>
      </c>
      <c r="G22" s="96" t="str">
        <f t="shared" ca="1" si="1"/>
        <v/>
      </c>
      <c r="H22" s="96" t="str">
        <f t="shared" ca="1" si="1"/>
        <v/>
      </c>
      <c r="I22" s="96" t="str">
        <f t="shared" ca="1" si="1"/>
        <v/>
      </c>
      <c r="J22" s="96" t="str">
        <f t="shared" ca="1" si="1"/>
        <v/>
      </c>
      <c r="K22" s="96" t="str">
        <f t="shared" ca="1" si="1"/>
        <v/>
      </c>
      <c r="L22" s="96" t="str">
        <f t="shared" ca="1" si="1"/>
        <v/>
      </c>
      <c r="P22" s="167"/>
      <c r="Q22" s="167"/>
      <c r="R22" s="167"/>
      <c r="S22" s="167"/>
      <c r="T22" s="167"/>
      <c r="U22" s="167"/>
      <c r="V22" s="167"/>
      <c r="W22" s="167"/>
      <c r="X22" s="167"/>
      <c r="Y22" s="167"/>
      <c r="Z22" s="167"/>
    </row>
    <row r="23" spans="2:26" ht="10.199999999999999" customHeight="1">
      <c r="B23" s="97" t="str">
        <f>IF(Calculation!BE28="","",Calculation!BE28)</f>
        <v/>
      </c>
      <c r="C23" s="96" t="str">
        <f t="shared" ca="1" si="1"/>
        <v/>
      </c>
      <c r="D23" s="96" t="str">
        <f t="shared" ca="1" si="1"/>
        <v/>
      </c>
      <c r="E23" s="96" t="str">
        <f t="shared" ca="1" si="1"/>
        <v/>
      </c>
      <c r="F23" s="96" t="str">
        <f t="shared" ca="1" si="1"/>
        <v/>
      </c>
      <c r="G23" s="96" t="str">
        <f t="shared" ca="1" si="1"/>
        <v/>
      </c>
      <c r="H23" s="96" t="str">
        <f t="shared" ca="1" si="1"/>
        <v/>
      </c>
      <c r="I23" s="96" t="str">
        <f t="shared" ca="1" si="1"/>
        <v/>
      </c>
      <c r="J23" s="96" t="str">
        <f t="shared" ca="1" si="1"/>
        <v/>
      </c>
      <c r="K23" s="96" t="str">
        <f t="shared" ca="1" si="1"/>
        <v/>
      </c>
      <c r="L23" s="96" t="str">
        <f t="shared" ca="1" si="1"/>
        <v/>
      </c>
      <c r="P23" s="167"/>
      <c r="Q23" s="167"/>
      <c r="R23" s="167"/>
      <c r="S23" s="167"/>
      <c r="T23" s="167"/>
      <c r="U23" s="167"/>
      <c r="V23" s="167"/>
      <c r="W23" s="167"/>
      <c r="X23" s="167"/>
      <c r="Y23" s="167"/>
      <c r="Z23" s="167"/>
    </row>
    <row r="24" spans="2:26" ht="10.199999999999999" customHeight="1">
      <c r="B24" s="97" t="str">
        <f>IF(Calculation!BE29="","",Calculation!BE29)</f>
        <v/>
      </c>
      <c r="C24" s="96" t="str">
        <f t="shared" ca="1" si="1"/>
        <v/>
      </c>
      <c r="D24" s="96" t="str">
        <f t="shared" ca="1" si="1"/>
        <v/>
      </c>
      <c r="E24" s="96" t="str">
        <f t="shared" ca="1" si="1"/>
        <v/>
      </c>
      <c r="F24" s="96" t="str">
        <f t="shared" ca="1" si="1"/>
        <v/>
      </c>
      <c r="G24" s="96" t="str">
        <f t="shared" ca="1" si="1"/>
        <v/>
      </c>
      <c r="H24" s="96" t="str">
        <f t="shared" ca="1" si="1"/>
        <v/>
      </c>
      <c r="I24" s="96" t="str">
        <f t="shared" ca="1" si="1"/>
        <v/>
      </c>
      <c r="J24" s="96" t="str">
        <f t="shared" ca="1" si="1"/>
        <v/>
      </c>
      <c r="K24" s="96" t="str">
        <f t="shared" ca="1" si="1"/>
        <v/>
      </c>
      <c r="L24" s="96" t="str">
        <f t="shared" ca="1" si="1"/>
        <v/>
      </c>
      <c r="P24" s="168"/>
      <c r="Q24" s="168"/>
      <c r="R24" s="168"/>
      <c r="S24" s="168"/>
      <c r="T24" s="168"/>
      <c r="U24" s="168"/>
      <c r="V24" s="168"/>
      <c r="W24" s="168"/>
      <c r="X24" s="168"/>
      <c r="Y24" s="168"/>
      <c r="Z24" s="168"/>
    </row>
    <row r="25" spans="2:26" ht="10.199999999999999" customHeight="1">
      <c r="B25" s="97" t="str">
        <f>IF(Calculation!BE30="","",Calculation!BE30)</f>
        <v/>
      </c>
      <c r="C25" s="96" t="str">
        <f t="shared" ca="1" si="1"/>
        <v/>
      </c>
      <c r="D25" s="96" t="str">
        <f t="shared" ca="1" si="1"/>
        <v/>
      </c>
      <c r="E25" s="96" t="str">
        <f t="shared" ca="1" si="1"/>
        <v/>
      </c>
      <c r="F25" s="96" t="str">
        <f t="shared" ca="1" si="1"/>
        <v/>
      </c>
      <c r="G25" s="96" t="str">
        <f t="shared" ca="1" si="1"/>
        <v/>
      </c>
      <c r="H25" s="96" t="str">
        <f t="shared" ca="1" si="1"/>
        <v/>
      </c>
      <c r="I25" s="96" t="str">
        <f t="shared" ca="1" si="1"/>
        <v/>
      </c>
      <c r="J25" s="96" t="str">
        <f t="shared" ca="1" si="1"/>
        <v/>
      </c>
      <c r="K25" s="96" t="str">
        <f t="shared" ca="1" si="1"/>
        <v/>
      </c>
      <c r="L25" s="96" t="str">
        <f t="shared" ca="1" si="1"/>
        <v/>
      </c>
      <c r="P25" s="167"/>
      <c r="Q25" s="167"/>
      <c r="R25" s="167"/>
      <c r="S25" s="167"/>
      <c r="T25" s="167"/>
      <c r="U25" s="167"/>
      <c r="V25" s="167"/>
      <c r="W25" s="167"/>
      <c r="X25" s="167"/>
      <c r="Y25" s="167"/>
      <c r="Z25" s="167"/>
    </row>
    <row r="26" spans="2:26" ht="10.199999999999999" customHeight="1">
      <c r="B26" s="97" t="str">
        <f>IF(Calculation!BE31="","",Calculation!BE31)</f>
        <v/>
      </c>
      <c r="C26" s="96" t="str">
        <f t="shared" ca="1" si="1"/>
        <v/>
      </c>
      <c r="D26" s="96" t="str">
        <f t="shared" ca="1" si="1"/>
        <v/>
      </c>
      <c r="E26" s="96" t="str">
        <f t="shared" ca="1" si="1"/>
        <v/>
      </c>
      <c r="F26" s="96" t="str">
        <f t="shared" ca="1" si="1"/>
        <v/>
      </c>
      <c r="G26" s="96" t="str">
        <f t="shared" ca="1" si="1"/>
        <v/>
      </c>
      <c r="H26" s="96" t="str">
        <f t="shared" ca="1" si="1"/>
        <v/>
      </c>
      <c r="I26" s="96" t="str">
        <f t="shared" ca="1" si="1"/>
        <v/>
      </c>
      <c r="J26" s="96" t="str">
        <f t="shared" ca="1" si="1"/>
        <v/>
      </c>
      <c r="K26" s="96" t="str">
        <f t="shared" ca="1" si="1"/>
        <v/>
      </c>
      <c r="L26" s="96" t="str">
        <f t="shared" ca="1" si="1"/>
        <v/>
      </c>
      <c r="P26" s="167"/>
      <c r="Q26" s="167"/>
      <c r="R26" s="167"/>
      <c r="S26" s="167"/>
      <c r="T26" s="167"/>
      <c r="U26" s="167"/>
      <c r="V26" s="167"/>
      <c r="W26" s="167"/>
      <c r="X26" s="167"/>
      <c r="Y26" s="167"/>
      <c r="Z26" s="167"/>
    </row>
    <row r="27" spans="2:26" ht="10.199999999999999" customHeight="1">
      <c r="B27" s="97" t="str">
        <f>IF(Calculation!BE32="","",Calculation!BE32)</f>
        <v/>
      </c>
      <c r="C27" s="96" t="str">
        <f t="shared" ca="1" si="1"/>
        <v/>
      </c>
      <c r="D27" s="96" t="str">
        <f t="shared" ca="1" si="1"/>
        <v/>
      </c>
      <c r="E27" s="96" t="str">
        <f t="shared" ca="1" si="1"/>
        <v/>
      </c>
      <c r="F27" s="96" t="str">
        <f t="shared" ca="1" si="1"/>
        <v/>
      </c>
      <c r="G27" s="96" t="str">
        <f t="shared" ca="1" si="1"/>
        <v/>
      </c>
      <c r="H27" s="96" t="str">
        <f t="shared" ca="1" si="1"/>
        <v/>
      </c>
      <c r="I27" s="96" t="str">
        <f t="shared" ca="1" si="1"/>
        <v/>
      </c>
      <c r="J27" s="96" t="str">
        <f t="shared" ca="1" si="1"/>
        <v/>
      </c>
      <c r="K27" s="96" t="str">
        <f t="shared" ca="1" si="1"/>
        <v/>
      </c>
      <c r="L27" s="96" t="str">
        <f t="shared" ca="1" si="1"/>
        <v/>
      </c>
      <c r="P27" s="168"/>
      <c r="Q27" s="168"/>
      <c r="R27" s="168"/>
      <c r="S27" s="168"/>
      <c r="T27" s="168"/>
      <c r="U27" s="168"/>
      <c r="V27" s="168"/>
      <c r="W27" s="168"/>
      <c r="X27" s="168"/>
      <c r="Y27" s="168"/>
      <c r="Z27" s="168"/>
    </row>
    <row r="28" spans="2:26" ht="10.199999999999999" customHeight="1">
      <c r="B28" s="97" t="str">
        <f>IF(Calculation!BE33="","",Calculation!BE33)</f>
        <v/>
      </c>
      <c r="C28" s="96" t="str">
        <f t="shared" ca="1" si="1"/>
        <v/>
      </c>
      <c r="D28" s="96" t="str">
        <f t="shared" ca="1" si="1"/>
        <v/>
      </c>
      <c r="E28" s="96" t="str">
        <f t="shared" ca="1" si="1"/>
        <v/>
      </c>
      <c r="F28" s="96" t="str">
        <f t="shared" ca="1" si="1"/>
        <v/>
      </c>
      <c r="G28" s="96" t="str">
        <f t="shared" ca="1" si="1"/>
        <v/>
      </c>
      <c r="H28" s="96" t="str">
        <f t="shared" ca="1" si="1"/>
        <v/>
      </c>
      <c r="I28" s="96" t="str">
        <f t="shared" ca="1" si="1"/>
        <v/>
      </c>
      <c r="J28" s="96" t="str">
        <f t="shared" ca="1" si="1"/>
        <v/>
      </c>
      <c r="K28" s="96" t="str">
        <f t="shared" ca="1" si="1"/>
        <v/>
      </c>
      <c r="L28" s="96" t="str">
        <f t="shared" ca="1" si="1"/>
        <v/>
      </c>
      <c r="P28" s="167"/>
      <c r="Q28" s="167"/>
      <c r="R28" s="167"/>
      <c r="S28" s="167"/>
      <c r="T28" s="167"/>
      <c r="U28" s="167"/>
      <c r="V28" s="167"/>
      <c r="W28" s="167"/>
      <c r="X28" s="167"/>
      <c r="Y28" s="167"/>
      <c r="Z28" s="167"/>
    </row>
    <row r="29" spans="2:26" ht="10.199999999999999" customHeight="1">
      <c r="B29" s="97" t="str">
        <f>IF(Calculation!BE34="","",Calculation!BE34)</f>
        <v/>
      </c>
      <c r="C29" s="96" t="str">
        <f t="shared" ca="1" si="1"/>
        <v/>
      </c>
      <c r="D29" s="96" t="str">
        <f t="shared" ca="1" si="1"/>
        <v/>
      </c>
      <c r="E29" s="96" t="str">
        <f t="shared" ca="1" si="1"/>
        <v/>
      </c>
      <c r="F29" s="96" t="str">
        <f t="shared" ca="1" si="1"/>
        <v/>
      </c>
      <c r="G29" s="96" t="str">
        <f t="shared" ca="1" si="1"/>
        <v/>
      </c>
      <c r="H29" s="96" t="str">
        <f t="shared" ca="1" si="1"/>
        <v/>
      </c>
      <c r="I29" s="96" t="str">
        <f t="shared" ca="1" si="1"/>
        <v/>
      </c>
      <c r="J29" s="96" t="str">
        <f t="shared" ca="1" si="1"/>
        <v/>
      </c>
      <c r="K29" s="96" t="str">
        <f t="shared" ca="1" si="1"/>
        <v/>
      </c>
      <c r="L29" s="96" t="str">
        <f t="shared" ca="1" si="1"/>
        <v/>
      </c>
      <c r="P29" s="167"/>
      <c r="Q29" s="167"/>
      <c r="R29" s="167"/>
      <c r="S29" s="167"/>
      <c r="T29" s="167"/>
      <c r="U29" s="167"/>
      <c r="V29" s="167"/>
      <c r="W29" s="167"/>
      <c r="X29" s="167"/>
      <c r="Y29" s="167"/>
      <c r="Z29" s="167"/>
    </row>
    <row r="30" spans="2:26" ht="10.199999999999999" customHeight="1">
      <c r="B30" s="97" t="str">
        <f>IF(Calculation!BE35="","",Calculation!BE35)</f>
        <v/>
      </c>
      <c r="C30" s="96" t="str">
        <f t="shared" ca="1" si="1"/>
        <v/>
      </c>
      <c r="D30" s="96" t="str">
        <f t="shared" ca="1" si="1"/>
        <v/>
      </c>
      <c r="E30" s="96" t="str">
        <f t="shared" ca="1" si="1"/>
        <v/>
      </c>
      <c r="F30" s="96" t="str">
        <f t="shared" ca="1" si="1"/>
        <v/>
      </c>
      <c r="G30" s="96" t="str">
        <f t="shared" ca="1" si="1"/>
        <v/>
      </c>
      <c r="H30" s="96" t="str">
        <f t="shared" ca="1" si="1"/>
        <v/>
      </c>
      <c r="I30" s="96" t="str">
        <f t="shared" ca="1" si="1"/>
        <v/>
      </c>
      <c r="J30" s="96" t="str">
        <f t="shared" ca="1" si="1"/>
        <v/>
      </c>
      <c r="K30" s="96" t="str">
        <f t="shared" ca="1" si="1"/>
        <v/>
      </c>
      <c r="L30" s="96" t="str">
        <f t="shared" ca="1" si="1"/>
        <v/>
      </c>
      <c r="P30" s="168"/>
      <c r="Q30" s="168"/>
      <c r="R30" s="168"/>
      <c r="S30" s="168"/>
      <c r="T30" s="168"/>
      <c r="U30" s="168"/>
      <c r="V30" s="168"/>
      <c r="W30" s="168"/>
      <c r="X30" s="168"/>
      <c r="Y30" s="168"/>
      <c r="Z30" s="168"/>
    </row>
    <row r="31" spans="2:26" ht="10.199999999999999" customHeight="1">
      <c r="B31" s="97" t="str">
        <f>IF(Calculation!BE36="","",Calculation!BE36)</f>
        <v/>
      </c>
      <c r="C31" s="96" t="str">
        <f t="shared" ca="1" si="1"/>
        <v/>
      </c>
      <c r="D31" s="96" t="str">
        <f t="shared" ca="1" si="1"/>
        <v/>
      </c>
      <c r="E31" s="96" t="str">
        <f t="shared" ca="1" si="1"/>
        <v/>
      </c>
      <c r="F31" s="96" t="str">
        <f t="shared" ca="1" si="1"/>
        <v/>
      </c>
      <c r="G31" s="96" t="str">
        <f t="shared" ca="1" si="1"/>
        <v/>
      </c>
      <c r="H31" s="96" t="str">
        <f t="shared" ca="1" si="1"/>
        <v/>
      </c>
      <c r="I31" s="96" t="str">
        <f t="shared" ca="1" si="1"/>
        <v/>
      </c>
      <c r="J31" s="96" t="str">
        <f t="shared" ca="1" si="1"/>
        <v/>
      </c>
      <c r="K31" s="96" t="str">
        <f t="shared" ca="1" si="1"/>
        <v/>
      </c>
      <c r="L31" s="96" t="str">
        <f t="shared" ca="1" si="1"/>
        <v/>
      </c>
      <c r="P31" s="167"/>
      <c r="Q31" s="167"/>
      <c r="R31" s="167"/>
      <c r="S31" s="167"/>
      <c r="T31" s="167"/>
      <c r="U31" s="167"/>
      <c r="V31" s="167"/>
      <c r="W31" s="167"/>
      <c r="X31" s="167"/>
      <c r="Y31" s="167"/>
      <c r="Z31" s="167"/>
    </row>
    <row r="32" spans="2:26" ht="10.199999999999999" customHeight="1">
      <c r="B32" s="97" t="str">
        <f>IF(Calculation!BE37="","",Calculation!BE37)</f>
        <v/>
      </c>
      <c r="C32" s="96" t="str">
        <f t="shared" ca="1" si="1"/>
        <v/>
      </c>
      <c r="D32" s="96" t="str">
        <f t="shared" ca="1" si="1"/>
        <v/>
      </c>
      <c r="E32" s="96" t="str">
        <f t="shared" ca="1" si="1"/>
        <v/>
      </c>
      <c r="F32" s="96" t="str">
        <f t="shared" ca="1" si="1"/>
        <v/>
      </c>
      <c r="G32" s="96" t="str">
        <f t="shared" ca="1" si="1"/>
        <v/>
      </c>
      <c r="H32" s="96" t="str">
        <f t="shared" ca="1" si="1"/>
        <v/>
      </c>
      <c r="I32" s="96" t="str">
        <f t="shared" ca="1" si="1"/>
        <v/>
      </c>
      <c r="J32" s="96" t="str">
        <f t="shared" ca="1" si="1"/>
        <v/>
      </c>
      <c r="K32" s="96" t="str">
        <f t="shared" ca="1" si="1"/>
        <v/>
      </c>
      <c r="L32" s="96" t="str">
        <f t="shared" ca="1" si="1"/>
        <v/>
      </c>
      <c r="P32" s="167"/>
      <c r="Q32" s="167"/>
      <c r="R32" s="167"/>
      <c r="S32" s="167"/>
      <c r="T32" s="167"/>
      <c r="U32" s="167"/>
      <c r="V32" s="167"/>
      <c r="W32" s="167"/>
      <c r="X32" s="167"/>
      <c r="Y32" s="167"/>
      <c r="Z32" s="167"/>
    </row>
    <row r="33" spans="2:26" ht="10.199999999999999" customHeight="1">
      <c r="B33" s="97" t="str">
        <f>IF(Calculation!BE38="","",Calculation!BE38)</f>
        <v/>
      </c>
      <c r="C33" s="96" t="str">
        <f t="shared" ca="1" si="1"/>
        <v/>
      </c>
      <c r="D33" s="96" t="str">
        <f t="shared" ca="1" si="1"/>
        <v/>
      </c>
      <c r="E33" s="96" t="str">
        <f t="shared" ca="1" si="1"/>
        <v/>
      </c>
      <c r="F33" s="96" t="str">
        <f t="shared" ca="1" si="1"/>
        <v/>
      </c>
      <c r="G33" s="96" t="str">
        <f t="shared" ca="1" si="1"/>
        <v/>
      </c>
      <c r="H33" s="96" t="str">
        <f t="shared" ca="1" si="1"/>
        <v/>
      </c>
      <c r="I33" s="96" t="str">
        <f t="shared" ca="1" si="1"/>
        <v/>
      </c>
      <c r="J33" s="96" t="str">
        <f t="shared" ca="1" si="1"/>
        <v/>
      </c>
      <c r="K33" s="96" t="str">
        <f t="shared" ca="1" si="1"/>
        <v/>
      </c>
      <c r="L33" s="96" t="str">
        <f t="shared" ca="1" si="1"/>
        <v/>
      </c>
      <c r="P33" s="168"/>
      <c r="Q33" s="168"/>
      <c r="R33" s="168"/>
      <c r="S33" s="168"/>
      <c r="T33" s="168"/>
      <c r="U33" s="168"/>
      <c r="V33" s="168"/>
      <c r="W33" s="168"/>
      <c r="X33" s="168"/>
      <c r="Y33" s="168"/>
      <c r="Z33" s="168"/>
    </row>
    <row r="34" spans="2:26" ht="10.199999999999999" customHeight="1">
      <c r="B34" s="97" t="str">
        <f>IF(Calculation!BE39="","",Calculation!BE39)</f>
        <v/>
      </c>
      <c r="C34" s="96" t="str">
        <f t="shared" ca="1" si="1"/>
        <v/>
      </c>
      <c r="D34" s="96" t="str">
        <f t="shared" ca="1" si="1"/>
        <v/>
      </c>
      <c r="E34" s="96" t="str">
        <f t="shared" ca="1" si="1"/>
        <v/>
      </c>
      <c r="F34" s="96" t="str">
        <f t="shared" ca="1" si="1"/>
        <v/>
      </c>
      <c r="G34" s="96" t="str">
        <f t="shared" ca="1" si="1"/>
        <v/>
      </c>
      <c r="H34" s="96" t="str">
        <f t="shared" ca="1" si="1"/>
        <v/>
      </c>
      <c r="I34" s="96" t="str">
        <f t="shared" ca="1" si="1"/>
        <v/>
      </c>
      <c r="J34" s="96" t="str">
        <f t="shared" ca="1" si="1"/>
        <v/>
      </c>
      <c r="K34" s="96" t="str">
        <f t="shared" ca="1" si="1"/>
        <v/>
      </c>
      <c r="L34" s="96" t="str">
        <f t="shared" ca="1" si="1"/>
        <v/>
      </c>
      <c r="P34" s="167"/>
      <c r="Q34" s="167"/>
      <c r="R34" s="167"/>
      <c r="S34" s="167"/>
      <c r="T34" s="167"/>
      <c r="U34" s="167"/>
      <c r="V34" s="167"/>
      <c r="W34" s="167"/>
      <c r="X34" s="167"/>
      <c r="Y34" s="167"/>
      <c r="Z34" s="167"/>
    </row>
    <row r="35" spans="2:26" ht="10.199999999999999" customHeight="1">
      <c r="B35" s="97" t="str">
        <f>IF(Calculation!BE40="","",Calculation!BE40)</f>
        <v/>
      </c>
      <c r="C35" s="96" t="str">
        <f t="shared" ca="1" si="1"/>
        <v/>
      </c>
      <c r="D35" s="96" t="str">
        <f t="shared" ca="1" si="1"/>
        <v/>
      </c>
      <c r="E35" s="96" t="str">
        <f t="shared" ca="1" si="1"/>
        <v/>
      </c>
      <c r="F35" s="96" t="str">
        <f t="shared" ca="1" si="1"/>
        <v/>
      </c>
      <c r="G35" s="96" t="str">
        <f t="shared" ca="1" si="1"/>
        <v/>
      </c>
      <c r="H35" s="96" t="str">
        <f t="shared" ca="1" si="1"/>
        <v/>
      </c>
      <c r="I35" s="96" t="str">
        <f t="shared" ca="1" si="1"/>
        <v/>
      </c>
      <c r="J35" s="96" t="str">
        <f t="shared" ca="1" si="1"/>
        <v/>
      </c>
      <c r="K35" s="96" t="str">
        <f t="shared" ca="1" si="1"/>
        <v/>
      </c>
      <c r="L35" s="96" t="str">
        <f t="shared" ca="1" si="1"/>
        <v/>
      </c>
      <c r="P35" s="167"/>
      <c r="Q35" s="167"/>
      <c r="R35" s="167"/>
      <c r="S35" s="167"/>
      <c r="T35" s="167"/>
      <c r="U35" s="167"/>
      <c r="V35" s="167"/>
      <c r="W35" s="167"/>
      <c r="X35" s="167"/>
      <c r="Y35" s="167"/>
      <c r="Z35" s="167"/>
    </row>
    <row r="36" spans="2:26" ht="10.199999999999999" customHeight="1">
      <c r="B36" s="97" t="str">
        <f>IF(Calculation!BE41="","",Calculation!BE41)</f>
        <v/>
      </c>
      <c r="C36" s="96" t="str">
        <f t="shared" ca="1" si="1"/>
        <v/>
      </c>
      <c r="D36" s="96" t="str">
        <f t="shared" ca="1" si="1"/>
        <v/>
      </c>
      <c r="E36" s="96" t="str">
        <f t="shared" ca="1" si="1"/>
        <v/>
      </c>
      <c r="F36" s="96" t="str">
        <f t="shared" ca="1" si="1"/>
        <v/>
      </c>
      <c r="G36" s="96" t="str">
        <f t="shared" ca="1" si="1"/>
        <v/>
      </c>
      <c r="H36" s="96" t="str">
        <f t="shared" ca="1" si="1"/>
        <v/>
      </c>
      <c r="I36" s="96" t="str">
        <f t="shared" ca="1" si="1"/>
        <v/>
      </c>
      <c r="J36" s="96" t="str">
        <f t="shared" ca="1" si="1"/>
        <v/>
      </c>
      <c r="K36" s="96" t="str">
        <f t="shared" ca="1" si="1"/>
        <v/>
      </c>
      <c r="L36" s="96" t="str">
        <f t="shared" ca="1" si="1"/>
        <v/>
      </c>
      <c r="P36" s="168"/>
      <c r="Q36" s="168"/>
      <c r="R36" s="168"/>
      <c r="S36" s="168"/>
      <c r="T36" s="168"/>
      <c r="U36" s="168"/>
      <c r="V36" s="168"/>
      <c r="W36" s="168"/>
      <c r="X36" s="168"/>
      <c r="Y36" s="168"/>
      <c r="Z36" s="168"/>
    </row>
    <row r="37" spans="2:26" ht="10.199999999999999" customHeight="1">
      <c r="B37" s="97" t="str">
        <f>IF(Calculation!BE42="","",Calculation!BE42)</f>
        <v/>
      </c>
      <c r="C37" s="96" t="str">
        <f t="shared" ca="1" si="1"/>
        <v/>
      </c>
      <c r="D37" s="96" t="str">
        <f t="shared" ca="1" si="1"/>
        <v/>
      </c>
      <c r="E37" s="96" t="str">
        <f t="shared" ca="1" si="1"/>
        <v/>
      </c>
      <c r="F37" s="96" t="str">
        <f t="shared" ca="1" si="1"/>
        <v/>
      </c>
      <c r="G37" s="96" t="str">
        <f t="shared" ca="1" si="1"/>
        <v/>
      </c>
      <c r="H37" s="96" t="str">
        <f t="shared" ca="1" si="1"/>
        <v/>
      </c>
      <c r="I37" s="96" t="str">
        <f t="shared" ca="1" si="1"/>
        <v/>
      </c>
      <c r="J37" s="96" t="str">
        <f t="shared" ca="1" si="1"/>
        <v/>
      </c>
      <c r="K37" s="96" t="str">
        <f t="shared" ca="1" si="1"/>
        <v/>
      </c>
      <c r="L37" s="96" t="str">
        <f t="shared" ca="1" si="1"/>
        <v/>
      </c>
      <c r="P37" s="167"/>
      <c r="Q37" s="167"/>
      <c r="R37" s="167"/>
      <c r="S37" s="167"/>
      <c r="T37" s="167"/>
      <c r="U37" s="167"/>
      <c r="V37" s="167"/>
      <c r="W37" s="167"/>
      <c r="X37" s="167"/>
      <c r="Y37" s="167"/>
      <c r="Z37" s="167"/>
    </row>
    <row r="38" spans="2:26" ht="10.199999999999999" customHeight="1">
      <c r="B38" s="97" t="str">
        <f>IF(Calculation!BE43="","",Calculation!BE43)</f>
        <v/>
      </c>
      <c r="C38" s="96" t="str">
        <f t="shared" ref="C38:L53" ca="1" si="2">IF($M$4=0,"",VLOOKUP($B38,INDIRECT("$P$1:$Z$"&amp;$M$4),COLUMN()-1,0))</f>
        <v/>
      </c>
      <c r="D38" s="96" t="str">
        <f t="shared" ca="1" si="2"/>
        <v/>
      </c>
      <c r="E38" s="96" t="str">
        <f t="shared" ca="1" si="2"/>
        <v/>
      </c>
      <c r="F38" s="96" t="str">
        <f t="shared" ca="1" si="2"/>
        <v/>
      </c>
      <c r="G38" s="96" t="str">
        <f t="shared" ca="1" si="2"/>
        <v/>
      </c>
      <c r="H38" s="96" t="str">
        <f t="shared" ca="1" si="2"/>
        <v/>
      </c>
      <c r="I38" s="96" t="str">
        <f t="shared" ca="1" si="2"/>
        <v/>
      </c>
      <c r="J38" s="96" t="str">
        <f t="shared" ca="1" si="2"/>
        <v/>
      </c>
      <c r="K38" s="96" t="str">
        <f t="shared" ca="1" si="2"/>
        <v/>
      </c>
      <c r="L38" s="96" t="str">
        <f t="shared" ca="1" si="2"/>
        <v/>
      </c>
      <c r="P38" s="167"/>
      <c r="Q38" s="167"/>
      <c r="R38" s="167"/>
      <c r="S38" s="167"/>
      <c r="T38" s="167"/>
      <c r="U38" s="167"/>
      <c r="V38" s="167"/>
      <c r="W38" s="167"/>
      <c r="X38" s="167"/>
      <c r="Y38" s="167"/>
      <c r="Z38" s="167"/>
    </row>
    <row r="39" spans="2:26" ht="10.199999999999999" customHeight="1">
      <c r="B39" s="97" t="str">
        <f>IF(Calculation!BE44="","",Calculation!BE44)</f>
        <v/>
      </c>
      <c r="C39" s="96" t="str">
        <f t="shared" ca="1" si="2"/>
        <v/>
      </c>
      <c r="D39" s="96" t="str">
        <f t="shared" ca="1" si="2"/>
        <v/>
      </c>
      <c r="E39" s="96" t="str">
        <f t="shared" ca="1" si="2"/>
        <v/>
      </c>
      <c r="F39" s="96" t="str">
        <f t="shared" ca="1" si="2"/>
        <v/>
      </c>
      <c r="G39" s="96" t="str">
        <f t="shared" ca="1" si="2"/>
        <v/>
      </c>
      <c r="H39" s="96" t="str">
        <f t="shared" ca="1" si="2"/>
        <v/>
      </c>
      <c r="I39" s="96" t="str">
        <f t="shared" ca="1" si="2"/>
        <v/>
      </c>
      <c r="J39" s="96" t="str">
        <f t="shared" ca="1" si="2"/>
        <v/>
      </c>
      <c r="K39" s="96" t="str">
        <f t="shared" ca="1" si="2"/>
        <v/>
      </c>
      <c r="L39" s="96" t="str">
        <f t="shared" ca="1" si="2"/>
        <v/>
      </c>
      <c r="P39" s="168"/>
      <c r="Q39" s="168"/>
      <c r="R39" s="168"/>
      <c r="S39" s="168"/>
      <c r="T39" s="168"/>
      <c r="U39" s="168"/>
      <c r="V39" s="168"/>
      <c r="W39" s="168"/>
      <c r="X39" s="168"/>
      <c r="Y39" s="168"/>
      <c r="Z39" s="168"/>
    </row>
    <row r="40" spans="2:26" ht="10.199999999999999" customHeight="1">
      <c r="B40" s="97" t="str">
        <f>IF(Calculation!BE45="","",Calculation!BE45)</f>
        <v/>
      </c>
      <c r="C40" s="96" t="str">
        <f t="shared" ca="1" si="2"/>
        <v/>
      </c>
      <c r="D40" s="96" t="str">
        <f t="shared" ca="1" si="2"/>
        <v/>
      </c>
      <c r="E40" s="96" t="str">
        <f t="shared" ca="1" si="2"/>
        <v/>
      </c>
      <c r="F40" s="96" t="str">
        <f t="shared" ca="1" si="2"/>
        <v/>
      </c>
      <c r="G40" s="96" t="str">
        <f t="shared" ca="1" si="2"/>
        <v/>
      </c>
      <c r="H40" s="96" t="str">
        <f t="shared" ca="1" si="2"/>
        <v/>
      </c>
      <c r="I40" s="96" t="str">
        <f t="shared" ca="1" si="2"/>
        <v/>
      </c>
      <c r="J40" s="96" t="str">
        <f t="shared" ca="1" si="2"/>
        <v/>
      </c>
      <c r="K40" s="96" t="str">
        <f t="shared" ca="1" si="2"/>
        <v/>
      </c>
      <c r="L40" s="96" t="str">
        <f t="shared" ca="1" si="2"/>
        <v/>
      </c>
      <c r="P40" s="167"/>
      <c r="Q40" s="167"/>
      <c r="R40" s="167"/>
      <c r="S40" s="167"/>
      <c r="T40" s="167"/>
      <c r="U40" s="167"/>
      <c r="V40" s="167"/>
      <c r="W40" s="167"/>
      <c r="X40" s="167"/>
      <c r="Y40" s="167"/>
      <c r="Z40" s="167"/>
    </row>
    <row r="41" spans="2:26" ht="10.199999999999999" customHeight="1">
      <c r="B41" s="97" t="str">
        <f>IF(Calculation!BE47="","",Calculation!BE47)</f>
        <v/>
      </c>
      <c r="C41" s="96" t="str">
        <f t="shared" ca="1" si="2"/>
        <v/>
      </c>
      <c r="D41" s="96" t="str">
        <f t="shared" ca="1" si="2"/>
        <v/>
      </c>
      <c r="E41" s="96" t="str">
        <f t="shared" ca="1" si="2"/>
        <v/>
      </c>
      <c r="F41" s="96" t="str">
        <f t="shared" ca="1" si="2"/>
        <v/>
      </c>
      <c r="G41" s="96" t="str">
        <f t="shared" ca="1" si="2"/>
        <v/>
      </c>
      <c r="H41" s="96" t="str">
        <f t="shared" ca="1" si="2"/>
        <v/>
      </c>
      <c r="I41" s="96" t="str">
        <f t="shared" ca="1" si="2"/>
        <v/>
      </c>
      <c r="J41" s="96" t="str">
        <f t="shared" ca="1" si="2"/>
        <v/>
      </c>
      <c r="K41" s="96" t="str">
        <f t="shared" ca="1" si="2"/>
        <v/>
      </c>
      <c r="L41" s="96" t="str">
        <f t="shared" ca="1" si="2"/>
        <v/>
      </c>
      <c r="P41" s="167"/>
      <c r="Q41" s="167"/>
      <c r="R41" s="167"/>
      <c r="S41" s="167"/>
      <c r="T41" s="167"/>
      <c r="U41" s="167"/>
      <c r="V41" s="167"/>
      <c r="W41" s="167"/>
      <c r="X41" s="167"/>
      <c r="Y41" s="167"/>
      <c r="Z41" s="167"/>
    </row>
    <row r="42" spans="2:26" ht="10.199999999999999" customHeight="1">
      <c r="B42" s="97" t="str">
        <f>IF(Calculation!BE48="","",Calculation!BE48)</f>
        <v/>
      </c>
      <c r="C42" s="96" t="str">
        <f t="shared" ca="1" si="2"/>
        <v/>
      </c>
      <c r="D42" s="96" t="str">
        <f t="shared" ca="1" si="2"/>
        <v/>
      </c>
      <c r="E42" s="96" t="str">
        <f t="shared" ca="1" si="2"/>
        <v/>
      </c>
      <c r="F42" s="96" t="str">
        <f t="shared" ca="1" si="2"/>
        <v/>
      </c>
      <c r="G42" s="96" t="str">
        <f t="shared" ca="1" si="2"/>
        <v/>
      </c>
      <c r="H42" s="96" t="str">
        <f t="shared" ca="1" si="2"/>
        <v/>
      </c>
      <c r="I42" s="96" t="str">
        <f t="shared" ca="1" si="2"/>
        <v/>
      </c>
      <c r="J42" s="96" t="str">
        <f t="shared" ca="1" si="2"/>
        <v/>
      </c>
      <c r="K42" s="96" t="str">
        <f t="shared" ca="1" si="2"/>
        <v/>
      </c>
      <c r="L42" s="96" t="str">
        <f t="shared" ca="1" si="2"/>
        <v/>
      </c>
      <c r="P42" s="168"/>
      <c r="Q42" s="168"/>
      <c r="R42" s="168"/>
      <c r="S42" s="168"/>
      <c r="T42" s="168"/>
      <c r="U42" s="168"/>
      <c r="V42" s="168"/>
      <c r="W42" s="168"/>
      <c r="X42" s="168"/>
      <c r="Y42" s="168"/>
      <c r="Z42" s="168"/>
    </row>
    <row r="43" spans="2:26" ht="10.199999999999999" customHeight="1">
      <c r="B43" s="97" t="str">
        <f>IF(Calculation!BE49="","",Calculation!BE49)</f>
        <v/>
      </c>
      <c r="C43" s="96" t="str">
        <f t="shared" ca="1" si="2"/>
        <v/>
      </c>
      <c r="D43" s="96" t="str">
        <f t="shared" ca="1" si="2"/>
        <v/>
      </c>
      <c r="E43" s="96" t="str">
        <f t="shared" ca="1" si="2"/>
        <v/>
      </c>
      <c r="F43" s="96" t="str">
        <f t="shared" ca="1" si="2"/>
        <v/>
      </c>
      <c r="G43" s="96" t="str">
        <f t="shared" ca="1" si="2"/>
        <v/>
      </c>
      <c r="H43" s="96" t="str">
        <f t="shared" ca="1" si="2"/>
        <v/>
      </c>
      <c r="I43" s="96" t="str">
        <f t="shared" ca="1" si="2"/>
        <v/>
      </c>
      <c r="J43" s="96" t="str">
        <f t="shared" ca="1" si="2"/>
        <v/>
      </c>
      <c r="K43" s="96" t="str">
        <f t="shared" ca="1" si="2"/>
        <v/>
      </c>
      <c r="L43" s="96" t="str">
        <f t="shared" ca="1" si="2"/>
        <v/>
      </c>
      <c r="P43" s="167"/>
      <c r="Q43" s="167"/>
      <c r="R43" s="167"/>
      <c r="S43" s="167"/>
      <c r="T43" s="167"/>
      <c r="U43" s="167"/>
      <c r="V43" s="167"/>
      <c r="W43" s="167"/>
      <c r="X43" s="167"/>
      <c r="Y43" s="167"/>
      <c r="Z43" s="167"/>
    </row>
    <row r="44" spans="2:26" ht="10.199999999999999" customHeight="1">
      <c r="B44" s="97" t="str">
        <f>IF(Calculation!BE50="","",Calculation!BE50)</f>
        <v/>
      </c>
      <c r="C44" s="96" t="str">
        <f t="shared" ca="1" si="2"/>
        <v/>
      </c>
      <c r="D44" s="96" t="str">
        <f t="shared" ca="1" si="2"/>
        <v/>
      </c>
      <c r="E44" s="96" t="str">
        <f t="shared" ca="1" si="2"/>
        <v/>
      </c>
      <c r="F44" s="96" t="str">
        <f t="shared" ca="1" si="2"/>
        <v/>
      </c>
      <c r="G44" s="96" t="str">
        <f t="shared" ca="1" si="2"/>
        <v/>
      </c>
      <c r="H44" s="96" t="str">
        <f t="shared" ca="1" si="2"/>
        <v/>
      </c>
      <c r="I44" s="96" t="str">
        <f t="shared" ca="1" si="2"/>
        <v/>
      </c>
      <c r="J44" s="96" t="str">
        <f t="shared" ca="1" si="2"/>
        <v/>
      </c>
      <c r="K44" s="96" t="str">
        <f t="shared" ca="1" si="2"/>
        <v/>
      </c>
      <c r="L44" s="96" t="str">
        <f t="shared" ca="1" si="2"/>
        <v/>
      </c>
      <c r="P44" s="167"/>
      <c r="Q44" s="167"/>
      <c r="R44" s="167"/>
      <c r="S44" s="167"/>
      <c r="T44" s="167"/>
      <c r="U44" s="167"/>
      <c r="V44" s="167"/>
      <c r="W44" s="167"/>
      <c r="X44" s="167"/>
      <c r="Y44" s="167"/>
      <c r="Z44" s="167"/>
    </row>
    <row r="45" spans="2:26" ht="10.199999999999999" customHeight="1">
      <c r="B45" s="97" t="str">
        <f>IF(Calculation!BE51="","",Calculation!BE51)</f>
        <v/>
      </c>
      <c r="C45" s="96" t="str">
        <f t="shared" ca="1" si="2"/>
        <v/>
      </c>
      <c r="D45" s="96" t="str">
        <f t="shared" ca="1" si="2"/>
        <v/>
      </c>
      <c r="E45" s="96" t="str">
        <f t="shared" ca="1" si="2"/>
        <v/>
      </c>
      <c r="F45" s="96" t="str">
        <f t="shared" ca="1" si="2"/>
        <v/>
      </c>
      <c r="G45" s="96" t="str">
        <f t="shared" ca="1" si="2"/>
        <v/>
      </c>
      <c r="H45" s="96" t="str">
        <f t="shared" ca="1" si="2"/>
        <v/>
      </c>
      <c r="I45" s="96" t="str">
        <f t="shared" ca="1" si="2"/>
        <v/>
      </c>
      <c r="J45" s="96" t="str">
        <f t="shared" ca="1" si="2"/>
        <v/>
      </c>
      <c r="K45" s="96" t="str">
        <f t="shared" ca="1" si="2"/>
        <v/>
      </c>
      <c r="L45" s="96" t="str">
        <f t="shared" ca="1" si="2"/>
        <v/>
      </c>
      <c r="P45" s="168"/>
      <c r="Q45" s="168"/>
      <c r="R45" s="168"/>
      <c r="S45" s="168"/>
      <c r="T45" s="168"/>
      <c r="U45" s="168"/>
      <c r="V45" s="168"/>
      <c r="W45" s="168"/>
      <c r="X45" s="168"/>
      <c r="Y45" s="168"/>
      <c r="Z45" s="168"/>
    </row>
    <row r="46" spans="2:26" ht="10.199999999999999" customHeight="1">
      <c r="B46" s="97" t="str">
        <f>IF(Calculation!BE52="","",Calculation!BE52)</f>
        <v/>
      </c>
      <c r="C46" s="96" t="str">
        <f t="shared" ca="1" si="2"/>
        <v/>
      </c>
      <c r="D46" s="96" t="str">
        <f t="shared" ca="1" si="2"/>
        <v/>
      </c>
      <c r="E46" s="96" t="str">
        <f t="shared" ca="1" si="2"/>
        <v/>
      </c>
      <c r="F46" s="96" t="str">
        <f t="shared" ca="1" si="2"/>
        <v/>
      </c>
      <c r="G46" s="96" t="str">
        <f t="shared" ca="1" si="2"/>
        <v/>
      </c>
      <c r="H46" s="96" t="str">
        <f t="shared" ca="1" si="2"/>
        <v/>
      </c>
      <c r="I46" s="96" t="str">
        <f t="shared" ca="1" si="2"/>
        <v/>
      </c>
      <c r="J46" s="96" t="str">
        <f t="shared" ca="1" si="2"/>
        <v/>
      </c>
      <c r="K46" s="96" t="str">
        <f t="shared" ca="1" si="2"/>
        <v/>
      </c>
      <c r="L46" s="96" t="str">
        <f t="shared" ca="1" si="2"/>
        <v/>
      </c>
      <c r="P46" s="167"/>
      <c r="Q46" s="167"/>
      <c r="R46" s="167"/>
      <c r="S46" s="167"/>
      <c r="T46" s="167"/>
      <c r="U46" s="167"/>
      <c r="V46" s="167"/>
      <c r="W46" s="167"/>
      <c r="X46" s="167"/>
      <c r="Y46" s="167"/>
      <c r="Z46" s="167"/>
    </row>
    <row r="47" spans="2:26" ht="10.199999999999999" customHeight="1">
      <c r="B47" s="97" t="str">
        <f>IF(Calculation!BE53="","",Calculation!BE53)</f>
        <v/>
      </c>
      <c r="C47" s="96" t="str">
        <f t="shared" ca="1" si="2"/>
        <v/>
      </c>
      <c r="D47" s="96" t="str">
        <f t="shared" ca="1" si="2"/>
        <v/>
      </c>
      <c r="E47" s="96" t="str">
        <f t="shared" ca="1" si="2"/>
        <v/>
      </c>
      <c r="F47" s="96" t="str">
        <f t="shared" ca="1" si="2"/>
        <v/>
      </c>
      <c r="G47" s="96" t="str">
        <f t="shared" ca="1" si="2"/>
        <v/>
      </c>
      <c r="H47" s="96" t="str">
        <f t="shared" ca="1" si="2"/>
        <v/>
      </c>
      <c r="I47" s="96" t="str">
        <f t="shared" ca="1" si="2"/>
        <v/>
      </c>
      <c r="J47" s="96" t="str">
        <f t="shared" ca="1" si="2"/>
        <v/>
      </c>
      <c r="K47" s="96" t="str">
        <f t="shared" ca="1" si="2"/>
        <v/>
      </c>
      <c r="L47" s="96" t="str">
        <f t="shared" ca="1" si="2"/>
        <v/>
      </c>
      <c r="P47" s="167"/>
      <c r="Q47" s="167"/>
      <c r="R47" s="167"/>
      <c r="S47" s="167"/>
      <c r="T47" s="167"/>
      <c r="U47" s="167"/>
      <c r="V47" s="167"/>
      <c r="W47" s="167"/>
      <c r="X47" s="167"/>
      <c r="Y47" s="167"/>
      <c r="Z47" s="167"/>
    </row>
    <row r="48" spans="2:26" ht="10.199999999999999" customHeight="1">
      <c r="B48" s="97" t="str">
        <f>IF(Calculation!BE54="","",Calculation!BE54)</f>
        <v/>
      </c>
      <c r="C48" s="96" t="str">
        <f t="shared" ca="1" si="2"/>
        <v/>
      </c>
      <c r="D48" s="96" t="str">
        <f t="shared" ca="1" si="2"/>
        <v/>
      </c>
      <c r="E48" s="96" t="str">
        <f t="shared" ca="1" si="2"/>
        <v/>
      </c>
      <c r="F48" s="96" t="str">
        <f t="shared" ca="1" si="2"/>
        <v/>
      </c>
      <c r="G48" s="96" t="str">
        <f t="shared" ca="1" si="2"/>
        <v/>
      </c>
      <c r="H48" s="96" t="str">
        <f t="shared" ca="1" si="2"/>
        <v/>
      </c>
      <c r="I48" s="96" t="str">
        <f t="shared" ca="1" si="2"/>
        <v/>
      </c>
      <c r="J48" s="96" t="str">
        <f t="shared" ca="1" si="2"/>
        <v/>
      </c>
      <c r="K48" s="96" t="str">
        <f t="shared" ca="1" si="2"/>
        <v/>
      </c>
      <c r="L48" s="96" t="str">
        <f t="shared" ca="1" si="2"/>
        <v/>
      </c>
      <c r="P48" s="168"/>
      <c r="Q48" s="168"/>
      <c r="R48" s="168"/>
      <c r="S48" s="168"/>
      <c r="T48" s="168"/>
      <c r="U48" s="168"/>
      <c r="V48" s="168"/>
      <c r="W48" s="168"/>
      <c r="X48" s="168"/>
      <c r="Y48" s="168"/>
      <c r="Z48" s="168"/>
    </row>
    <row r="49" spans="2:26" ht="10.199999999999999" customHeight="1">
      <c r="B49" s="97" t="str">
        <f>IF(Calculation!BE55="","",Calculation!BE55)</f>
        <v/>
      </c>
      <c r="C49" s="96" t="str">
        <f t="shared" ca="1" si="2"/>
        <v/>
      </c>
      <c r="D49" s="96" t="str">
        <f t="shared" ca="1" si="2"/>
        <v/>
      </c>
      <c r="E49" s="96" t="str">
        <f t="shared" ca="1" si="2"/>
        <v/>
      </c>
      <c r="F49" s="96" t="str">
        <f t="shared" ca="1" si="2"/>
        <v/>
      </c>
      <c r="G49" s="96" t="str">
        <f t="shared" ca="1" si="2"/>
        <v/>
      </c>
      <c r="H49" s="96" t="str">
        <f t="shared" ca="1" si="2"/>
        <v/>
      </c>
      <c r="I49" s="96" t="str">
        <f t="shared" ca="1" si="2"/>
        <v/>
      </c>
      <c r="J49" s="96" t="str">
        <f t="shared" ca="1" si="2"/>
        <v/>
      </c>
      <c r="K49" s="96" t="str">
        <f t="shared" ca="1" si="2"/>
        <v/>
      </c>
      <c r="L49" s="96" t="str">
        <f t="shared" ca="1" si="2"/>
        <v/>
      </c>
      <c r="P49" s="167"/>
      <c r="Q49" s="167"/>
      <c r="R49" s="167"/>
      <c r="S49" s="167"/>
      <c r="T49" s="167"/>
      <c r="U49" s="167"/>
      <c r="V49" s="167"/>
      <c r="W49" s="167"/>
      <c r="X49" s="167"/>
      <c r="Y49" s="167"/>
      <c r="Z49" s="167"/>
    </row>
    <row r="50" spans="2:26" ht="10.199999999999999" customHeight="1">
      <c r="B50" s="97" t="str">
        <f>IF(Calculation!BE56="","",Calculation!BE56)</f>
        <v/>
      </c>
      <c r="C50" s="96" t="str">
        <f t="shared" ca="1" si="2"/>
        <v/>
      </c>
      <c r="D50" s="96" t="str">
        <f t="shared" ca="1" si="2"/>
        <v/>
      </c>
      <c r="E50" s="96" t="str">
        <f t="shared" ca="1" si="2"/>
        <v/>
      </c>
      <c r="F50" s="96" t="str">
        <f t="shared" ca="1" si="2"/>
        <v/>
      </c>
      <c r="G50" s="96" t="str">
        <f t="shared" ca="1" si="2"/>
        <v/>
      </c>
      <c r="H50" s="96" t="str">
        <f t="shared" ca="1" si="2"/>
        <v/>
      </c>
      <c r="I50" s="96" t="str">
        <f t="shared" ca="1" si="2"/>
        <v/>
      </c>
      <c r="J50" s="96" t="str">
        <f t="shared" ca="1" si="2"/>
        <v/>
      </c>
      <c r="K50" s="96" t="str">
        <f t="shared" ca="1" si="2"/>
        <v/>
      </c>
      <c r="L50" s="96" t="str">
        <f t="shared" ca="1" si="2"/>
        <v/>
      </c>
      <c r="P50" s="167"/>
      <c r="Q50" s="167"/>
      <c r="R50" s="167"/>
      <c r="S50" s="167"/>
      <c r="T50" s="167"/>
      <c r="U50" s="167"/>
      <c r="V50" s="167"/>
      <c r="W50" s="167"/>
      <c r="X50" s="167"/>
      <c r="Y50" s="167"/>
      <c r="Z50" s="167"/>
    </row>
    <row r="51" spans="2:26" ht="10.199999999999999" customHeight="1">
      <c r="B51" s="97" t="str">
        <f>IF(Calculation!BE57="","",Calculation!BE57)</f>
        <v/>
      </c>
      <c r="C51" s="96" t="str">
        <f t="shared" ca="1" si="2"/>
        <v/>
      </c>
      <c r="D51" s="96" t="str">
        <f t="shared" ca="1" si="2"/>
        <v/>
      </c>
      <c r="E51" s="96" t="str">
        <f t="shared" ca="1" si="2"/>
        <v/>
      </c>
      <c r="F51" s="96" t="str">
        <f t="shared" ca="1" si="2"/>
        <v/>
      </c>
      <c r="G51" s="96" t="str">
        <f t="shared" ca="1" si="2"/>
        <v/>
      </c>
      <c r="H51" s="96" t="str">
        <f t="shared" ca="1" si="2"/>
        <v/>
      </c>
      <c r="I51" s="96" t="str">
        <f t="shared" ca="1" si="2"/>
        <v/>
      </c>
      <c r="J51" s="96" t="str">
        <f t="shared" ca="1" si="2"/>
        <v/>
      </c>
      <c r="K51" s="96" t="str">
        <f t="shared" ca="1" si="2"/>
        <v/>
      </c>
      <c r="L51" s="96" t="str">
        <f t="shared" ca="1" si="2"/>
        <v/>
      </c>
      <c r="P51" s="168"/>
      <c r="Q51" s="168"/>
      <c r="R51" s="168"/>
      <c r="S51" s="168"/>
      <c r="T51" s="168"/>
      <c r="U51" s="168"/>
      <c r="V51" s="168"/>
      <c r="W51" s="168"/>
      <c r="X51" s="168"/>
      <c r="Y51" s="168"/>
      <c r="Z51" s="168"/>
    </row>
    <row r="52" spans="2:26" ht="10.199999999999999" customHeight="1">
      <c r="B52" s="97" t="str">
        <f>IF(Calculation!BE58="","",Calculation!BE58)</f>
        <v/>
      </c>
      <c r="C52" s="96" t="str">
        <f t="shared" ca="1" si="2"/>
        <v/>
      </c>
      <c r="D52" s="96" t="str">
        <f t="shared" ca="1" si="2"/>
        <v/>
      </c>
      <c r="E52" s="96" t="str">
        <f t="shared" ca="1" si="2"/>
        <v/>
      </c>
      <c r="F52" s="96" t="str">
        <f t="shared" ca="1" si="2"/>
        <v/>
      </c>
      <c r="G52" s="96" t="str">
        <f t="shared" ca="1" si="2"/>
        <v/>
      </c>
      <c r="H52" s="96" t="str">
        <f t="shared" ca="1" si="2"/>
        <v/>
      </c>
      <c r="I52" s="96" t="str">
        <f t="shared" ca="1" si="2"/>
        <v/>
      </c>
      <c r="J52" s="96" t="str">
        <f t="shared" ca="1" si="2"/>
        <v/>
      </c>
      <c r="K52" s="96" t="str">
        <f t="shared" ca="1" si="2"/>
        <v/>
      </c>
      <c r="L52" s="96" t="str">
        <f t="shared" ca="1" si="2"/>
        <v/>
      </c>
      <c r="P52" s="167"/>
      <c r="Q52" s="167"/>
      <c r="R52" s="167"/>
      <c r="S52" s="167"/>
      <c r="T52" s="167"/>
      <c r="U52" s="167"/>
      <c r="V52" s="167"/>
      <c r="W52" s="167"/>
      <c r="X52" s="167"/>
      <c r="Y52" s="167"/>
      <c r="Z52" s="167"/>
    </row>
    <row r="53" spans="2:26" ht="10.199999999999999" customHeight="1">
      <c r="B53" s="97" t="str">
        <f>IF(Calculation!BE59="","",Calculation!BE59)</f>
        <v/>
      </c>
      <c r="C53" s="96" t="str">
        <f t="shared" ca="1" si="2"/>
        <v/>
      </c>
      <c r="D53" s="96" t="str">
        <f t="shared" ca="1" si="2"/>
        <v/>
      </c>
      <c r="E53" s="96" t="str">
        <f t="shared" ca="1" si="2"/>
        <v/>
      </c>
      <c r="F53" s="96" t="str">
        <f t="shared" ca="1" si="2"/>
        <v/>
      </c>
      <c r="G53" s="96" t="str">
        <f t="shared" ca="1" si="2"/>
        <v/>
      </c>
      <c r="H53" s="96" t="str">
        <f t="shared" ca="1" si="2"/>
        <v/>
      </c>
      <c r="I53" s="96" t="str">
        <f t="shared" ca="1" si="2"/>
        <v/>
      </c>
      <c r="J53" s="96" t="str">
        <f t="shared" ca="1" si="2"/>
        <v/>
      </c>
      <c r="K53" s="96" t="str">
        <f t="shared" ca="1" si="2"/>
        <v/>
      </c>
      <c r="L53" s="96" t="str">
        <f t="shared" ca="1" si="2"/>
        <v/>
      </c>
      <c r="P53" s="167"/>
      <c r="Q53" s="167"/>
      <c r="R53" s="167"/>
      <c r="S53" s="167"/>
      <c r="T53" s="167"/>
      <c r="U53" s="167"/>
      <c r="V53" s="167"/>
      <c r="W53" s="167"/>
      <c r="X53" s="167"/>
      <c r="Y53" s="167"/>
      <c r="Z53" s="167"/>
    </row>
    <row r="54" spans="2:26" ht="10.199999999999999" customHeight="1">
      <c r="B54" s="97" t="str">
        <f>IF(Calculation!BE60="","",Calculation!BE60)</f>
        <v/>
      </c>
      <c r="C54" s="96" t="str">
        <f t="shared" ref="C54:L55" ca="1" si="3">IF($M$4=0,"",VLOOKUP($B54,INDIRECT("$P$1:$Z$"&amp;$M$4),COLUMN()-1,0))</f>
        <v/>
      </c>
      <c r="D54" s="96" t="str">
        <f t="shared" ca="1" si="3"/>
        <v/>
      </c>
      <c r="E54" s="96" t="str">
        <f t="shared" ca="1" si="3"/>
        <v/>
      </c>
      <c r="F54" s="96" t="str">
        <f t="shared" ca="1" si="3"/>
        <v/>
      </c>
      <c r="G54" s="96" t="str">
        <f t="shared" ca="1" si="3"/>
        <v/>
      </c>
      <c r="H54" s="96" t="str">
        <f t="shared" ca="1" si="3"/>
        <v/>
      </c>
      <c r="I54" s="96" t="str">
        <f t="shared" ca="1" si="3"/>
        <v/>
      </c>
      <c r="J54" s="96" t="str">
        <f t="shared" ca="1" si="3"/>
        <v/>
      </c>
      <c r="K54" s="96" t="str">
        <f t="shared" ca="1" si="3"/>
        <v/>
      </c>
      <c r="L54" s="96" t="str">
        <f t="shared" ca="1" si="3"/>
        <v/>
      </c>
      <c r="P54" s="168"/>
      <c r="Q54" s="168"/>
      <c r="R54" s="168"/>
      <c r="S54" s="168"/>
      <c r="T54" s="168"/>
      <c r="U54" s="168"/>
      <c r="V54" s="168"/>
      <c r="W54" s="168"/>
      <c r="X54" s="168"/>
      <c r="Y54" s="168"/>
      <c r="Z54" s="168"/>
    </row>
    <row r="55" spans="2:26" ht="10.199999999999999" customHeight="1">
      <c r="B55" s="97" t="str">
        <f>IF(Calculation!BE61="","",Calculation!BE61)</f>
        <v/>
      </c>
      <c r="C55" s="96" t="str">
        <f t="shared" ca="1" si="3"/>
        <v/>
      </c>
      <c r="D55" s="96" t="str">
        <f t="shared" ca="1" si="3"/>
        <v/>
      </c>
      <c r="E55" s="96" t="str">
        <f t="shared" ca="1" si="3"/>
        <v/>
      </c>
      <c r="F55" s="96" t="str">
        <f t="shared" ca="1" si="3"/>
        <v/>
      </c>
      <c r="G55" s="96" t="str">
        <f t="shared" ca="1" si="3"/>
        <v/>
      </c>
      <c r="H55" s="96" t="str">
        <f t="shared" ca="1" si="3"/>
        <v/>
      </c>
      <c r="I55" s="96" t="str">
        <f t="shared" ca="1" si="3"/>
        <v/>
      </c>
      <c r="J55" s="96" t="str">
        <f t="shared" ca="1" si="3"/>
        <v/>
      </c>
      <c r="K55" s="96" t="str">
        <f t="shared" ca="1" si="3"/>
        <v/>
      </c>
      <c r="L55" s="96" t="str">
        <f t="shared" ca="1" si="3"/>
        <v/>
      </c>
      <c r="P55" s="167"/>
      <c r="Q55" s="167"/>
      <c r="R55" s="167"/>
      <c r="S55" s="167"/>
      <c r="T55" s="167"/>
      <c r="U55" s="167"/>
      <c r="V55" s="167"/>
      <c r="W55" s="167"/>
      <c r="X55" s="167"/>
      <c r="Y55" s="167"/>
      <c r="Z55" s="167"/>
    </row>
    <row r="56" spans="2:26" ht="10.199999999999999" customHeight="1">
      <c r="P56" s="167"/>
      <c r="Q56" s="167"/>
      <c r="R56" s="167"/>
      <c r="S56" s="167"/>
      <c r="T56" s="167"/>
      <c r="U56" s="167"/>
      <c r="V56" s="167"/>
      <c r="W56" s="167"/>
      <c r="X56" s="167"/>
      <c r="Y56" s="167"/>
      <c r="Z56" s="167"/>
    </row>
    <row r="57" spans="2:26" ht="10.199999999999999" customHeight="1">
      <c r="P57" s="168"/>
      <c r="Q57" s="168"/>
      <c r="R57" s="168"/>
      <c r="S57" s="168"/>
      <c r="T57" s="168"/>
      <c r="U57" s="168"/>
      <c r="V57" s="168"/>
      <c r="W57" s="168"/>
      <c r="X57" s="168"/>
      <c r="Y57" s="168"/>
      <c r="Z57" s="168"/>
    </row>
    <row r="58" spans="2:26" ht="10.199999999999999" customHeight="1">
      <c r="P58" s="167"/>
      <c r="Q58" s="167"/>
      <c r="R58" s="167"/>
      <c r="S58" s="167"/>
      <c r="T58" s="167"/>
      <c r="U58" s="167"/>
      <c r="V58" s="167"/>
      <c r="W58" s="167"/>
      <c r="X58" s="167"/>
      <c r="Y58" s="167"/>
      <c r="Z58" s="167"/>
    </row>
    <row r="59" spans="2:26" ht="10.199999999999999" customHeight="1">
      <c r="P59" s="167"/>
      <c r="Q59" s="167"/>
      <c r="R59" s="167"/>
      <c r="S59" s="167"/>
      <c r="T59" s="167"/>
      <c r="U59" s="167"/>
      <c r="V59" s="167"/>
      <c r="W59" s="167"/>
      <c r="X59" s="167"/>
      <c r="Y59" s="167"/>
      <c r="Z59" s="167"/>
    </row>
    <row r="60" spans="2:26" ht="10.199999999999999" customHeight="1">
      <c r="P60" s="168"/>
      <c r="Q60" s="168"/>
      <c r="R60" s="168"/>
      <c r="S60" s="168"/>
      <c r="T60" s="168"/>
      <c r="U60" s="168"/>
      <c r="V60" s="168"/>
      <c r="W60" s="168"/>
      <c r="X60" s="168"/>
      <c r="Y60" s="168"/>
      <c r="Z60" s="168"/>
    </row>
    <row r="61" spans="2:26" ht="10.199999999999999" customHeight="1">
      <c r="P61" s="167"/>
      <c r="Q61" s="167"/>
      <c r="R61" s="167"/>
      <c r="S61" s="167"/>
      <c r="T61" s="167"/>
      <c r="U61" s="167"/>
      <c r="V61" s="167"/>
      <c r="W61" s="167"/>
      <c r="X61" s="167"/>
      <c r="Y61" s="167"/>
      <c r="Z61" s="167"/>
    </row>
    <row r="62" spans="2:26" ht="10.199999999999999" customHeight="1">
      <c r="P62" s="167"/>
      <c r="Q62" s="167"/>
      <c r="R62" s="167"/>
      <c r="S62" s="167"/>
      <c r="T62" s="167"/>
      <c r="U62" s="167"/>
      <c r="V62" s="167"/>
      <c r="W62" s="167"/>
      <c r="X62" s="167"/>
      <c r="Y62" s="167"/>
      <c r="Z62" s="167"/>
    </row>
    <row r="63" spans="2:26" ht="10.199999999999999" customHeight="1">
      <c r="P63" s="168"/>
      <c r="Q63" s="168"/>
      <c r="R63" s="168"/>
      <c r="S63" s="168"/>
      <c r="T63" s="168"/>
      <c r="U63" s="168"/>
      <c r="V63" s="168"/>
      <c r="W63" s="168"/>
      <c r="X63" s="168"/>
      <c r="Y63" s="168"/>
      <c r="Z63" s="168"/>
    </row>
    <row r="64" spans="2:26" ht="10.199999999999999" customHeight="1">
      <c r="P64" s="167"/>
      <c r="Q64" s="167"/>
      <c r="R64" s="167"/>
      <c r="S64" s="167"/>
      <c r="T64" s="167"/>
      <c r="U64" s="167"/>
      <c r="V64" s="167"/>
      <c r="W64" s="167"/>
      <c r="X64" s="167"/>
      <c r="Y64" s="167"/>
      <c r="Z64" s="167"/>
    </row>
    <row r="65" spans="16:26" ht="10.199999999999999" customHeight="1">
      <c r="P65" s="167"/>
      <c r="Q65" s="167"/>
      <c r="R65" s="167"/>
      <c r="S65" s="167"/>
      <c r="T65" s="167"/>
      <c r="U65" s="167"/>
      <c r="V65" s="167"/>
      <c r="W65" s="167"/>
      <c r="X65" s="167"/>
      <c r="Y65" s="167"/>
      <c r="Z65" s="167"/>
    </row>
    <row r="66" spans="16:26" ht="10.199999999999999" customHeight="1">
      <c r="P66" s="168"/>
      <c r="Q66" s="168"/>
      <c r="R66" s="168"/>
      <c r="S66" s="168"/>
      <c r="T66" s="168"/>
      <c r="U66" s="168"/>
      <c r="V66" s="168"/>
      <c r="W66" s="168"/>
      <c r="X66" s="168"/>
      <c r="Y66" s="168"/>
      <c r="Z66" s="168"/>
    </row>
    <row r="67" spans="16:26" ht="10.199999999999999" customHeight="1">
      <c r="P67" s="167"/>
      <c r="Q67" s="167"/>
      <c r="R67" s="167"/>
      <c r="S67" s="167"/>
      <c r="T67" s="167"/>
      <c r="U67" s="167"/>
      <c r="V67" s="167"/>
      <c r="W67" s="167"/>
      <c r="X67" s="167"/>
      <c r="Y67" s="167"/>
      <c r="Z67" s="167"/>
    </row>
    <row r="68" spans="16:26" ht="10.199999999999999" customHeight="1">
      <c r="P68" s="167"/>
      <c r="Q68" s="167"/>
      <c r="R68" s="167"/>
      <c r="S68" s="167"/>
      <c r="T68" s="167"/>
      <c r="U68" s="167"/>
      <c r="V68" s="167"/>
      <c r="W68" s="167"/>
      <c r="X68" s="167"/>
      <c r="Y68" s="167"/>
      <c r="Z68" s="167"/>
    </row>
    <row r="69" spans="16:26" ht="10.199999999999999" customHeight="1">
      <c r="P69" s="168"/>
      <c r="Q69" s="168"/>
      <c r="R69" s="168"/>
      <c r="S69" s="168"/>
      <c r="T69" s="168"/>
      <c r="U69" s="168"/>
      <c r="V69" s="168"/>
      <c r="W69" s="168"/>
      <c r="X69" s="168"/>
      <c r="Y69" s="168"/>
      <c r="Z69" s="168"/>
    </row>
    <row r="70" spans="16:26" ht="10.199999999999999" customHeight="1">
      <c r="P70" s="167"/>
      <c r="Q70" s="167"/>
      <c r="R70" s="167"/>
      <c r="S70" s="167"/>
      <c r="T70" s="167"/>
      <c r="U70" s="167"/>
      <c r="V70" s="167"/>
      <c r="W70" s="167"/>
      <c r="X70" s="167"/>
      <c r="Y70" s="167"/>
      <c r="Z70" s="167"/>
    </row>
    <row r="71" spans="16:26" ht="10.199999999999999" customHeight="1">
      <c r="P71" s="167"/>
      <c r="Q71" s="167"/>
      <c r="R71" s="167"/>
      <c r="S71" s="167"/>
      <c r="T71" s="167"/>
      <c r="U71" s="167"/>
      <c r="V71" s="167"/>
      <c r="W71" s="167"/>
      <c r="X71" s="167"/>
      <c r="Y71" s="167"/>
      <c r="Z71" s="167"/>
    </row>
    <row r="72" spans="16:26" ht="10.199999999999999" customHeight="1">
      <c r="P72" s="168"/>
      <c r="Q72" s="168"/>
      <c r="R72" s="168"/>
      <c r="S72" s="168"/>
      <c r="T72" s="168"/>
      <c r="U72" s="168"/>
      <c r="V72" s="168"/>
      <c r="W72" s="168"/>
      <c r="X72" s="168"/>
      <c r="Y72" s="168"/>
      <c r="Z72" s="168"/>
    </row>
    <row r="73" spans="16:26" ht="10.199999999999999" customHeight="1">
      <c r="P73" s="167"/>
      <c r="Q73" s="167"/>
      <c r="R73" s="167"/>
      <c r="S73" s="167"/>
      <c r="T73" s="167"/>
      <c r="U73" s="167"/>
      <c r="V73" s="167"/>
      <c r="W73" s="167"/>
      <c r="X73" s="167"/>
      <c r="Y73" s="167"/>
      <c r="Z73" s="167"/>
    </row>
    <row r="74" spans="16:26" ht="10.199999999999999" customHeight="1">
      <c r="P74" s="167"/>
      <c r="Q74" s="167"/>
      <c r="R74" s="167"/>
      <c r="S74" s="167"/>
      <c r="T74" s="167"/>
      <c r="U74" s="167"/>
      <c r="V74" s="167"/>
      <c r="W74" s="167"/>
      <c r="X74" s="167"/>
      <c r="Y74" s="167"/>
      <c r="Z74" s="167"/>
    </row>
    <row r="75" spans="16:26" ht="10.199999999999999" customHeight="1">
      <c r="P75" s="168"/>
      <c r="Q75" s="168"/>
      <c r="R75" s="168"/>
      <c r="S75" s="168"/>
      <c r="T75" s="168"/>
      <c r="U75" s="168"/>
      <c r="V75" s="168"/>
      <c r="W75" s="168"/>
      <c r="X75" s="168"/>
      <c r="Y75" s="168"/>
      <c r="Z75" s="168"/>
    </row>
    <row r="76" spans="16:26" ht="10.199999999999999" customHeight="1">
      <c r="P76" s="167"/>
      <c r="Q76" s="167"/>
      <c r="R76" s="167"/>
      <c r="S76" s="167"/>
      <c r="T76" s="167"/>
      <c r="U76" s="167"/>
      <c r="V76" s="167"/>
      <c r="W76" s="167"/>
      <c r="X76" s="167"/>
      <c r="Y76" s="167"/>
      <c r="Z76" s="167"/>
    </row>
    <row r="77" spans="16:26" ht="10.199999999999999" customHeight="1">
      <c r="P77" s="167"/>
      <c r="Q77" s="167"/>
      <c r="R77" s="167"/>
      <c r="S77" s="167"/>
      <c r="T77" s="167"/>
      <c r="U77" s="167"/>
      <c r="V77" s="167"/>
      <c r="W77" s="167"/>
      <c r="X77" s="167"/>
      <c r="Y77" s="167"/>
      <c r="Z77" s="167"/>
    </row>
    <row r="78" spans="16:26" ht="10.199999999999999" customHeight="1">
      <c r="P78" s="168"/>
      <c r="Q78" s="168"/>
      <c r="R78" s="168"/>
      <c r="S78" s="168"/>
      <c r="T78" s="168"/>
      <c r="U78" s="168"/>
      <c r="V78" s="168"/>
      <c r="W78" s="168"/>
      <c r="X78" s="168"/>
      <c r="Y78" s="168"/>
      <c r="Z78" s="168"/>
    </row>
    <row r="79" spans="16:26" ht="10.199999999999999" customHeight="1">
      <c r="P79" s="167"/>
      <c r="Q79" s="167"/>
      <c r="R79" s="167"/>
      <c r="S79" s="167"/>
      <c r="T79" s="167"/>
      <c r="U79" s="167"/>
      <c r="V79" s="167"/>
      <c r="W79" s="167"/>
      <c r="X79" s="167"/>
      <c r="Y79" s="167"/>
      <c r="Z79" s="167"/>
    </row>
    <row r="80" spans="16:26" ht="10.199999999999999" customHeight="1">
      <c r="P80" s="167"/>
      <c r="Q80" s="167"/>
      <c r="R80" s="167"/>
      <c r="S80" s="167"/>
      <c r="T80" s="167"/>
      <c r="U80" s="167"/>
      <c r="V80" s="167"/>
      <c r="W80" s="167"/>
      <c r="X80" s="167"/>
      <c r="Y80" s="167"/>
      <c r="Z80" s="167"/>
    </row>
    <row r="81" spans="16:26" ht="10.199999999999999" customHeight="1">
      <c r="P81" s="168"/>
      <c r="Q81" s="168"/>
      <c r="R81" s="168"/>
      <c r="S81" s="168"/>
      <c r="T81" s="168"/>
      <c r="U81" s="168"/>
      <c r="V81" s="168"/>
      <c r="W81" s="168"/>
      <c r="X81" s="168"/>
      <c r="Y81" s="168"/>
      <c r="Z81" s="168"/>
    </row>
    <row r="82" spans="16:26" ht="10.199999999999999" customHeight="1">
      <c r="P82" s="167"/>
      <c r="Q82" s="167"/>
      <c r="R82" s="167"/>
      <c r="S82" s="167"/>
      <c r="T82" s="167"/>
      <c r="U82" s="167"/>
      <c r="V82" s="167"/>
      <c r="W82" s="167"/>
      <c r="X82" s="167"/>
      <c r="Y82" s="167"/>
      <c r="Z82" s="167"/>
    </row>
    <row r="83" spans="16:26" ht="10.199999999999999" customHeight="1">
      <c r="P83" s="167"/>
      <c r="Q83" s="167"/>
      <c r="R83" s="167"/>
      <c r="S83" s="167"/>
      <c r="T83" s="167"/>
      <c r="U83" s="167"/>
      <c r="V83" s="167"/>
      <c r="W83" s="167"/>
      <c r="X83" s="167"/>
      <c r="Y83" s="167"/>
      <c r="Z83" s="167"/>
    </row>
    <row r="84" spans="16:26" ht="10.199999999999999" customHeight="1">
      <c r="P84" s="168"/>
      <c r="Q84" s="168"/>
      <c r="R84" s="168"/>
      <c r="S84" s="168"/>
      <c r="T84" s="168"/>
      <c r="U84" s="168"/>
      <c r="V84" s="168"/>
      <c r="W84" s="168"/>
      <c r="X84" s="168"/>
      <c r="Y84" s="168"/>
      <c r="Z84" s="168"/>
    </row>
    <row r="85" spans="16:26" ht="10.199999999999999" customHeight="1">
      <c r="P85" s="167"/>
      <c r="Q85" s="167"/>
      <c r="R85" s="167"/>
      <c r="S85" s="167"/>
      <c r="T85" s="167"/>
      <c r="U85" s="167"/>
      <c r="V85" s="167"/>
      <c r="W85" s="167"/>
      <c r="X85" s="167"/>
      <c r="Y85" s="167"/>
      <c r="Z85" s="167"/>
    </row>
    <row r="86" spans="16:26" ht="10.199999999999999" customHeight="1">
      <c r="P86" s="167"/>
      <c r="Q86" s="167"/>
      <c r="R86" s="167"/>
      <c r="S86" s="167"/>
      <c r="T86" s="167"/>
      <c r="U86" s="167"/>
      <c r="V86" s="167"/>
      <c r="W86" s="167"/>
      <c r="X86" s="167"/>
      <c r="Y86" s="167"/>
      <c r="Z86" s="167"/>
    </row>
    <row r="87" spans="16:26" ht="10.199999999999999" customHeight="1">
      <c r="P87" s="168"/>
      <c r="Q87" s="168"/>
      <c r="R87" s="168"/>
      <c r="S87" s="168"/>
      <c r="T87" s="168"/>
      <c r="U87" s="168"/>
      <c r="V87" s="168"/>
      <c r="W87" s="168"/>
      <c r="X87" s="168"/>
      <c r="Y87" s="168"/>
      <c r="Z87" s="168"/>
    </row>
    <row r="88" spans="16:26" ht="10.199999999999999" customHeight="1">
      <c r="P88" s="167"/>
      <c r="Q88" s="167"/>
      <c r="R88" s="167"/>
      <c r="S88" s="167"/>
      <c r="T88" s="167"/>
      <c r="U88" s="167"/>
      <c r="V88" s="167"/>
      <c r="W88" s="167"/>
      <c r="X88" s="167"/>
      <c r="Y88" s="167"/>
      <c r="Z88" s="167"/>
    </row>
    <row r="89" spans="16:26" ht="10.199999999999999" customHeight="1">
      <c r="P89" s="167"/>
      <c r="Q89" s="167"/>
      <c r="R89" s="167"/>
      <c r="S89" s="167"/>
      <c r="T89" s="167"/>
      <c r="U89" s="167"/>
      <c r="V89" s="167"/>
      <c r="W89" s="167"/>
      <c r="X89" s="167"/>
      <c r="Y89" s="167"/>
      <c r="Z89" s="167"/>
    </row>
    <row r="90" spans="16:26" ht="10.199999999999999" customHeight="1">
      <c r="P90" s="168"/>
      <c r="Q90" s="168"/>
      <c r="R90" s="168"/>
      <c r="S90" s="168"/>
      <c r="T90" s="168"/>
      <c r="U90" s="168"/>
      <c r="V90" s="168"/>
      <c r="W90" s="168"/>
      <c r="X90" s="168"/>
      <c r="Y90" s="168"/>
      <c r="Z90" s="168"/>
    </row>
    <row r="91" spans="16:26" ht="10.199999999999999" customHeight="1">
      <c r="P91" s="167"/>
      <c r="Q91" s="167"/>
      <c r="R91" s="167"/>
      <c r="S91" s="167"/>
      <c r="T91" s="167"/>
      <c r="U91" s="167"/>
      <c r="V91" s="167"/>
      <c r="W91" s="167"/>
      <c r="X91" s="167"/>
      <c r="Y91" s="167"/>
      <c r="Z91" s="167"/>
    </row>
    <row r="92" spans="16:26" ht="10.199999999999999" customHeight="1">
      <c r="P92" s="167"/>
      <c r="Q92" s="167"/>
      <c r="R92" s="167"/>
      <c r="S92" s="167"/>
      <c r="T92" s="167"/>
      <c r="U92" s="167"/>
      <c r="V92" s="167"/>
      <c r="W92" s="167"/>
      <c r="X92" s="167"/>
      <c r="Y92" s="167"/>
      <c r="Z92" s="167"/>
    </row>
    <row r="93" spans="16:26" ht="10.199999999999999" customHeight="1">
      <c r="P93" s="168"/>
      <c r="Q93" s="168"/>
      <c r="R93" s="168"/>
      <c r="S93" s="168"/>
      <c r="T93" s="168"/>
      <c r="U93" s="168"/>
      <c r="V93" s="168"/>
      <c r="W93" s="168"/>
      <c r="X93" s="168"/>
      <c r="Y93" s="168"/>
      <c r="Z93" s="168"/>
    </row>
    <row r="94" spans="16:26" ht="10.199999999999999" customHeight="1">
      <c r="P94" s="167"/>
      <c r="Q94" s="167"/>
      <c r="R94" s="167"/>
      <c r="S94" s="167"/>
      <c r="T94" s="167"/>
      <c r="U94" s="167"/>
      <c r="V94" s="167"/>
      <c r="W94" s="167"/>
      <c r="X94" s="167"/>
      <c r="Y94" s="167"/>
      <c r="Z94" s="167"/>
    </row>
    <row r="95" spans="16:26" ht="10.199999999999999" customHeight="1">
      <c r="P95" s="167"/>
      <c r="Q95" s="167"/>
      <c r="R95" s="167"/>
      <c r="S95" s="167"/>
      <c r="T95" s="167"/>
      <c r="U95" s="167"/>
      <c r="V95" s="167"/>
      <c r="W95" s="167"/>
      <c r="X95" s="167"/>
      <c r="Y95" s="167"/>
      <c r="Z95" s="167"/>
    </row>
    <row r="96" spans="16:26" ht="10.199999999999999" customHeight="1">
      <c r="P96" s="168"/>
      <c r="Q96" s="168"/>
      <c r="R96" s="168"/>
      <c r="S96" s="168"/>
      <c r="T96" s="168"/>
      <c r="U96" s="168"/>
      <c r="V96" s="168"/>
      <c r="W96" s="168"/>
      <c r="X96" s="168"/>
      <c r="Y96" s="168"/>
      <c r="Z96" s="168"/>
    </row>
    <row r="97" spans="16:26" ht="10.199999999999999" customHeight="1">
      <c r="P97" s="167"/>
      <c r="Q97" s="167"/>
      <c r="R97" s="167"/>
      <c r="S97" s="167"/>
      <c r="T97" s="167"/>
      <c r="U97" s="167"/>
      <c r="V97" s="167"/>
      <c r="W97" s="167"/>
      <c r="X97" s="167"/>
      <c r="Y97" s="167"/>
      <c r="Z97" s="167"/>
    </row>
    <row r="98" spans="16:26" ht="10.199999999999999" customHeight="1">
      <c r="P98" s="167"/>
      <c r="Q98" s="167"/>
      <c r="R98" s="167"/>
      <c r="S98" s="167"/>
      <c r="T98" s="167"/>
      <c r="U98" s="167"/>
      <c r="V98" s="167"/>
      <c r="W98" s="167"/>
      <c r="X98" s="167"/>
      <c r="Y98" s="167"/>
      <c r="Z98" s="167"/>
    </row>
    <row r="99" spans="16:26" ht="10.199999999999999" customHeight="1">
      <c r="P99" s="168"/>
      <c r="Q99" s="168"/>
      <c r="R99" s="168"/>
      <c r="S99" s="168"/>
      <c r="T99" s="168"/>
      <c r="U99" s="168"/>
      <c r="V99" s="168"/>
      <c r="W99" s="168"/>
      <c r="X99" s="168"/>
      <c r="Y99" s="168"/>
      <c r="Z99" s="168"/>
    </row>
    <row r="100" spans="16:26" ht="10.199999999999999" customHeight="1">
      <c r="P100" s="167"/>
      <c r="Q100" s="167"/>
      <c r="R100" s="167"/>
      <c r="S100" s="167"/>
      <c r="T100" s="167"/>
      <c r="U100" s="167"/>
      <c r="V100" s="167"/>
      <c r="W100" s="167"/>
      <c r="X100" s="167"/>
      <c r="Y100" s="167"/>
      <c r="Z100" s="167"/>
    </row>
    <row r="101" spans="16:26" ht="10.199999999999999" customHeight="1">
      <c r="P101" s="167"/>
      <c r="Q101" s="167"/>
      <c r="R101" s="167"/>
      <c r="S101" s="167"/>
      <c r="T101" s="167"/>
      <c r="U101" s="167"/>
      <c r="V101" s="167"/>
      <c r="W101" s="167"/>
      <c r="X101" s="167"/>
      <c r="Y101" s="167"/>
      <c r="Z101" s="167"/>
    </row>
    <row r="102" spans="16:26" ht="10.199999999999999" customHeight="1">
      <c r="P102" s="168"/>
      <c r="Q102" s="168"/>
      <c r="R102" s="168"/>
      <c r="S102" s="168"/>
      <c r="T102" s="168"/>
      <c r="U102" s="168"/>
      <c r="V102" s="168"/>
      <c r="W102" s="168"/>
      <c r="X102" s="168"/>
      <c r="Y102" s="168"/>
      <c r="Z102" s="168"/>
    </row>
    <row r="103" spans="16:26" ht="10.199999999999999" customHeight="1">
      <c r="P103" s="167"/>
      <c r="Q103" s="167"/>
      <c r="R103" s="167"/>
      <c r="S103" s="167"/>
      <c r="T103" s="167"/>
      <c r="U103" s="167"/>
      <c r="V103" s="167"/>
      <c r="W103" s="167"/>
      <c r="X103" s="167"/>
      <c r="Y103" s="167"/>
      <c r="Z103" s="167"/>
    </row>
    <row r="104" spans="16:26" ht="10.199999999999999" customHeight="1">
      <c r="P104" s="167"/>
      <c r="Q104" s="167"/>
      <c r="R104" s="167"/>
      <c r="S104" s="167"/>
      <c r="T104" s="167"/>
      <c r="U104" s="167"/>
      <c r="V104" s="167"/>
      <c r="W104" s="167"/>
      <c r="X104" s="167"/>
      <c r="Y104" s="167"/>
      <c r="Z104" s="167"/>
    </row>
    <row r="105" spans="16:26" ht="10.199999999999999" customHeight="1">
      <c r="P105" s="168"/>
      <c r="Q105" s="168"/>
      <c r="R105" s="168"/>
      <c r="S105" s="168"/>
      <c r="T105" s="168"/>
      <c r="U105" s="168"/>
      <c r="V105" s="168"/>
      <c r="W105" s="168"/>
      <c r="X105" s="168"/>
      <c r="Y105" s="168"/>
      <c r="Z105" s="168"/>
    </row>
    <row r="106" spans="16:26" ht="10.199999999999999" customHeight="1">
      <c r="P106" s="167"/>
      <c r="Q106" s="167"/>
      <c r="R106" s="167"/>
      <c r="S106" s="167"/>
      <c r="T106" s="167"/>
      <c r="U106" s="167"/>
      <c r="V106" s="167"/>
      <c r="W106" s="167"/>
      <c r="X106" s="167"/>
      <c r="Y106" s="167"/>
      <c r="Z106" s="167"/>
    </row>
    <row r="107" spans="16:26" ht="10.199999999999999" customHeight="1">
      <c r="P107" s="167"/>
      <c r="Q107" s="167"/>
      <c r="R107" s="167"/>
      <c r="S107" s="167"/>
      <c r="T107" s="167"/>
      <c r="U107" s="167"/>
      <c r="V107" s="167"/>
      <c r="W107" s="167"/>
      <c r="X107" s="167"/>
      <c r="Y107" s="167"/>
      <c r="Z107" s="167"/>
    </row>
    <row r="108" spans="16:26" ht="10.199999999999999" customHeight="1">
      <c r="P108" s="168"/>
      <c r="Q108" s="168"/>
      <c r="R108" s="168"/>
      <c r="S108" s="168"/>
      <c r="T108" s="168"/>
      <c r="U108" s="168"/>
      <c r="V108" s="168"/>
      <c r="W108" s="168"/>
      <c r="X108" s="168"/>
      <c r="Y108" s="168"/>
      <c r="Z108" s="168"/>
    </row>
    <row r="109" spans="16:26" ht="10.199999999999999" customHeight="1">
      <c r="P109" s="167"/>
      <c r="Q109" s="167"/>
      <c r="R109" s="167"/>
      <c r="S109" s="167"/>
      <c r="T109" s="167"/>
      <c r="U109" s="167"/>
      <c r="V109" s="167"/>
      <c r="W109" s="167"/>
      <c r="X109" s="167"/>
      <c r="Y109" s="167"/>
      <c r="Z109" s="167"/>
    </row>
    <row r="110" spans="16:26" ht="10.199999999999999" customHeight="1">
      <c r="P110" s="167"/>
      <c r="Q110" s="167"/>
      <c r="R110" s="167"/>
      <c r="S110" s="167"/>
      <c r="T110" s="167"/>
      <c r="U110" s="167"/>
      <c r="V110" s="167"/>
      <c r="W110" s="167"/>
      <c r="X110" s="167"/>
      <c r="Y110" s="167"/>
      <c r="Z110" s="167"/>
    </row>
    <row r="111" spans="16:26" ht="10.199999999999999" customHeight="1">
      <c r="P111" s="168"/>
      <c r="Q111" s="168"/>
      <c r="R111" s="168"/>
      <c r="S111" s="168"/>
      <c r="T111" s="168"/>
      <c r="U111" s="168"/>
      <c r="V111" s="168"/>
      <c r="W111" s="168"/>
      <c r="X111" s="168"/>
      <c r="Y111" s="168"/>
      <c r="Z111" s="168"/>
    </row>
    <row r="112" spans="16:26" ht="10.199999999999999" customHeight="1">
      <c r="P112" s="167"/>
      <c r="Q112" s="167"/>
      <c r="R112" s="167"/>
      <c r="S112" s="167"/>
      <c r="T112" s="167"/>
      <c r="U112" s="167"/>
      <c r="V112" s="167"/>
      <c r="W112" s="167"/>
      <c r="X112" s="167"/>
      <c r="Y112" s="167"/>
      <c r="Z112" s="167"/>
    </row>
    <row r="113" spans="16:26" ht="10.199999999999999" customHeight="1">
      <c r="P113" s="167"/>
      <c r="Q113" s="167"/>
      <c r="R113" s="167"/>
      <c r="S113" s="167"/>
      <c r="T113" s="167"/>
      <c r="U113" s="167"/>
      <c r="V113" s="167"/>
      <c r="W113" s="167"/>
      <c r="X113" s="167"/>
      <c r="Y113" s="167"/>
      <c r="Z113" s="167"/>
    </row>
    <row r="114" spans="16:26" ht="10.199999999999999" customHeight="1">
      <c r="P114" s="168"/>
      <c r="Q114" s="168"/>
      <c r="R114" s="168"/>
      <c r="S114" s="168"/>
      <c r="T114" s="168"/>
      <c r="U114" s="168"/>
      <c r="V114" s="168"/>
      <c r="W114" s="168"/>
      <c r="X114" s="168"/>
      <c r="Y114" s="168"/>
      <c r="Z114" s="168"/>
    </row>
    <row r="115" spans="16:26" ht="10.199999999999999" customHeight="1">
      <c r="P115" s="167"/>
      <c r="Q115" s="167"/>
      <c r="R115" s="167"/>
      <c r="S115" s="167"/>
      <c r="T115" s="167"/>
      <c r="U115" s="167"/>
      <c r="V115" s="167"/>
      <c r="W115" s="167"/>
      <c r="X115" s="167"/>
      <c r="Y115" s="167"/>
      <c r="Z115" s="167"/>
    </row>
    <row r="116" spans="16:26" ht="10.199999999999999" customHeight="1">
      <c r="P116" s="167"/>
      <c r="Q116" s="167"/>
      <c r="R116" s="167"/>
      <c r="S116" s="167"/>
      <c r="T116" s="167"/>
      <c r="U116" s="167"/>
      <c r="V116" s="167"/>
      <c r="W116" s="167"/>
      <c r="X116" s="167"/>
      <c r="Y116" s="167"/>
      <c r="Z116" s="167"/>
    </row>
    <row r="117" spans="16:26" ht="10.199999999999999" customHeight="1">
      <c r="P117" s="168"/>
      <c r="Q117" s="168"/>
      <c r="R117" s="168"/>
      <c r="S117" s="168"/>
      <c r="T117" s="168"/>
      <c r="U117" s="168"/>
      <c r="V117" s="168"/>
      <c r="W117" s="168"/>
      <c r="X117" s="168"/>
      <c r="Y117" s="168"/>
      <c r="Z117" s="168"/>
    </row>
    <row r="118" spans="16:26" ht="10.199999999999999" customHeight="1">
      <c r="P118" s="167"/>
      <c r="Q118" s="167"/>
      <c r="R118" s="167"/>
      <c r="S118" s="167"/>
      <c r="T118" s="167"/>
      <c r="U118" s="167"/>
      <c r="V118" s="167"/>
      <c r="W118" s="167"/>
      <c r="X118" s="167"/>
      <c r="Y118" s="167"/>
      <c r="Z118" s="167"/>
    </row>
    <row r="119" spans="16:26" ht="10.199999999999999" customHeight="1">
      <c r="P119" s="167"/>
      <c r="Q119" s="167"/>
      <c r="R119" s="167"/>
      <c r="S119" s="167"/>
      <c r="T119" s="167"/>
      <c r="U119" s="167"/>
      <c r="V119" s="167"/>
      <c r="W119" s="167"/>
      <c r="X119" s="167"/>
      <c r="Y119" s="167"/>
      <c r="Z119" s="167"/>
    </row>
    <row r="120" spans="16:26" ht="10.199999999999999" customHeight="1">
      <c r="P120" s="168"/>
      <c r="Q120" s="168"/>
      <c r="R120" s="168"/>
      <c r="S120" s="168"/>
      <c r="T120" s="168"/>
      <c r="U120" s="168"/>
      <c r="V120" s="168"/>
      <c r="W120" s="168"/>
      <c r="X120" s="168"/>
      <c r="Y120" s="168"/>
      <c r="Z120" s="168"/>
    </row>
    <row r="121" spans="16:26" ht="10.199999999999999" customHeight="1">
      <c r="P121" s="167"/>
      <c r="Q121" s="167"/>
      <c r="R121" s="167"/>
      <c r="S121" s="167"/>
      <c r="T121" s="167"/>
      <c r="U121" s="167"/>
      <c r="V121" s="167"/>
      <c r="W121" s="167"/>
      <c r="X121" s="167"/>
      <c r="Y121" s="167"/>
      <c r="Z121" s="167"/>
    </row>
    <row r="122" spans="16:26" ht="10.199999999999999" customHeight="1">
      <c r="P122" s="167"/>
      <c r="Q122" s="167"/>
      <c r="R122" s="167"/>
      <c r="S122" s="167"/>
      <c r="T122" s="167"/>
      <c r="U122" s="167"/>
      <c r="V122" s="167"/>
      <c r="W122" s="167"/>
      <c r="X122" s="167"/>
      <c r="Y122" s="167"/>
      <c r="Z122" s="167"/>
    </row>
    <row r="123" spans="16:26" ht="10.199999999999999" customHeight="1">
      <c r="P123" s="168"/>
      <c r="Q123" s="168"/>
      <c r="R123" s="168"/>
      <c r="S123" s="168"/>
      <c r="T123" s="168"/>
      <c r="U123" s="168"/>
      <c r="V123" s="168"/>
      <c r="W123" s="168"/>
      <c r="X123" s="168"/>
      <c r="Y123" s="168"/>
      <c r="Z123" s="168"/>
    </row>
    <row r="124" spans="16:26" ht="10.199999999999999" customHeight="1">
      <c r="P124" s="167"/>
      <c r="Q124" s="167"/>
      <c r="R124" s="167"/>
      <c r="S124" s="167"/>
      <c r="T124" s="167"/>
      <c r="U124" s="167"/>
      <c r="V124" s="167"/>
      <c r="W124" s="167"/>
      <c r="X124" s="167"/>
      <c r="Y124" s="167"/>
      <c r="Z124" s="167"/>
    </row>
    <row r="125" spans="16:26" ht="10.199999999999999" customHeight="1">
      <c r="P125" s="167"/>
      <c r="Q125" s="167"/>
      <c r="R125" s="167"/>
      <c r="S125" s="167"/>
      <c r="T125" s="167"/>
      <c r="U125" s="167"/>
      <c r="V125" s="167"/>
      <c r="W125" s="167"/>
      <c r="X125" s="167"/>
      <c r="Y125" s="167"/>
      <c r="Z125" s="167"/>
    </row>
    <row r="126" spans="16:26" ht="10.199999999999999" customHeight="1">
      <c r="P126" s="168"/>
      <c r="Q126" s="168"/>
      <c r="R126" s="168"/>
      <c r="S126" s="168"/>
      <c r="T126" s="168"/>
      <c r="U126" s="168"/>
      <c r="V126" s="168"/>
      <c r="W126" s="168"/>
      <c r="X126" s="168"/>
      <c r="Y126" s="168"/>
      <c r="Z126" s="168"/>
    </row>
    <row r="127" spans="16:26" ht="10.199999999999999" customHeight="1">
      <c r="P127" s="167"/>
      <c r="Q127" s="167"/>
      <c r="R127" s="167"/>
      <c r="S127" s="167"/>
      <c r="T127" s="167"/>
      <c r="U127" s="167"/>
      <c r="V127" s="167"/>
      <c r="W127" s="167"/>
      <c r="X127" s="167"/>
      <c r="Y127" s="167"/>
      <c r="Z127" s="167"/>
    </row>
    <row r="128" spans="16:26" ht="10.199999999999999" customHeight="1">
      <c r="P128" s="167"/>
      <c r="Q128" s="167"/>
      <c r="R128" s="167"/>
      <c r="S128" s="167"/>
      <c r="T128" s="167"/>
      <c r="U128" s="167"/>
      <c r="V128" s="167"/>
      <c r="W128" s="167"/>
      <c r="X128" s="167"/>
      <c r="Y128" s="167"/>
      <c r="Z128" s="167"/>
    </row>
    <row r="129" spans="16:26" ht="10.199999999999999" customHeight="1">
      <c r="P129" s="168"/>
      <c r="Q129" s="168"/>
      <c r="R129" s="168"/>
      <c r="S129" s="168"/>
      <c r="T129" s="168"/>
      <c r="U129" s="168"/>
      <c r="V129" s="168"/>
      <c r="W129" s="168"/>
      <c r="X129" s="168"/>
      <c r="Y129" s="168"/>
      <c r="Z129" s="168"/>
    </row>
    <row r="130" spans="16:26" ht="10.199999999999999" customHeight="1">
      <c r="P130" s="167"/>
      <c r="Q130" s="167"/>
      <c r="R130" s="167"/>
      <c r="S130" s="167"/>
      <c r="T130" s="167"/>
      <c r="U130" s="167"/>
      <c r="V130" s="167"/>
      <c r="W130" s="167"/>
      <c r="X130" s="167"/>
      <c r="Y130" s="167"/>
      <c r="Z130" s="167"/>
    </row>
    <row r="131" spans="16:26" ht="10.199999999999999" customHeight="1">
      <c r="P131" s="167"/>
      <c r="Q131" s="167"/>
      <c r="R131" s="167"/>
      <c r="S131" s="167"/>
      <c r="T131" s="167"/>
      <c r="U131" s="167"/>
      <c r="V131" s="167"/>
      <c r="W131" s="167"/>
      <c r="X131" s="167"/>
      <c r="Y131" s="167"/>
      <c r="Z131" s="167"/>
    </row>
    <row r="132" spans="16:26" ht="10.199999999999999" customHeight="1">
      <c r="P132" s="168"/>
      <c r="Q132" s="168"/>
      <c r="R132" s="168"/>
      <c r="S132" s="168"/>
      <c r="T132" s="168"/>
      <c r="U132" s="168"/>
      <c r="V132" s="168"/>
      <c r="W132" s="168"/>
      <c r="X132" s="168"/>
      <c r="Y132" s="168"/>
      <c r="Z132" s="168"/>
    </row>
    <row r="133" spans="16:26" ht="10.199999999999999" customHeight="1">
      <c r="P133" s="167"/>
      <c r="Q133" s="167"/>
      <c r="R133" s="167"/>
      <c r="S133" s="167"/>
      <c r="T133" s="167"/>
      <c r="U133" s="167"/>
      <c r="V133" s="167"/>
      <c r="W133" s="167"/>
      <c r="X133" s="167"/>
      <c r="Y133" s="167"/>
      <c r="Z133" s="167"/>
    </row>
    <row r="134" spans="16:26" ht="10.199999999999999" customHeight="1">
      <c r="P134" s="167"/>
      <c r="Q134" s="167"/>
      <c r="R134" s="167"/>
      <c r="S134" s="167"/>
      <c r="T134" s="167"/>
      <c r="U134" s="167"/>
      <c r="V134" s="167"/>
      <c r="W134" s="167"/>
      <c r="X134" s="167"/>
      <c r="Y134" s="167"/>
      <c r="Z134" s="167"/>
    </row>
    <row r="135" spans="16:26" ht="10.199999999999999" customHeight="1">
      <c r="P135" s="168"/>
      <c r="Q135" s="168"/>
      <c r="R135" s="168"/>
      <c r="S135" s="168"/>
      <c r="T135" s="168"/>
      <c r="U135" s="168"/>
      <c r="V135" s="168"/>
      <c r="W135" s="168"/>
      <c r="X135" s="168"/>
      <c r="Y135" s="168"/>
      <c r="Z135" s="168"/>
    </row>
    <row r="136" spans="16:26" ht="10.199999999999999" customHeight="1">
      <c r="P136" s="167"/>
      <c r="Q136" s="167"/>
      <c r="R136" s="167"/>
      <c r="S136" s="167"/>
      <c r="T136" s="167"/>
      <c r="U136" s="167"/>
      <c r="V136" s="167"/>
      <c r="W136" s="167"/>
      <c r="X136" s="167"/>
      <c r="Y136" s="167"/>
      <c r="Z136" s="167"/>
    </row>
    <row r="137" spans="16:26" ht="10.199999999999999" customHeight="1">
      <c r="P137" s="167"/>
      <c r="Q137" s="167"/>
      <c r="R137" s="167"/>
      <c r="S137" s="167"/>
      <c r="T137" s="167"/>
      <c r="U137" s="167"/>
      <c r="V137" s="167"/>
      <c r="W137" s="167"/>
      <c r="X137" s="167"/>
      <c r="Y137" s="167"/>
      <c r="Z137" s="167"/>
    </row>
    <row r="138" spans="16:26" ht="10.199999999999999" customHeight="1">
      <c r="P138" s="168"/>
      <c r="Q138" s="168"/>
      <c r="R138" s="168"/>
      <c r="S138" s="168"/>
      <c r="T138" s="168"/>
      <c r="U138" s="168"/>
      <c r="V138" s="168"/>
      <c r="W138" s="168"/>
      <c r="X138" s="168"/>
      <c r="Y138" s="168"/>
      <c r="Z138" s="168"/>
    </row>
    <row r="139" spans="16:26" ht="10.199999999999999" customHeight="1">
      <c r="P139" s="167"/>
      <c r="Q139" s="167"/>
      <c r="R139" s="167"/>
      <c r="S139" s="167"/>
      <c r="T139" s="167"/>
      <c r="U139" s="167"/>
      <c r="V139" s="167"/>
      <c r="W139" s="167"/>
      <c r="X139" s="167"/>
      <c r="Y139" s="167"/>
      <c r="Z139" s="167"/>
    </row>
    <row r="140" spans="16:26" ht="10.199999999999999" customHeight="1">
      <c r="P140" s="167"/>
      <c r="Q140" s="167"/>
      <c r="R140" s="167"/>
      <c r="S140" s="167"/>
      <c r="T140" s="167"/>
      <c r="U140" s="167"/>
      <c r="V140" s="167"/>
      <c r="W140" s="167"/>
      <c r="X140" s="167"/>
      <c r="Y140" s="167"/>
      <c r="Z140" s="167"/>
    </row>
    <row r="141" spans="16:26" ht="10.199999999999999" customHeight="1">
      <c r="P141" s="168"/>
      <c r="Q141" s="168"/>
      <c r="R141" s="168"/>
      <c r="S141" s="168"/>
      <c r="T141" s="168"/>
      <c r="U141" s="168"/>
      <c r="V141" s="168"/>
      <c r="W141" s="168"/>
      <c r="X141" s="168"/>
      <c r="Y141" s="168"/>
      <c r="Z141" s="168"/>
    </row>
    <row r="142" spans="16:26" ht="10.199999999999999" customHeight="1">
      <c r="P142" s="167"/>
      <c r="Q142" s="167"/>
      <c r="R142" s="167"/>
      <c r="S142" s="167"/>
      <c r="T142" s="167"/>
      <c r="U142" s="167"/>
      <c r="V142" s="167"/>
      <c r="W142" s="167"/>
      <c r="X142" s="167"/>
      <c r="Y142" s="167"/>
      <c r="Z142" s="167"/>
    </row>
    <row r="143" spans="16:26" ht="10.199999999999999" customHeight="1">
      <c r="P143" s="167"/>
      <c r="Q143" s="167"/>
      <c r="R143" s="167"/>
      <c r="S143" s="167"/>
      <c r="T143" s="167"/>
      <c r="U143" s="167"/>
      <c r="V143" s="167"/>
      <c r="W143" s="167"/>
      <c r="X143" s="167"/>
      <c r="Y143" s="167"/>
      <c r="Z143" s="167"/>
    </row>
    <row r="144" spans="16:26" ht="10.199999999999999" customHeight="1">
      <c r="P144" s="168"/>
      <c r="Q144" s="168"/>
      <c r="R144" s="168"/>
      <c r="S144" s="168"/>
      <c r="T144" s="168"/>
      <c r="U144" s="168"/>
      <c r="V144" s="168"/>
      <c r="W144" s="168"/>
      <c r="X144" s="168"/>
      <c r="Y144" s="168"/>
      <c r="Z144" s="168"/>
    </row>
    <row r="145" spans="16:26" ht="10.199999999999999" customHeight="1">
      <c r="P145" s="167"/>
      <c r="Q145" s="167"/>
      <c r="R145" s="167"/>
      <c r="S145" s="167"/>
      <c r="T145" s="167"/>
      <c r="U145" s="167"/>
      <c r="V145" s="167"/>
      <c r="W145" s="167"/>
      <c r="X145" s="167"/>
      <c r="Y145" s="167"/>
      <c r="Z145" s="167"/>
    </row>
    <row r="146" spans="16:26" ht="10.199999999999999" customHeight="1">
      <c r="P146" s="167"/>
      <c r="Q146" s="167"/>
      <c r="R146" s="167"/>
      <c r="S146" s="167"/>
      <c r="T146" s="167"/>
      <c r="U146" s="167"/>
      <c r="V146" s="167"/>
      <c r="W146" s="167"/>
      <c r="X146" s="167"/>
      <c r="Y146" s="167"/>
      <c r="Z146" s="167"/>
    </row>
    <row r="147" spans="16:26" ht="10.199999999999999" customHeight="1">
      <c r="P147" s="168"/>
      <c r="Q147" s="168"/>
      <c r="R147" s="168"/>
      <c r="S147" s="168"/>
      <c r="T147" s="168"/>
      <c r="U147" s="168"/>
      <c r="V147" s="168"/>
      <c r="W147" s="168"/>
      <c r="X147" s="168"/>
      <c r="Y147" s="168"/>
      <c r="Z147" s="168"/>
    </row>
    <row r="148" spans="16:26" ht="10.199999999999999" customHeight="1">
      <c r="P148" s="167"/>
      <c r="Q148" s="167"/>
      <c r="R148" s="167"/>
      <c r="S148" s="167"/>
      <c r="T148" s="167"/>
      <c r="U148" s="167"/>
      <c r="V148" s="167"/>
      <c r="W148" s="167"/>
      <c r="X148" s="167"/>
      <c r="Y148" s="167"/>
      <c r="Z148" s="167"/>
    </row>
    <row r="149" spans="16:26" ht="10.199999999999999" customHeight="1">
      <c r="P149" s="167"/>
      <c r="Q149" s="167"/>
      <c r="R149" s="167"/>
      <c r="S149" s="167"/>
      <c r="T149" s="167"/>
      <c r="U149" s="167"/>
      <c r="V149" s="167"/>
      <c r="W149" s="167"/>
      <c r="X149" s="167"/>
      <c r="Y149" s="167"/>
      <c r="Z149" s="167"/>
    </row>
    <row r="150" spans="16:26" ht="10.199999999999999" customHeight="1">
      <c r="P150" s="168"/>
      <c r="Q150" s="168"/>
      <c r="R150" s="168"/>
      <c r="S150" s="168"/>
      <c r="T150" s="168"/>
      <c r="U150" s="168"/>
      <c r="V150" s="168"/>
      <c r="W150" s="168"/>
      <c r="X150" s="168"/>
      <c r="Y150" s="168"/>
      <c r="Z150" s="168"/>
    </row>
    <row r="151" spans="16:26" ht="10.199999999999999" customHeight="1">
      <c r="P151" s="167"/>
      <c r="Q151" s="167"/>
      <c r="R151" s="167"/>
      <c r="S151" s="167"/>
      <c r="T151" s="167"/>
      <c r="U151" s="167"/>
      <c r="V151" s="167"/>
      <c r="W151" s="167"/>
      <c r="X151" s="167"/>
      <c r="Y151" s="167"/>
      <c r="Z151" s="167"/>
    </row>
    <row r="152" spans="16:26" ht="10.199999999999999" customHeight="1">
      <c r="P152" s="167"/>
      <c r="Q152" s="167"/>
      <c r="R152" s="167"/>
      <c r="S152" s="167"/>
      <c r="T152" s="167"/>
      <c r="U152" s="167"/>
      <c r="V152" s="167"/>
      <c r="W152" s="167"/>
      <c r="X152" s="167"/>
      <c r="Y152" s="167"/>
      <c r="Z152" s="167"/>
    </row>
    <row r="153" spans="16:26" ht="10.199999999999999" customHeight="1">
      <c r="P153" s="168"/>
      <c r="Q153" s="168"/>
      <c r="R153" s="168"/>
      <c r="S153" s="168"/>
      <c r="T153" s="168"/>
      <c r="U153" s="168"/>
      <c r="V153" s="168"/>
      <c r="W153" s="168"/>
      <c r="X153" s="168"/>
      <c r="Y153" s="168"/>
      <c r="Z153" s="168"/>
    </row>
    <row r="154" spans="16:26" ht="10.199999999999999" customHeight="1">
      <c r="P154" s="167"/>
      <c r="Q154" s="167"/>
      <c r="R154" s="167"/>
      <c r="S154" s="167"/>
      <c r="T154" s="167"/>
      <c r="U154" s="167"/>
      <c r="V154" s="167"/>
      <c r="W154" s="167"/>
      <c r="X154" s="167"/>
      <c r="Y154" s="167"/>
      <c r="Z154" s="167"/>
    </row>
    <row r="155" spans="16:26" ht="10.199999999999999" customHeight="1">
      <c r="P155" s="167"/>
      <c r="Q155" s="167"/>
      <c r="R155" s="167"/>
      <c r="S155" s="167"/>
      <c r="T155" s="167"/>
      <c r="U155" s="167"/>
      <c r="V155" s="167"/>
      <c r="W155" s="167"/>
      <c r="X155" s="167"/>
      <c r="Y155" s="167"/>
      <c r="Z155" s="167"/>
    </row>
    <row r="156" spans="16:26" ht="10.199999999999999" customHeight="1">
      <c r="P156" s="168"/>
      <c r="Q156" s="168"/>
      <c r="R156" s="168"/>
      <c r="S156" s="168"/>
      <c r="T156" s="168"/>
      <c r="U156" s="168"/>
      <c r="V156" s="168"/>
      <c r="W156" s="168"/>
      <c r="X156" s="168"/>
      <c r="Y156" s="168"/>
      <c r="Z156" s="168"/>
    </row>
    <row r="157" spans="16:26" ht="10.199999999999999" customHeight="1">
      <c r="P157" s="167"/>
      <c r="Q157" s="167"/>
      <c r="R157" s="167"/>
      <c r="S157" s="167"/>
      <c r="T157" s="167"/>
      <c r="U157" s="167"/>
      <c r="V157" s="167"/>
      <c r="W157" s="167"/>
      <c r="X157" s="167"/>
      <c r="Y157" s="167"/>
      <c r="Z157" s="167"/>
    </row>
    <row r="158" spans="16:26" ht="10.199999999999999" customHeight="1">
      <c r="P158" s="167"/>
      <c r="Q158" s="167"/>
      <c r="R158" s="167"/>
      <c r="S158" s="167"/>
      <c r="T158" s="167"/>
      <c r="U158" s="167"/>
      <c r="V158" s="167"/>
      <c r="W158" s="167"/>
      <c r="X158" s="167"/>
      <c r="Y158" s="167"/>
      <c r="Z158" s="167"/>
    </row>
    <row r="159" spans="16:26" ht="10.199999999999999" customHeight="1">
      <c r="P159" s="168"/>
      <c r="Q159" s="168"/>
      <c r="R159" s="168"/>
      <c r="S159" s="168"/>
      <c r="T159" s="168"/>
      <c r="U159" s="168"/>
      <c r="V159" s="168"/>
      <c r="W159" s="168"/>
      <c r="X159" s="168"/>
      <c r="Y159" s="168"/>
      <c r="Z159" s="168"/>
    </row>
    <row r="160" spans="16:26" ht="10.199999999999999" customHeight="1">
      <c r="P160" s="167"/>
      <c r="Q160" s="167"/>
      <c r="R160" s="167"/>
      <c r="S160" s="167"/>
      <c r="T160" s="167"/>
      <c r="U160" s="167"/>
      <c r="V160" s="167"/>
      <c r="W160" s="167"/>
      <c r="X160" s="167"/>
      <c r="Y160" s="167"/>
      <c r="Z160" s="167"/>
    </row>
    <row r="161" spans="16:26" ht="10.199999999999999" customHeight="1">
      <c r="P161" s="167"/>
      <c r="Q161" s="167"/>
      <c r="R161" s="167"/>
      <c r="S161" s="167"/>
      <c r="T161" s="167"/>
      <c r="U161" s="167"/>
      <c r="V161" s="167"/>
      <c r="W161" s="167"/>
      <c r="X161" s="167"/>
      <c r="Y161" s="167"/>
      <c r="Z161" s="167"/>
    </row>
    <row r="162" spans="16:26" ht="10.199999999999999" customHeight="1">
      <c r="P162" s="168"/>
      <c r="Q162" s="168"/>
      <c r="R162" s="168"/>
      <c r="S162" s="168"/>
      <c r="T162" s="168"/>
      <c r="U162" s="168"/>
      <c r="V162" s="168"/>
      <c r="W162" s="168"/>
      <c r="X162" s="168"/>
      <c r="Y162" s="168"/>
      <c r="Z162" s="168"/>
    </row>
    <row r="163" spans="16:26" ht="10.199999999999999" customHeight="1">
      <c r="P163" s="167"/>
      <c r="Q163" s="167"/>
      <c r="R163" s="167"/>
      <c r="S163" s="167"/>
      <c r="T163" s="167"/>
      <c r="U163" s="167"/>
      <c r="V163" s="167"/>
      <c r="W163" s="167"/>
      <c r="X163" s="167"/>
      <c r="Y163" s="167"/>
      <c r="Z163" s="167"/>
    </row>
    <row r="164" spans="16:26" ht="10.199999999999999" customHeight="1">
      <c r="P164" s="167"/>
      <c r="Q164" s="167"/>
      <c r="R164" s="167"/>
      <c r="S164" s="167"/>
      <c r="T164" s="167"/>
      <c r="U164" s="167"/>
      <c r="V164" s="167"/>
      <c r="W164" s="167"/>
      <c r="X164" s="167"/>
      <c r="Y164" s="167"/>
      <c r="Z164" s="167"/>
    </row>
    <row r="165" spans="16:26" ht="10.199999999999999" customHeight="1">
      <c r="P165" s="168"/>
      <c r="Q165" s="168"/>
      <c r="R165" s="168"/>
      <c r="S165" s="168"/>
      <c r="T165" s="168"/>
      <c r="U165" s="168"/>
      <c r="V165" s="168"/>
      <c r="W165" s="168"/>
      <c r="X165" s="168"/>
      <c r="Y165" s="168"/>
      <c r="Z165" s="168"/>
    </row>
    <row r="166" spans="16:26" ht="10.199999999999999" customHeight="1">
      <c r="P166" s="167"/>
      <c r="Q166" s="167"/>
      <c r="R166" s="167"/>
      <c r="S166" s="167"/>
      <c r="T166" s="167"/>
      <c r="U166" s="167"/>
      <c r="V166" s="167"/>
      <c r="W166" s="167"/>
      <c r="X166" s="167"/>
      <c r="Y166" s="167"/>
      <c r="Z166" s="167"/>
    </row>
    <row r="167" spans="16:26" ht="10.199999999999999" customHeight="1">
      <c r="P167" s="167"/>
      <c r="Q167" s="167"/>
      <c r="R167" s="167"/>
      <c r="S167" s="167"/>
      <c r="T167" s="167"/>
      <c r="U167" s="167"/>
      <c r="V167" s="167"/>
      <c r="W167" s="167"/>
      <c r="X167" s="167"/>
      <c r="Y167" s="167"/>
      <c r="Z167" s="167"/>
    </row>
    <row r="168" spans="16:26" ht="10.199999999999999" customHeight="1">
      <c r="P168" s="168"/>
      <c r="Q168" s="168"/>
      <c r="R168" s="168"/>
      <c r="S168" s="168"/>
      <c r="T168" s="168"/>
      <c r="U168" s="168"/>
      <c r="V168" s="168"/>
      <c r="W168" s="168"/>
      <c r="X168" s="168"/>
      <c r="Y168" s="168"/>
      <c r="Z168" s="168"/>
    </row>
    <row r="169" spans="16:26" ht="10.199999999999999" customHeight="1">
      <c r="P169" s="167"/>
      <c r="Q169" s="167"/>
      <c r="R169" s="167"/>
      <c r="S169" s="167"/>
      <c r="T169" s="167"/>
      <c r="U169" s="167"/>
      <c r="V169" s="167"/>
      <c r="W169" s="167"/>
      <c r="X169" s="167"/>
      <c r="Y169" s="167"/>
      <c r="Z169" s="167"/>
    </row>
    <row r="170" spans="16:26" ht="10.199999999999999" customHeight="1">
      <c r="P170" s="167"/>
      <c r="Q170" s="167"/>
      <c r="R170" s="167"/>
      <c r="S170" s="167"/>
      <c r="T170" s="167"/>
      <c r="U170" s="167"/>
      <c r="V170" s="167"/>
      <c r="W170" s="167"/>
      <c r="X170" s="167"/>
      <c r="Y170" s="167"/>
      <c r="Z170" s="167"/>
    </row>
    <row r="171" spans="16:26" ht="10.199999999999999" customHeight="1">
      <c r="P171" s="168"/>
      <c r="Q171" s="168"/>
      <c r="R171" s="168"/>
      <c r="S171" s="168"/>
      <c r="T171" s="168"/>
      <c r="U171" s="168"/>
      <c r="V171" s="168"/>
      <c r="W171" s="168"/>
      <c r="X171" s="168"/>
      <c r="Y171" s="168"/>
      <c r="Z171" s="168"/>
    </row>
    <row r="172" spans="16:26" ht="10.199999999999999" customHeight="1">
      <c r="P172" s="167"/>
      <c r="Q172" s="167"/>
      <c r="R172" s="167"/>
      <c r="S172" s="167"/>
      <c r="T172" s="167"/>
      <c r="U172" s="167"/>
      <c r="V172" s="167"/>
      <c r="W172" s="167"/>
      <c r="X172" s="167"/>
      <c r="Y172" s="167"/>
      <c r="Z172" s="167"/>
    </row>
    <row r="173" spans="16:26" ht="10.199999999999999" customHeight="1">
      <c r="P173" s="167"/>
      <c r="Q173" s="167"/>
      <c r="R173" s="167"/>
      <c r="S173" s="167"/>
      <c r="T173" s="167"/>
      <c r="U173" s="167"/>
      <c r="V173" s="167"/>
      <c r="W173" s="167"/>
      <c r="X173" s="167"/>
      <c r="Y173" s="167"/>
      <c r="Z173" s="167"/>
    </row>
    <row r="174" spans="16:26" ht="10.199999999999999" customHeight="1">
      <c r="P174" s="168"/>
      <c r="Q174" s="168"/>
      <c r="R174" s="168"/>
      <c r="S174" s="168"/>
      <c r="T174" s="168"/>
      <c r="U174" s="168"/>
      <c r="V174" s="168"/>
      <c r="W174" s="168"/>
      <c r="X174" s="168"/>
      <c r="Y174" s="168"/>
      <c r="Z174" s="168"/>
    </row>
    <row r="175" spans="16:26" ht="10.199999999999999" customHeight="1">
      <c r="P175" s="167"/>
      <c r="Q175" s="167"/>
      <c r="R175" s="167"/>
      <c r="S175" s="167"/>
      <c r="T175" s="167"/>
      <c r="U175" s="167"/>
      <c r="V175" s="167"/>
      <c r="W175" s="167"/>
      <c r="X175" s="167"/>
      <c r="Y175" s="167"/>
      <c r="Z175" s="167"/>
    </row>
    <row r="176" spans="16:26" ht="10.199999999999999" customHeight="1">
      <c r="P176" s="167"/>
      <c r="Q176" s="167"/>
      <c r="R176" s="167"/>
      <c r="S176" s="167"/>
      <c r="T176" s="167"/>
      <c r="U176" s="167"/>
      <c r="V176" s="167"/>
      <c r="W176" s="167"/>
      <c r="X176" s="167"/>
      <c r="Y176" s="167"/>
      <c r="Z176" s="167"/>
    </row>
    <row r="177" spans="16:26" ht="10.199999999999999" customHeight="1">
      <c r="P177" s="168"/>
      <c r="Q177" s="168"/>
      <c r="R177" s="168"/>
      <c r="S177" s="168"/>
      <c r="T177" s="168"/>
      <c r="U177" s="168"/>
      <c r="V177" s="168"/>
      <c r="W177" s="168"/>
      <c r="X177" s="168"/>
      <c r="Y177" s="168"/>
      <c r="Z177" s="168"/>
    </row>
    <row r="178" spans="16:26" ht="10.199999999999999" customHeight="1">
      <c r="P178" s="167"/>
      <c r="Q178" s="167"/>
      <c r="R178" s="167"/>
      <c r="S178" s="167"/>
      <c r="T178" s="167"/>
      <c r="U178" s="167"/>
      <c r="V178" s="167"/>
      <c r="W178" s="167"/>
      <c r="X178" s="167"/>
      <c r="Y178" s="167"/>
      <c r="Z178" s="167"/>
    </row>
    <row r="179" spans="16:26" ht="10.199999999999999" customHeight="1">
      <c r="P179" s="167"/>
      <c r="Q179" s="167"/>
      <c r="R179" s="167"/>
      <c r="S179" s="167"/>
      <c r="T179" s="167"/>
      <c r="U179" s="167"/>
      <c r="V179" s="167"/>
      <c r="W179" s="167"/>
      <c r="X179" s="167"/>
      <c r="Y179" s="167"/>
      <c r="Z179" s="167"/>
    </row>
    <row r="180" spans="16:26" ht="10.199999999999999" customHeight="1">
      <c r="P180" s="168"/>
      <c r="Q180" s="168"/>
      <c r="R180" s="168"/>
      <c r="S180" s="168"/>
      <c r="T180" s="168"/>
      <c r="U180" s="168"/>
      <c r="V180" s="168"/>
      <c r="W180" s="168"/>
      <c r="X180" s="168"/>
      <c r="Y180" s="168"/>
      <c r="Z180" s="168"/>
    </row>
    <row r="181" spans="16:26" ht="10.199999999999999" customHeight="1">
      <c r="P181" s="167"/>
      <c r="Q181" s="167"/>
      <c r="R181" s="167"/>
      <c r="S181" s="167"/>
      <c r="T181" s="167"/>
      <c r="U181" s="167"/>
      <c r="V181" s="167"/>
      <c r="W181" s="167"/>
      <c r="X181" s="167"/>
      <c r="Y181" s="167"/>
      <c r="Z181" s="167"/>
    </row>
    <row r="182" spans="16:26" ht="10.199999999999999" customHeight="1">
      <c r="P182" s="167"/>
      <c r="Q182" s="167"/>
      <c r="R182" s="167"/>
      <c r="S182" s="167"/>
      <c r="T182" s="167"/>
      <c r="U182" s="167"/>
      <c r="V182" s="167"/>
      <c r="W182" s="167"/>
      <c r="X182" s="167"/>
      <c r="Y182" s="167"/>
      <c r="Z182" s="167"/>
    </row>
    <row r="183" spans="16:26" ht="10.199999999999999" customHeight="1">
      <c r="P183" s="168"/>
      <c r="Q183" s="168"/>
      <c r="R183" s="168"/>
      <c r="S183" s="168"/>
      <c r="T183" s="168"/>
      <c r="U183" s="168"/>
      <c r="V183" s="168"/>
      <c r="W183" s="168"/>
      <c r="X183" s="168"/>
      <c r="Y183" s="168"/>
      <c r="Z183" s="168"/>
    </row>
    <row r="184" spans="16:26" ht="10.199999999999999" customHeight="1">
      <c r="P184" s="167"/>
      <c r="Q184" s="167"/>
      <c r="R184" s="167"/>
      <c r="S184" s="167"/>
      <c r="T184" s="167"/>
      <c r="U184" s="167"/>
      <c r="V184" s="167"/>
      <c r="W184" s="167"/>
      <c r="X184" s="167"/>
      <c r="Y184" s="167"/>
      <c r="Z184" s="167"/>
    </row>
    <row r="185" spans="16:26" ht="10.199999999999999" customHeight="1">
      <c r="P185" s="167"/>
      <c r="Q185" s="167"/>
      <c r="R185" s="167"/>
      <c r="S185" s="167"/>
      <c r="T185" s="167"/>
      <c r="U185" s="167"/>
      <c r="V185" s="167"/>
      <c r="W185" s="167"/>
      <c r="X185" s="167"/>
      <c r="Y185" s="167"/>
      <c r="Z185" s="167"/>
    </row>
    <row r="186" spans="16:26" ht="10.199999999999999" customHeight="1">
      <c r="P186" s="168"/>
      <c r="Q186" s="168"/>
      <c r="R186" s="168"/>
      <c r="S186" s="168"/>
      <c r="T186" s="168"/>
      <c r="U186" s="168"/>
      <c r="V186" s="168"/>
      <c r="W186" s="168"/>
      <c r="X186" s="168"/>
      <c r="Y186" s="168"/>
      <c r="Z186" s="168"/>
    </row>
    <row r="187" spans="16:26" ht="10.199999999999999" customHeight="1">
      <c r="P187" s="167"/>
      <c r="Q187" s="167"/>
      <c r="R187" s="167"/>
      <c r="S187" s="167"/>
      <c r="T187" s="167"/>
      <c r="U187" s="167"/>
      <c r="V187" s="167"/>
      <c r="W187" s="167"/>
      <c r="X187" s="167"/>
      <c r="Y187" s="167"/>
      <c r="Z187" s="167"/>
    </row>
    <row r="188" spans="16:26" ht="10.199999999999999" customHeight="1">
      <c r="P188" s="167"/>
      <c r="Q188" s="167"/>
      <c r="R188" s="167"/>
      <c r="S188" s="167"/>
      <c r="T188" s="167"/>
      <c r="U188" s="167"/>
      <c r="V188" s="167"/>
      <c r="W188" s="167"/>
      <c r="X188" s="167"/>
      <c r="Y188" s="167"/>
      <c r="Z188" s="167"/>
    </row>
    <row r="189" spans="16:26" ht="10.199999999999999" customHeight="1">
      <c r="P189" s="168"/>
      <c r="Q189" s="168"/>
      <c r="R189" s="168"/>
      <c r="S189" s="168"/>
      <c r="T189" s="168"/>
      <c r="U189" s="168"/>
      <c r="V189" s="168"/>
      <c r="W189" s="168"/>
      <c r="X189" s="168"/>
      <c r="Y189" s="168"/>
      <c r="Z189" s="168"/>
    </row>
    <row r="190" spans="16:26" ht="10.199999999999999" customHeight="1">
      <c r="P190" s="167"/>
      <c r="Q190" s="167"/>
      <c r="R190" s="167"/>
      <c r="S190" s="167"/>
      <c r="T190" s="167"/>
      <c r="U190" s="167"/>
      <c r="V190" s="167"/>
      <c r="W190" s="167"/>
      <c r="X190" s="167"/>
      <c r="Y190" s="167"/>
      <c r="Z190" s="167"/>
    </row>
    <row r="191" spans="16:26" ht="10.199999999999999" customHeight="1">
      <c r="P191" s="167"/>
      <c r="Q191" s="167"/>
      <c r="R191" s="167"/>
      <c r="S191" s="167"/>
      <c r="T191" s="167"/>
      <c r="U191" s="167"/>
      <c r="V191" s="167"/>
      <c r="W191" s="167"/>
      <c r="X191" s="167"/>
      <c r="Y191" s="167"/>
      <c r="Z191" s="167"/>
    </row>
    <row r="192" spans="16:26" ht="10.199999999999999" customHeight="1">
      <c r="P192" s="168"/>
      <c r="Q192" s="168"/>
      <c r="R192" s="168"/>
      <c r="S192" s="168"/>
      <c r="T192" s="168"/>
      <c r="U192" s="168"/>
      <c r="V192" s="168"/>
      <c r="W192" s="168"/>
      <c r="X192" s="168"/>
      <c r="Y192" s="168"/>
      <c r="Z192" s="168"/>
    </row>
    <row r="193" spans="16:26" ht="10.199999999999999" customHeight="1">
      <c r="P193" s="167"/>
      <c r="Q193" s="167"/>
      <c r="R193" s="167"/>
      <c r="S193" s="167"/>
      <c r="T193" s="167"/>
      <c r="U193" s="167"/>
      <c r="V193" s="167"/>
      <c r="W193" s="167"/>
      <c r="X193" s="167"/>
      <c r="Y193" s="167"/>
      <c r="Z193" s="167"/>
    </row>
    <row r="194" spans="16:26" ht="10.199999999999999" customHeight="1">
      <c r="P194" s="167"/>
      <c r="Q194" s="167"/>
      <c r="R194" s="167"/>
      <c r="S194" s="167"/>
      <c r="T194" s="167"/>
      <c r="U194" s="167"/>
      <c r="V194" s="167"/>
      <c r="W194" s="167"/>
      <c r="X194" s="167"/>
      <c r="Y194" s="167"/>
      <c r="Z194" s="167"/>
    </row>
    <row r="195" spans="16:26" ht="10.199999999999999" customHeight="1">
      <c r="P195" s="168"/>
      <c r="Q195" s="168"/>
      <c r="R195" s="168"/>
      <c r="S195" s="168"/>
      <c r="T195" s="168"/>
      <c r="U195" s="168"/>
      <c r="V195" s="168"/>
      <c r="W195" s="168"/>
      <c r="X195" s="168"/>
      <c r="Y195" s="168"/>
      <c r="Z195" s="168"/>
    </row>
    <row r="196" spans="16:26" ht="10.199999999999999" customHeight="1">
      <c r="P196" s="167"/>
      <c r="Q196" s="167"/>
      <c r="R196" s="167"/>
      <c r="S196" s="167"/>
      <c r="T196" s="167"/>
      <c r="U196" s="167"/>
      <c r="V196" s="167"/>
      <c r="W196" s="167"/>
      <c r="X196" s="167"/>
      <c r="Y196" s="167"/>
      <c r="Z196" s="167"/>
    </row>
    <row r="197" spans="16:26" ht="10.199999999999999" customHeight="1">
      <c r="P197" s="167"/>
      <c r="Q197" s="167"/>
      <c r="R197" s="167"/>
      <c r="S197" s="167"/>
      <c r="T197" s="167"/>
      <c r="U197" s="167"/>
      <c r="V197" s="167"/>
      <c r="W197" s="167"/>
      <c r="X197" s="167"/>
      <c r="Y197" s="167"/>
      <c r="Z197" s="167"/>
    </row>
    <row r="198" spans="16:26" ht="10.199999999999999" customHeight="1">
      <c r="P198" s="168"/>
      <c r="Q198" s="168"/>
      <c r="R198" s="168"/>
      <c r="S198" s="168"/>
      <c r="T198" s="168"/>
      <c r="U198" s="168"/>
      <c r="V198" s="168"/>
      <c r="W198" s="168"/>
      <c r="X198" s="168"/>
      <c r="Y198" s="168"/>
      <c r="Z198" s="168"/>
    </row>
    <row r="199" spans="16:26" ht="10.199999999999999" customHeight="1">
      <c r="P199" s="167"/>
      <c r="Q199" s="167"/>
      <c r="R199" s="167"/>
      <c r="S199" s="167"/>
      <c r="T199" s="167"/>
      <c r="U199" s="167"/>
      <c r="V199" s="167"/>
      <c r="W199" s="167"/>
      <c r="X199" s="167"/>
      <c r="Y199" s="167"/>
      <c r="Z199" s="167"/>
    </row>
    <row r="200" spans="16:26" ht="10.199999999999999" customHeight="1">
      <c r="P200" s="167"/>
      <c r="Q200" s="167"/>
      <c r="R200" s="167"/>
      <c r="S200" s="167"/>
      <c r="T200" s="167"/>
      <c r="U200" s="167"/>
      <c r="V200" s="167"/>
      <c r="W200" s="167"/>
      <c r="X200" s="167"/>
      <c r="Y200" s="167"/>
      <c r="Z200" s="167"/>
    </row>
    <row r="201" spans="16:26" ht="10.199999999999999" customHeight="1">
      <c r="P201" s="168"/>
      <c r="Q201" s="168"/>
      <c r="R201" s="168"/>
      <c r="S201" s="168"/>
      <c r="T201" s="168"/>
      <c r="U201" s="168"/>
      <c r="V201" s="168"/>
      <c r="W201" s="168"/>
      <c r="X201" s="168"/>
      <c r="Y201" s="168"/>
      <c r="Z201" s="168"/>
    </row>
    <row r="202" spans="16:26" ht="10.199999999999999" customHeight="1">
      <c r="P202" s="167"/>
      <c r="Q202" s="167"/>
      <c r="R202" s="167"/>
      <c r="S202" s="167"/>
      <c r="T202" s="167"/>
      <c r="U202" s="167"/>
      <c r="V202" s="167"/>
      <c r="W202" s="167"/>
      <c r="X202" s="167"/>
      <c r="Y202" s="167"/>
      <c r="Z202" s="167"/>
    </row>
    <row r="203" spans="16:26" ht="10.199999999999999" customHeight="1">
      <c r="P203" s="167"/>
      <c r="Q203" s="167"/>
      <c r="R203" s="167"/>
      <c r="S203" s="167"/>
      <c r="T203" s="167"/>
      <c r="U203" s="167"/>
      <c r="V203" s="167"/>
      <c r="W203" s="167"/>
      <c r="X203" s="167"/>
      <c r="Y203" s="167"/>
      <c r="Z203" s="167"/>
    </row>
    <row r="204" spans="16:26" ht="10.199999999999999" customHeight="1">
      <c r="P204" s="168"/>
      <c r="Q204" s="168"/>
      <c r="R204" s="168"/>
      <c r="S204" s="168"/>
      <c r="T204" s="168"/>
      <c r="U204" s="168"/>
      <c r="V204" s="168"/>
      <c r="W204" s="168"/>
      <c r="X204" s="168"/>
      <c r="Y204" s="168"/>
      <c r="Z204" s="168"/>
    </row>
    <row r="205" spans="16:26" ht="10.199999999999999" customHeight="1">
      <c r="P205" s="167"/>
      <c r="Q205" s="167"/>
      <c r="R205" s="167"/>
      <c r="S205" s="167"/>
      <c r="T205" s="167"/>
      <c r="U205" s="167"/>
      <c r="V205" s="167"/>
      <c r="W205" s="167"/>
      <c r="X205" s="167"/>
      <c r="Y205" s="167"/>
      <c r="Z205" s="167"/>
    </row>
    <row r="206" spans="16:26" ht="10.199999999999999" customHeight="1">
      <c r="P206" s="167"/>
      <c r="Q206" s="167"/>
      <c r="R206" s="167"/>
      <c r="S206" s="167"/>
      <c r="T206" s="167"/>
      <c r="U206" s="167"/>
      <c r="V206" s="167"/>
      <c r="W206" s="167"/>
      <c r="X206" s="167"/>
      <c r="Y206" s="167"/>
      <c r="Z206" s="167"/>
    </row>
    <row r="207" spans="16:26" ht="10.199999999999999" customHeight="1">
      <c r="P207" s="168"/>
      <c r="Q207" s="168"/>
      <c r="R207" s="168"/>
      <c r="S207" s="168"/>
      <c r="T207" s="168"/>
      <c r="U207" s="168"/>
      <c r="V207" s="168"/>
      <c r="W207" s="168"/>
      <c r="X207" s="168"/>
      <c r="Y207" s="168"/>
      <c r="Z207" s="168"/>
    </row>
    <row r="208" spans="16:26" ht="10.199999999999999" customHeight="1">
      <c r="P208" s="167"/>
      <c r="Q208" s="167"/>
      <c r="R208" s="167"/>
      <c r="S208" s="167"/>
      <c r="T208" s="167"/>
      <c r="U208" s="167"/>
      <c r="V208" s="167"/>
      <c r="W208" s="167"/>
      <c r="X208" s="167"/>
      <c r="Y208" s="167"/>
      <c r="Z208" s="167"/>
    </row>
    <row r="209" spans="16:26" ht="10.199999999999999" customHeight="1">
      <c r="P209" s="167"/>
      <c r="Q209" s="167"/>
      <c r="R209" s="167"/>
      <c r="S209" s="167"/>
      <c r="T209" s="167"/>
      <c r="U209" s="167"/>
      <c r="V209" s="167"/>
      <c r="W209" s="167"/>
      <c r="X209" s="167"/>
      <c r="Y209" s="167"/>
      <c r="Z209" s="167"/>
    </row>
    <row r="210" spans="16:26" ht="10.199999999999999" customHeight="1">
      <c r="P210" s="168"/>
      <c r="Q210" s="168"/>
      <c r="R210" s="168"/>
      <c r="S210" s="168"/>
      <c r="T210" s="168"/>
      <c r="U210" s="168"/>
      <c r="V210" s="168"/>
      <c r="W210" s="168"/>
      <c r="X210" s="168"/>
      <c r="Y210" s="168"/>
      <c r="Z210" s="168"/>
    </row>
    <row r="211" spans="16:26" ht="10.199999999999999" customHeight="1">
      <c r="P211" s="167"/>
      <c r="Q211" s="167"/>
      <c r="R211" s="167"/>
      <c r="S211" s="167"/>
      <c r="T211" s="167"/>
      <c r="U211" s="167"/>
      <c r="V211" s="167"/>
      <c r="W211" s="167"/>
      <c r="X211" s="167"/>
      <c r="Y211" s="167"/>
      <c r="Z211" s="167"/>
    </row>
    <row r="212" spans="16:26" ht="10.199999999999999" customHeight="1">
      <c r="P212" s="167"/>
      <c r="Q212" s="167"/>
      <c r="R212" s="167"/>
      <c r="S212" s="167"/>
      <c r="T212" s="167"/>
      <c r="U212" s="167"/>
      <c r="V212" s="167"/>
      <c r="W212" s="167"/>
      <c r="X212" s="167"/>
      <c r="Y212" s="167"/>
      <c r="Z212" s="167"/>
    </row>
    <row r="213" spans="16:26" ht="10.199999999999999" customHeight="1">
      <c r="P213" s="168"/>
      <c r="Q213" s="168"/>
      <c r="R213" s="168"/>
      <c r="S213" s="168"/>
      <c r="T213" s="168"/>
      <c r="U213" s="168"/>
      <c r="V213" s="168"/>
      <c r="W213" s="168"/>
      <c r="X213" s="168"/>
      <c r="Y213" s="168"/>
      <c r="Z213" s="168"/>
    </row>
    <row r="214" spans="16:26" ht="10.199999999999999" customHeight="1">
      <c r="P214" s="167"/>
      <c r="Q214" s="167"/>
      <c r="R214" s="167"/>
      <c r="S214" s="167"/>
      <c r="T214" s="167"/>
      <c r="U214" s="167"/>
      <c r="V214" s="167"/>
      <c r="W214" s="167"/>
      <c r="X214" s="167"/>
      <c r="Y214" s="167"/>
      <c r="Z214" s="167"/>
    </row>
    <row r="215" spans="16:26" ht="10.199999999999999" customHeight="1">
      <c r="P215" s="167"/>
      <c r="Q215" s="167"/>
      <c r="R215" s="167"/>
      <c r="S215" s="167"/>
      <c r="T215" s="167"/>
      <c r="U215" s="167"/>
      <c r="V215" s="167"/>
      <c r="W215" s="167"/>
      <c r="X215" s="167"/>
      <c r="Y215" s="167"/>
      <c r="Z215" s="167"/>
    </row>
    <row r="216" spans="16:26" ht="10.199999999999999" customHeight="1">
      <c r="P216" s="168"/>
      <c r="Q216" s="168"/>
      <c r="R216" s="168"/>
      <c r="S216" s="168"/>
      <c r="T216" s="168"/>
      <c r="U216" s="168"/>
      <c r="V216" s="168"/>
      <c r="W216" s="168"/>
      <c r="X216" s="168"/>
      <c r="Y216" s="168"/>
      <c r="Z216" s="168"/>
    </row>
    <row r="217" spans="16:26" ht="10.199999999999999" customHeight="1">
      <c r="P217" s="167"/>
      <c r="Q217" s="167"/>
      <c r="R217" s="167"/>
      <c r="S217" s="167"/>
      <c r="T217" s="167"/>
      <c r="U217" s="167"/>
      <c r="V217" s="167"/>
      <c r="W217" s="167"/>
      <c r="X217" s="167"/>
      <c r="Y217" s="167"/>
      <c r="Z217" s="167"/>
    </row>
    <row r="218" spans="16:26" ht="10.199999999999999" customHeight="1">
      <c r="P218" s="167"/>
      <c r="Q218" s="167"/>
      <c r="R218" s="167"/>
      <c r="S218" s="167"/>
      <c r="T218" s="167"/>
      <c r="U218" s="167"/>
      <c r="V218" s="167"/>
      <c r="W218" s="167"/>
      <c r="X218" s="167"/>
      <c r="Y218" s="167"/>
      <c r="Z218" s="167"/>
    </row>
    <row r="219" spans="16:26" ht="10.199999999999999" customHeight="1">
      <c r="P219" s="168"/>
      <c r="Q219" s="168"/>
      <c r="R219" s="168"/>
      <c r="S219" s="168"/>
      <c r="T219" s="168"/>
      <c r="U219" s="168"/>
      <c r="V219" s="168"/>
      <c r="W219" s="168"/>
      <c r="X219" s="168"/>
      <c r="Y219" s="168"/>
      <c r="Z219" s="168"/>
    </row>
    <row r="220" spans="16:26" ht="10.199999999999999" customHeight="1">
      <c r="P220" s="167"/>
      <c r="Q220" s="167"/>
      <c r="R220" s="167"/>
      <c r="S220" s="167"/>
      <c r="T220" s="167"/>
      <c r="U220" s="167"/>
      <c r="V220" s="167"/>
      <c r="W220" s="167"/>
      <c r="X220" s="167"/>
      <c r="Y220" s="167"/>
      <c r="Z220" s="167"/>
    </row>
    <row r="221" spans="16:26" ht="10.199999999999999" customHeight="1">
      <c r="P221" s="167"/>
      <c r="Q221" s="167"/>
      <c r="R221" s="167"/>
      <c r="S221" s="167"/>
      <c r="T221" s="167"/>
      <c r="U221" s="167"/>
      <c r="V221" s="167"/>
      <c r="W221" s="167"/>
      <c r="X221" s="167"/>
      <c r="Y221" s="167"/>
      <c r="Z221" s="167"/>
    </row>
    <row r="222" spans="16:26" ht="10.199999999999999" customHeight="1">
      <c r="P222" s="168"/>
      <c r="Q222" s="168"/>
      <c r="R222" s="168"/>
      <c r="S222" s="168"/>
      <c r="T222" s="168"/>
      <c r="U222" s="168"/>
      <c r="V222" s="168"/>
      <c r="W222" s="168"/>
      <c r="X222" s="168"/>
      <c r="Y222" s="168"/>
      <c r="Z222" s="168"/>
    </row>
    <row r="223" spans="16:26" ht="10.199999999999999" customHeight="1">
      <c r="P223" s="167"/>
      <c r="Q223" s="167"/>
      <c r="R223" s="167"/>
      <c r="S223" s="167"/>
      <c r="T223" s="167"/>
      <c r="U223" s="167"/>
      <c r="V223" s="167"/>
      <c r="W223" s="167"/>
      <c r="X223" s="167"/>
      <c r="Y223" s="167"/>
      <c r="Z223" s="167"/>
    </row>
    <row r="224" spans="16:26" ht="10.199999999999999" customHeight="1">
      <c r="P224" s="167"/>
      <c r="Q224" s="167"/>
      <c r="R224" s="167"/>
      <c r="S224" s="167"/>
      <c r="T224" s="167"/>
      <c r="U224" s="167"/>
      <c r="V224" s="167"/>
      <c r="W224" s="167"/>
      <c r="X224" s="167"/>
      <c r="Y224" s="167"/>
      <c r="Z224" s="167"/>
    </row>
    <row r="225" spans="16:26" ht="10.199999999999999" customHeight="1">
      <c r="P225" s="168"/>
      <c r="Q225" s="168"/>
      <c r="R225" s="168"/>
      <c r="S225" s="168"/>
      <c r="T225" s="168"/>
      <c r="U225" s="168"/>
      <c r="V225" s="168"/>
      <c r="W225" s="168"/>
      <c r="X225" s="168"/>
      <c r="Y225" s="168"/>
      <c r="Z225" s="168"/>
    </row>
    <row r="226" spans="16:26" ht="10.199999999999999" customHeight="1">
      <c r="P226" s="167"/>
      <c r="Q226" s="167"/>
      <c r="R226" s="167"/>
      <c r="S226" s="167"/>
      <c r="T226" s="167"/>
      <c r="U226" s="167"/>
      <c r="V226" s="167"/>
      <c r="W226" s="167"/>
      <c r="X226" s="167"/>
      <c r="Y226" s="167"/>
      <c r="Z226" s="167"/>
    </row>
    <row r="227" spans="16:26" ht="10.199999999999999" customHeight="1">
      <c r="P227" s="167"/>
      <c r="Q227" s="167"/>
      <c r="R227" s="167"/>
      <c r="S227" s="167"/>
      <c r="T227" s="167"/>
      <c r="U227" s="167"/>
      <c r="V227" s="167"/>
      <c r="W227" s="167"/>
      <c r="X227" s="167"/>
      <c r="Y227" s="167"/>
      <c r="Z227" s="167"/>
    </row>
    <row r="228" spans="16:26" ht="10.199999999999999" customHeight="1">
      <c r="P228" s="168"/>
      <c r="Q228" s="168"/>
      <c r="R228" s="168"/>
      <c r="S228" s="168"/>
      <c r="T228" s="168"/>
      <c r="U228" s="168"/>
      <c r="V228" s="168"/>
      <c r="W228" s="168"/>
      <c r="X228" s="168"/>
      <c r="Y228" s="168"/>
      <c r="Z228" s="168"/>
    </row>
    <row r="229" spans="16:26" ht="10.199999999999999" customHeight="1">
      <c r="P229" s="167"/>
      <c r="Q229" s="167"/>
      <c r="R229" s="167"/>
      <c r="S229" s="167"/>
      <c r="T229" s="167"/>
      <c r="U229" s="167"/>
      <c r="V229" s="167"/>
      <c r="W229" s="167"/>
      <c r="X229" s="167"/>
      <c r="Y229" s="167"/>
      <c r="Z229" s="167"/>
    </row>
    <row r="230" spans="16:26" ht="10.199999999999999" customHeight="1">
      <c r="P230" s="167"/>
      <c r="Q230" s="167"/>
      <c r="R230" s="167"/>
      <c r="S230" s="167"/>
      <c r="T230" s="167"/>
      <c r="U230" s="167"/>
      <c r="V230" s="167"/>
      <c r="W230" s="167"/>
      <c r="X230" s="167"/>
      <c r="Y230" s="167"/>
      <c r="Z230" s="167"/>
    </row>
    <row r="231" spans="16:26" ht="10.199999999999999" customHeight="1">
      <c r="P231" s="168"/>
      <c r="Q231" s="168"/>
      <c r="R231" s="168"/>
      <c r="S231" s="168"/>
      <c r="T231" s="168"/>
      <c r="U231" s="168"/>
      <c r="V231" s="168"/>
      <c r="W231" s="168"/>
      <c r="X231" s="168"/>
      <c r="Y231" s="168"/>
      <c r="Z231" s="168"/>
    </row>
    <row r="232" spans="16:26" ht="10.199999999999999" customHeight="1">
      <c r="P232" s="167"/>
      <c r="Q232" s="167"/>
      <c r="R232" s="167"/>
      <c r="S232" s="167"/>
      <c r="T232" s="167"/>
      <c r="U232" s="167"/>
      <c r="V232" s="167"/>
      <c r="W232" s="167"/>
      <c r="X232" s="167"/>
      <c r="Y232" s="167"/>
      <c r="Z232" s="167"/>
    </row>
    <row r="233" spans="16:26" ht="10.199999999999999" customHeight="1">
      <c r="P233" s="167"/>
      <c r="Q233" s="167"/>
      <c r="R233" s="167"/>
      <c r="S233" s="167"/>
      <c r="T233" s="167"/>
      <c r="U233" s="167"/>
      <c r="V233" s="167"/>
      <c r="W233" s="167"/>
      <c r="X233" s="167"/>
      <c r="Y233" s="167"/>
      <c r="Z233" s="167"/>
    </row>
    <row r="234" spans="16:26" ht="10.199999999999999" customHeight="1">
      <c r="P234" s="168"/>
      <c r="Q234" s="168"/>
      <c r="R234" s="168"/>
      <c r="S234" s="168"/>
      <c r="T234" s="168"/>
      <c r="U234" s="168"/>
      <c r="V234" s="168"/>
      <c r="W234" s="168"/>
      <c r="X234" s="168"/>
      <c r="Y234" s="168"/>
      <c r="Z234" s="168"/>
    </row>
    <row r="235" spans="16:26" ht="10.199999999999999" customHeight="1">
      <c r="P235" s="167"/>
      <c r="Q235" s="167"/>
      <c r="R235" s="167"/>
      <c r="S235" s="167"/>
      <c r="T235" s="167"/>
      <c r="U235" s="167"/>
      <c r="V235" s="167"/>
      <c r="W235" s="167"/>
      <c r="X235" s="167"/>
      <c r="Y235" s="167"/>
      <c r="Z235" s="167"/>
    </row>
    <row r="236" spans="16:26" ht="10.199999999999999" customHeight="1">
      <c r="P236" s="167"/>
      <c r="Q236" s="167"/>
      <c r="R236" s="167"/>
      <c r="S236" s="167"/>
      <c r="T236" s="167"/>
      <c r="U236" s="167"/>
      <c r="V236" s="167"/>
      <c r="W236" s="167"/>
      <c r="X236" s="167"/>
      <c r="Y236" s="167"/>
      <c r="Z236" s="167"/>
    </row>
    <row r="237" spans="16:26" ht="10.199999999999999" customHeight="1">
      <c r="P237" s="168"/>
      <c r="Q237" s="168"/>
      <c r="R237" s="168"/>
      <c r="S237" s="168"/>
      <c r="T237" s="168"/>
      <c r="U237" s="168"/>
      <c r="V237" s="168"/>
      <c r="W237" s="168"/>
      <c r="X237" s="168"/>
      <c r="Y237" s="168"/>
      <c r="Z237" s="168"/>
    </row>
    <row r="238" spans="16:26" ht="10.199999999999999" customHeight="1">
      <c r="P238" s="167"/>
      <c r="Q238" s="167"/>
      <c r="R238" s="167"/>
      <c r="S238" s="167"/>
      <c r="T238" s="167"/>
      <c r="U238" s="167"/>
      <c r="V238" s="167"/>
      <c r="W238" s="167"/>
      <c r="X238" s="167"/>
      <c r="Y238" s="167"/>
      <c r="Z238" s="167"/>
    </row>
    <row r="239" spans="16:26" ht="10.199999999999999" customHeight="1">
      <c r="P239" s="167"/>
      <c r="Q239" s="167"/>
      <c r="R239" s="167"/>
      <c r="S239" s="167"/>
      <c r="T239" s="167"/>
      <c r="U239" s="167"/>
      <c r="V239" s="167"/>
      <c r="W239" s="167"/>
      <c r="X239" s="167"/>
      <c r="Y239" s="167"/>
      <c r="Z239" s="167"/>
    </row>
    <row r="240" spans="16:26" ht="10.199999999999999" customHeight="1">
      <c r="P240" s="168"/>
      <c r="Q240" s="168"/>
      <c r="R240" s="168"/>
      <c r="S240" s="168"/>
      <c r="T240" s="168"/>
      <c r="U240" s="168"/>
      <c r="V240" s="168"/>
      <c r="W240" s="168"/>
      <c r="X240" s="168"/>
      <c r="Y240" s="168"/>
      <c r="Z240" s="168"/>
    </row>
    <row r="241" spans="16:26" ht="10.199999999999999" customHeight="1">
      <c r="P241" s="167"/>
      <c r="Q241" s="167"/>
      <c r="R241" s="167"/>
      <c r="S241" s="167"/>
      <c r="T241" s="167"/>
      <c r="U241" s="167"/>
      <c r="V241" s="167"/>
      <c r="W241" s="167"/>
      <c r="X241" s="167"/>
      <c r="Y241" s="167"/>
      <c r="Z241" s="167"/>
    </row>
    <row r="242" spans="16:26" ht="10.199999999999999" customHeight="1">
      <c r="P242" s="167"/>
      <c r="Q242" s="167"/>
      <c r="R242" s="167"/>
      <c r="S242" s="167"/>
      <c r="T242" s="167"/>
      <c r="U242" s="167"/>
      <c r="V242" s="167"/>
      <c r="W242" s="167"/>
      <c r="X242" s="167"/>
      <c r="Y242" s="167"/>
      <c r="Z242" s="167"/>
    </row>
    <row r="243" spans="16:26" ht="10.199999999999999" customHeight="1">
      <c r="P243" s="168"/>
      <c r="Q243" s="168"/>
      <c r="R243" s="168"/>
      <c r="S243" s="168"/>
      <c r="T243" s="168"/>
      <c r="U243" s="168"/>
      <c r="V243" s="168"/>
      <c r="W243" s="168"/>
      <c r="X243" s="168"/>
      <c r="Y243" s="168"/>
      <c r="Z243" s="168"/>
    </row>
    <row r="244" spans="16:26" ht="10.199999999999999" customHeight="1">
      <c r="P244" s="167"/>
      <c r="Q244" s="167"/>
      <c r="R244" s="167"/>
      <c r="S244" s="167"/>
      <c r="T244" s="167"/>
      <c r="U244" s="167"/>
      <c r="V244" s="167"/>
      <c r="W244" s="167"/>
      <c r="X244" s="167"/>
      <c r="Y244" s="167"/>
      <c r="Z244" s="167"/>
    </row>
    <row r="245" spans="16:26" ht="10.199999999999999" customHeight="1">
      <c r="P245" s="167"/>
      <c r="Q245" s="167"/>
      <c r="R245" s="167"/>
      <c r="S245" s="167"/>
      <c r="T245" s="167"/>
      <c r="U245" s="167"/>
      <c r="V245" s="167"/>
      <c r="W245" s="167"/>
      <c r="X245" s="167"/>
      <c r="Y245" s="167"/>
      <c r="Z245" s="167"/>
    </row>
    <row r="246" spans="16:26" ht="10.199999999999999" customHeight="1">
      <c r="P246" s="168"/>
      <c r="Q246" s="168"/>
      <c r="R246" s="168"/>
      <c r="S246" s="168"/>
      <c r="T246" s="168"/>
      <c r="U246" s="168"/>
      <c r="V246" s="168"/>
      <c r="W246" s="168"/>
      <c r="X246" s="168"/>
      <c r="Y246" s="168"/>
      <c r="Z246" s="168"/>
    </row>
    <row r="247" spans="16:26" ht="10.199999999999999" customHeight="1">
      <c r="P247" s="167"/>
      <c r="Q247" s="167"/>
      <c r="R247" s="167"/>
      <c r="S247" s="167"/>
      <c r="T247" s="167"/>
      <c r="U247" s="167"/>
      <c r="V247" s="167"/>
      <c r="W247" s="167"/>
      <c r="X247" s="167"/>
      <c r="Y247" s="167"/>
      <c r="Z247" s="167"/>
    </row>
    <row r="248" spans="16:26" ht="10.199999999999999" customHeight="1">
      <c r="P248" s="167"/>
      <c r="Q248" s="167"/>
      <c r="R248" s="167"/>
      <c r="S248" s="167"/>
      <c r="T248" s="167"/>
      <c r="U248" s="167"/>
      <c r="V248" s="167"/>
      <c r="W248" s="167"/>
      <c r="X248" s="167"/>
      <c r="Y248" s="167"/>
      <c r="Z248" s="167"/>
    </row>
    <row r="249" spans="16:26" ht="10.199999999999999" customHeight="1">
      <c r="P249" s="168"/>
      <c r="Q249" s="168"/>
      <c r="R249" s="168"/>
      <c r="S249" s="168"/>
      <c r="T249" s="168"/>
      <c r="U249" s="168"/>
      <c r="V249" s="168"/>
      <c r="W249" s="168"/>
      <c r="X249" s="168"/>
      <c r="Y249" s="168"/>
      <c r="Z249" s="168"/>
    </row>
    <row r="250" spans="16:26" ht="10.199999999999999" customHeight="1">
      <c r="P250" s="167"/>
      <c r="Q250" s="167"/>
      <c r="R250" s="167"/>
      <c r="S250" s="167"/>
      <c r="T250" s="167"/>
      <c r="U250" s="167"/>
      <c r="V250" s="167"/>
      <c r="W250" s="167"/>
      <c r="X250" s="167"/>
      <c r="Y250" s="167"/>
      <c r="Z250" s="167"/>
    </row>
    <row r="251" spans="16:26" ht="10.199999999999999" customHeight="1">
      <c r="P251" s="167"/>
      <c r="Q251" s="167"/>
      <c r="R251" s="167"/>
      <c r="S251" s="167"/>
      <c r="T251" s="167"/>
      <c r="U251" s="167"/>
      <c r="V251" s="167"/>
      <c r="W251" s="167"/>
      <c r="X251" s="167"/>
      <c r="Y251" s="167"/>
      <c r="Z251" s="167"/>
    </row>
    <row r="252" spans="16:26" ht="10.199999999999999" customHeight="1">
      <c r="P252" s="168"/>
      <c r="Q252" s="168"/>
      <c r="R252" s="168"/>
      <c r="S252" s="168"/>
      <c r="T252" s="168"/>
      <c r="U252" s="168"/>
      <c r="V252" s="168"/>
      <c r="W252" s="168"/>
      <c r="X252" s="168"/>
      <c r="Y252" s="168"/>
      <c r="Z252" s="168"/>
    </row>
    <row r="253" spans="16:26" ht="10.199999999999999" customHeight="1">
      <c r="P253" s="167"/>
      <c r="Q253" s="167"/>
      <c r="R253" s="167"/>
      <c r="S253" s="167"/>
      <c r="T253" s="167"/>
      <c r="U253" s="167"/>
      <c r="V253" s="167"/>
      <c r="W253" s="167"/>
      <c r="X253" s="167"/>
      <c r="Y253" s="167"/>
      <c r="Z253" s="167"/>
    </row>
    <row r="254" spans="16:26" ht="10.199999999999999" customHeight="1">
      <c r="P254" s="167"/>
      <c r="Q254" s="167"/>
      <c r="R254" s="167"/>
      <c r="S254" s="167"/>
      <c r="T254" s="167"/>
      <c r="U254" s="167"/>
      <c r="V254" s="167"/>
      <c r="W254" s="167"/>
      <c r="X254" s="167"/>
      <c r="Y254" s="167"/>
      <c r="Z254" s="167"/>
    </row>
    <row r="255" spans="16:26" ht="10.199999999999999" customHeight="1">
      <c r="P255" s="168"/>
      <c r="Q255" s="168"/>
      <c r="R255" s="168"/>
      <c r="S255" s="168"/>
      <c r="T255" s="168"/>
      <c r="U255" s="168"/>
      <c r="V255" s="168"/>
      <c r="W255" s="168"/>
      <c r="X255" s="168"/>
      <c r="Y255" s="168"/>
      <c r="Z255" s="168"/>
    </row>
    <row r="256" spans="16:26" ht="10.199999999999999" customHeight="1">
      <c r="P256" s="167"/>
      <c r="Q256" s="167"/>
      <c r="R256" s="167"/>
      <c r="S256" s="167"/>
      <c r="T256" s="167"/>
      <c r="U256" s="167"/>
      <c r="V256" s="167"/>
      <c r="W256" s="167"/>
      <c r="X256" s="167"/>
      <c r="Y256" s="167"/>
      <c r="Z256" s="167"/>
    </row>
    <row r="257" spans="16:26" ht="10.199999999999999" customHeight="1">
      <c r="P257" s="167"/>
      <c r="Q257" s="167"/>
      <c r="R257" s="167"/>
      <c r="S257" s="167"/>
      <c r="T257" s="167"/>
      <c r="U257" s="167"/>
      <c r="V257" s="167"/>
      <c r="W257" s="167"/>
      <c r="X257" s="167"/>
      <c r="Y257" s="167"/>
      <c r="Z257" s="167"/>
    </row>
    <row r="258" spans="16:26" ht="10.199999999999999" customHeight="1">
      <c r="P258" s="168"/>
      <c r="Q258" s="168"/>
      <c r="R258" s="168"/>
      <c r="S258" s="168"/>
      <c r="T258" s="168"/>
      <c r="U258" s="168"/>
      <c r="V258" s="168"/>
      <c r="W258" s="168"/>
      <c r="X258" s="168"/>
      <c r="Y258" s="168"/>
      <c r="Z258" s="168"/>
    </row>
    <row r="259" spans="16:26" ht="10.199999999999999" customHeight="1">
      <c r="P259" s="167"/>
      <c r="Q259" s="167"/>
      <c r="R259" s="167"/>
      <c r="S259" s="167"/>
      <c r="T259" s="167"/>
      <c r="U259" s="167"/>
      <c r="V259" s="167"/>
      <c r="W259" s="167"/>
      <c r="X259" s="167"/>
      <c r="Y259" s="167"/>
      <c r="Z259" s="167"/>
    </row>
    <row r="260" spans="16:26" ht="10.199999999999999" customHeight="1">
      <c r="P260" s="167"/>
      <c r="Q260" s="167"/>
      <c r="R260" s="167"/>
      <c r="S260" s="167"/>
      <c r="T260" s="167"/>
      <c r="U260" s="167"/>
      <c r="V260" s="167"/>
      <c r="W260" s="167"/>
      <c r="X260" s="167"/>
      <c r="Y260" s="167"/>
      <c r="Z260" s="167"/>
    </row>
    <row r="261" spans="16:26" ht="10.199999999999999" customHeight="1">
      <c r="P261" s="168"/>
      <c r="Q261" s="168"/>
      <c r="R261" s="168"/>
      <c r="S261" s="168"/>
      <c r="T261" s="168"/>
      <c r="U261" s="168"/>
      <c r="V261" s="168"/>
      <c r="W261" s="168"/>
      <c r="X261" s="168"/>
      <c r="Y261" s="168"/>
      <c r="Z261" s="168"/>
    </row>
    <row r="262" spans="16:26" ht="10.199999999999999" customHeight="1">
      <c r="P262" s="167"/>
      <c r="Q262" s="167"/>
      <c r="R262" s="167"/>
      <c r="S262" s="167"/>
      <c r="T262" s="167"/>
      <c r="U262" s="167"/>
      <c r="V262" s="167"/>
      <c r="W262" s="167"/>
      <c r="X262" s="167"/>
      <c r="Y262" s="167"/>
      <c r="Z262" s="167"/>
    </row>
    <row r="263" spans="16:26" ht="10.199999999999999" customHeight="1">
      <c r="P263" s="167"/>
      <c r="Q263" s="167"/>
      <c r="R263" s="167"/>
      <c r="S263" s="167"/>
      <c r="T263" s="167"/>
      <c r="U263" s="167"/>
      <c r="V263" s="167"/>
      <c r="W263" s="167"/>
      <c r="X263" s="167"/>
      <c r="Y263" s="167"/>
      <c r="Z263" s="167"/>
    </row>
    <row r="264" spans="16:26" ht="10.199999999999999" customHeight="1">
      <c r="P264" s="168"/>
      <c r="Q264" s="168"/>
      <c r="R264" s="168"/>
      <c r="S264" s="168"/>
      <c r="T264" s="168"/>
      <c r="U264" s="168"/>
      <c r="V264" s="168"/>
      <c r="W264" s="168"/>
      <c r="X264" s="168"/>
      <c r="Y264" s="168"/>
      <c r="Z264" s="168"/>
    </row>
    <row r="265" spans="16:26" ht="10.199999999999999" customHeight="1">
      <c r="P265" s="167"/>
      <c r="Q265" s="167"/>
      <c r="R265" s="167"/>
      <c r="S265" s="167"/>
      <c r="T265" s="167"/>
      <c r="U265" s="167"/>
      <c r="V265" s="167"/>
      <c r="W265" s="167"/>
      <c r="X265" s="167"/>
      <c r="Y265" s="167"/>
      <c r="Z265" s="167"/>
    </row>
    <row r="266" spans="16:26" ht="10.199999999999999" customHeight="1">
      <c r="P266" s="167"/>
      <c r="Q266" s="167"/>
      <c r="R266" s="167"/>
      <c r="S266" s="167"/>
      <c r="T266" s="167"/>
      <c r="U266" s="167"/>
      <c r="V266" s="167"/>
      <c r="W266" s="167"/>
      <c r="X266" s="167"/>
      <c r="Y266" s="167"/>
      <c r="Z266" s="167"/>
    </row>
    <row r="267" spans="16:26" ht="10.199999999999999" customHeight="1">
      <c r="P267" s="163"/>
      <c r="Q267" s="163"/>
      <c r="R267" s="163"/>
      <c r="S267" s="163"/>
      <c r="T267" s="163"/>
      <c r="U267" s="163"/>
      <c r="V267" s="163"/>
      <c r="W267" s="163"/>
      <c r="X267" s="163"/>
      <c r="Y267" s="163"/>
      <c r="Z267" s="163"/>
    </row>
    <row r="268" spans="16:26" ht="10.199999999999999" customHeight="1">
      <c r="P268" s="163"/>
      <c r="Q268" s="163"/>
      <c r="R268" s="163"/>
      <c r="S268" s="163"/>
      <c r="T268" s="163"/>
      <c r="U268" s="163"/>
      <c r="V268" s="163"/>
      <c r="W268" s="163"/>
      <c r="X268" s="163"/>
      <c r="Y268" s="163"/>
      <c r="Z268" s="163"/>
    </row>
    <row r="269" spans="16:26" ht="10.199999999999999" customHeight="1">
      <c r="P269" s="163"/>
      <c r="Q269" s="163"/>
      <c r="R269" s="163"/>
      <c r="S269" s="163"/>
      <c r="T269" s="163"/>
      <c r="U269" s="163"/>
      <c r="V269" s="163"/>
      <c r="W269" s="163"/>
      <c r="X269" s="163"/>
      <c r="Y269" s="163"/>
      <c r="Z269" s="163"/>
    </row>
    <row r="270" spans="16:26" ht="10.199999999999999" customHeight="1">
      <c r="P270" s="163"/>
      <c r="Q270" s="163"/>
      <c r="R270" s="163"/>
      <c r="S270" s="163"/>
      <c r="T270" s="163"/>
      <c r="U270" s="163"/>
      <c r="V270" s="163"/>
      <c r="W270" s="163"/>
      <c r="X270" s="163"/>
      <c r="Y270" s="163"/>
      <c r="Z270" s="163"/>
    </row>
    <row r="271" spans="16:26" ht="10.199999999999999" customHeight="1">
      <c r="P271" s="163"/>
      <c r="Q271" s="163"/>
      <c r="R271" s="163"/>
      <c r="S271" s="163"/>
      <c r="T271" s="163"/>
      <c r="U271" s="163"/>
      <c r="V271" s="163"/>
      <c r="W271" s="163"/>
      <c r="X271" s="163"/>
      <c r="Y271" s="163"/>
      <c r="Z271" s="163"/>
    </row>
    <row r="272" spans="16:26" ht="10.199999999999999" customHeight="1">
      <c r="P272" s="163"/>
      <c r="Q272" s="163"/>
      <c r="R272" s="163"/>
      <c r="S272" s="163"/>
      <c r="T272" s="163"/>
      <c r="U272" s="163"/>
      <c r="V272" s="163"/>
      <c r="W272" s="163"/>
      <c r="X272" s="163"/>
      <c r="Y272" s="163"/>
      <c r="Z272" s="163"/>
    </row>
    <row r="273" spans="16:26" ht="10.199999999999999" customHeight="1">
      <c r="P273" s="163"/>
      <c r="Q273" s="163"/>
      <c r="R273" s="163"/>
      <c r="S273" s="163"/>
      <c r="T273" s="163"/>
      <c r="U273" s="163"/>
      <c r="V273" s="163"/>
      <c r="W273" s="163"/>
      <c r="X273" s="163"/>
      <c r="Y273" s="163"/>
      <c r="Z273" s="163"/>
    </row>
    <row r="274" spans="16:26" ht="10.199999999999999" customHeight="1">
      <c r="P274" s="163"/>
      <c r="Q274" s="163"/>
      <c r="R274" s="163"/>
      <c r="S274" s="163"/>
      <c r="T274" s="163"/>
      <c r="U274" s="163"/>
      <c r="V274" s="163"/>
      <c r="W274" s="163"/>
      <c r="X274" s="163"/>
      <c r="Y274" s="163"/>
      <c r="Z274" s="163"/>
    </row>
    <row r="275" spans="16:26" ht="10.199999999999999" customHeight="1">
      <c r="P275" s="163"/>
      <c r="Q275" s="163"/>
      <c r="R275" s="163"/>
      <c r="S275" s="163"/>
      <c r="T275" s="163"/>
      <c r="U275" s="163"/>
      <c r="V275" s="163"/>
      <c r="W275" s="163"/>
      <c r="X275" s="163"/>
      <c r="Y275" s="163"/>
      <c r="Z275" s="163"/>
    </row>
    <row r="276" spans="16:26" ht="10.199999999999999" customHeight="1">
      <c r="P276" s="163"/>
      <c r="Q276" s="163"/>
      <c r="R276" s="163"/>
      <c r="S276" s="163"/>
      <c r="T276" s="163"/>
      <c r="U276" s="163"/>
      <c r="V276" s="163"/>
      <c r="W276" s="163"/>
      <c r="X276" s="163"/>
      <c r="Y276" s="163"/>
      <c r="Z276" s="163"/>
    </row>
    <row r="277" spans="16:26" ht="10.199999999999999" customHeight="1">
      <c r="P277" s="163"/>
      <c r="Q277" s="163"/>
      <c r="R277" s="163"/>
      <c r="S277" s="163"/>
      <c r="T277" s="163"/>
      <c r="U277" s="163"/>
      <c r="V277" s="163"/>
      <c r="W277" s="163"/>
      <c r="X277" s="163"/>
      <c r="Y277" s="163"/>
      <c r="Z277" s="163"/>
    </row>
    <row r="278" spans="16:26" ht="10.199999999999999" customHeight="1">
      <c r="P278" s="163"/>
      <c r="Q278" s="163"/>
      <c r="R278" s="163"/>
      <c r="S278" s="163"/>
      <c r="T278" s="163"/>
      <c r="U278" s="163"/>
      <c r="V278" s="163"/>
      <c r="W278" s="163"/>
      <c r="X278" s="163"/>
      <c r="Y278" s="163"/>
      <c r="Z278" s="163"/>
    </row>
    <row r="279" spans="16:26" ht="10.199999999999999" customHeight="1">
      <c r="P279" s="163"/>
      <c r="Q279" s="163"/>
      <c r="R279" s="163"/>
      <c r="S279" s="163"/>
      <c r="T279" s="163"/>
      <c r="U279" s="163"/>
      <c r="V279" s="163"/>
      <c r="W279" s="163"/>
      <c r="X279" s="163"/>
      <c r="Y279" s="163"/>
      <c r="Z279" s="163"/>
    </row>
    <row r="280" spans="16:26" ht="10.199999999999999" customHeight="1">
      <c r="P280" s="163"/>
      <c r="Q280" s="163"/>
      <c r="R280" s="163"/>
      <c r="S280" s="163"/>
      <c r="T280" s="163"/>
      <c r="U280" s="163"/>
      <c r="V280" s="163"/>
      <c r="W280" s="163"/>
      <c r="X280" s="163"/>
      <c r="Y280" s="163"/>
      <c r="Z280" s="163"/>
    </row>
    <row r="281" spans="16:26" ht="10.199999999999999" customHeight="1">
      <c r="P281" s="163"/>
      <c r="Q281" s="163"/>
      <c r="R281" s="163"/>
      <c r="S281" s="163"/>
      <c r="T281" s="163"/>
      <c r="U281" s="163"/>
      <c r="V281" s="163"/>
      <c r="W281" s="163"/>
      <c r="X281" s="163"/>
      <c r="Y281" s="163"/>
      <c r="Z281" s="163"/>
    </row>
    <row r="282" spans="16:26" ht="10.199999999999999" customHeight="1">
      <c r="P282" s="163"/>
      <c r="Q282" s="163"/>
      <c r="R282" s="163"/>
      <c r="S282" s="163"/>
      <c r="T282" s="163"/>
      <c r="U282" s="163"/>
      <c r="V282" s="163"/>
      <c r="W282" s="163"/>
      <c r="X282" s="163"/>
      <c r="Y282" s="163"/>
      <c r="Z282" s="163"/>
    </row>
    <row r="283" spans="16:26" ht="10.199999999999999" customHeight="1">
      <c r="P283" s="163"/>
      <c r="Q283" s="163"/>
      <c r="R283" s="163"/>
      <c r="S283" s="163"/>
      <c r="T283" s="163"/>
      <c r="U283" s="163"/>
      <c r="V283" s="163"/>
      <c r="W283" s="163"/>
      <c r="X283" s="163"/>
      <c r="Y283" s="163"/>
      <c r="Z283" s="163"/>
    </row>
    <row r="284" spans="16:26" ht="10.199999999999999" customHeight="1">
      <c r="P284" s="163"/>
      <c r="Q284" s="163"/>
      <c r="R284" s="163"/>
      <c r="S284" s="163"/>
      <c r="T284" s="163"/>
      <c r="U284" s="163"/>
      <c r="V284" s="163"/>
      <c r="W284" s="163"/>
      <c r="X284" s="163"/>
      <c r="Y284" s="163"/>
      <c r="Z284" s="163"/>
    </row>
    <row r="285" spans="16:26" ht="10.199999999999999" customHeight="1">
      <c r="P285" s="163"/>
      <c r="Q285" s="163"/>
      <c r="R285" s="163"/>
      <c r="S285" s="163"/>
      <c r="T285" s="163"/>
      <c r="U285" s="163"/>
      <c r="V285" s="163"/>
      <c r="W285" s="163"/>
      <c r="X285" s="163"/>
      <c r="Y285" s="163"/>
      <c r="Z285" s="163"/>
    </row>
    <row r="286" spans="16:26" ht="10.199999999999999" customHeight="1">
      <c r="P286" s="163"/>
      <c r="Q286" s="163"/>
      <c r="R286" s="163"/>
      <c r="S286" s="163"/>
      <c r="T286" s="163"/>
      <c r="U286" s="163"/>
      <c r="V286" s="163"/>
      <c r="W286" s="163"/>
      <c r="X286" s="163"/>
      <c r="Y286" s="163"/>
      <c r="Z286" s="163"/>
    </row>
    <row r="287" spans="16:26" ht="10.199999999999999" customHeight="1">
      <c r="P287" s="163"/>
      <c r="Q287" s="163"/>
      <c r="R287" s="163"/>
      <c r="S287" s="163"/>
      <c r="T287" s="163"/>
      <c r="U287" s="163"/>
      <c r="V287" s="163"/>
      <c r="W287" s="163"/>
      <c r="X287" s="163"/>
      <c r="Y287" s="163"/>
      <c r="Z287" s="163"/>
    </row>
    <row r="288" spans="16:26" ht="10.199999999999999" customHeight="1">
      <c r="P288" s="163"/>
      <c r="Q288" s="163"/>
      <c r="R288" s="163"/>
      <c r="S288" s="163"/>
      <c r="T288" s="163"/>
      <c r="U288" s="163"/>
      <c r="V288" s="163"/>
      <c r="W288" s="163"/>
      <c r="X288" s="163"/>
      <c r="Y288" s="163"/>
      <c r="Z288" s="163"/>
    </row>
    <row r="289" spans="16:26" ht="10.199999999999999" customHeight="1">
      <c r="P289" s="163"/>
      <c r="Q289" s="163"/>
      <c r="R289" s="163"/>
      <c r="S289" s="163"/>
      <c r="T289" s="163"/>
      <c r="U289" s="163"/>
      <c r="V289" s="163"/>
      <c r="W289" s="163"/>
      <c r="X289" s="163"/>
      <c r="Y289" s="163"/>
      <c r="Z289" s="163"/>
    </row>
    <row r="290" spans="16:26" ht="10.199999999999999" customHeight="1">
      <c r="P290" s="163"/>
      <c r="Q290" s="163"/>
      <c r="R290" s="163"/>
      <c r="S290" s="163"/>
      <c r="T290" s="163"/>
      <c r="U290" s="163"/>
      <c r="V290" s="163"/>
      <c r="W290" s="163"/>
      <c r="X290" s="163"/>
      <c r="Y290" s="163"/>
      <c r="Z290" s="163"/>
    </row>
    <row r="291" spans="16:26" ht="10.199999999999999" customHeight="1">
      <c r="P291" s="163"/>
      <c r="Q291" s="163"/>
      <c r="R291" s="163"/>
      <c r="S291" s="163"/>
      <c r="T291" s="163"/>
      <c r="U291" s="163"/>
      <c r="V291" s="163"/>
      <c r="W291" s="163"/>
      <c r="X291" s="163"/>
      <c r="Y291" s="163"/>
      <c r="Z291" s="163"/>
    </row>
    <row r="292" spans="16:26" ht="10.199999999999999" customHeight="1">
      <c r="P292" s="163"/>
      <c r="Q292" s="163"/>
      <c r="R292" s="163"/>
      <c r="S292" s="163"/>
      <c r="T292" s="163"/>
      <c r="U292" s="163"/>
      <c r="V292" s="163"/>
      <c r="W292" s="163"/>
      <c r="X292" s="163"/>
      <c r="Y292" s="163"/>
      <c r="Z292" s="163"/>
    </row>
    <row r="293" spans="16:26" ht="10.199999999999999" customHeight="1">
      <c r="P293" s="163"/>
      <c r="Q293" s="163"/>
      <c r="R293" s="163"/>
      <c r="S293" s="163"/>
      <c r="T293" s="163"/>
      <c r="U293" s="163"/>
      <c r="V293" s="163"/>
      <c r="W293" s="163"/>
      <c r="X293" s="163"/>
      <c r="Y293" s="163"/>
      <c r="Z293" s="163"/>
    </row>
    <row r="294" spans="16:26" ht="10.199999999999999" customHeight="1">
      <c r="P294" s="163"/>
      <c r="Q294" s="163"/>
      <c r="R294" s="163"/>
      <c r="S294" s="163"/>
      <c r="T294" s="163"/>
      <c r="U294" s="163"/>
      <c r="V294" s="163"/>
      <c r="W294" s="163"/>
      <c r="X294" s="163"/>
      <c r="Y294" s="163"/>
      <c r="Z294" s="163"/>
    </row>
    <row r="295" spans="16:26" ht="10.199999999999999" customHeight="1">
      <c r="P295" s="163"/>
      <c r="Q295" s="163"/>
      <c r="R295" s="163"/>
      <c r="S295" s="163"/>
      <c r="T295" s="163"/>
      <c r="U295" s="163"/>
      <c r="V295" s="163"/>
      <c r="W295" s="163"/>
      <c r="X295" s="163"/>
      <c r="Y295" s="163"/>
      <c r="Z295" s="163"/>
    </row>
    <row r="296" spans="16:26" ht="10.199999999999999" customHeight="1">
      <c r="P296" s="163"/>
      <c r="Q296" s="163"/>
      <c r="R296" s="163"/>
      <c r="S296" s="163"/>
      <c r="T296" s="163"/>
      <c r="U296" s="163"/>
      <c r="V296" s="163"/>
      <c r="W296" s="163"/>
      <c r="X296" s="163"/>
      <c r="Y296" s="163"/>
      <c r="Z296" s="163"/>
    </row>
    <row r="297" spans="16:26" ht="10.199999999999999" customHeight="1">
      <c r="P297" s="163"/>
      <c r="Q297" s="163"/>
      <c r="R297" s="163"/>
      <c r="S297" s="163"/>
      <c r="T297" s="163"/>
      <c r="U297" s="163"/>
      <c r="V297" s="163"/>
      <c r="W297" s="163"/>
      <c r="X297" s="163"/>
      <c r="Y297" s="163"/>
      <c r="Z297" s="163"/>
    </row>
    <row r="298" spans="16:26" ht="10.199999999999999" customHeight="1">
      <c r="P298" s="163"/>
      <c r="Q298" s="163"/>
      <c r="R298" s="163"/>
      <c r="S298" s="163"/>
      <c r="T298" s="163"/>
      <c r="U298" s="163"/>
      <c r="V298" s="163"/>
      <c r="W298" s="163"/>
      <c r="X298" s="163"/>
      <c r="Y298" s="163"/>
      <c r="Z298" s="163"/>
    </row>
    <row r="299" spans="16:26" ht="10.199999999999999" customHeight="1">
      <c r="P299" s="163"/>
      <c r="Q299" s="163"/>
      <c r="R299" s="163"/>
      <c r="S299" s="163"/>
      <c r="T299" s="163"/>
      <c r="U299" s="163"/>
      <c r="V299" s="163"/>
      <c r="W299" s="163"/>
      <c r="X299" s="163"/>
      <c r="Y299" s="163"/>
      <c r="Z299" s="163"/>
    </row>
    <row r="300" spans="16:26" ht="10.199999999999999" customHeight="1">
      <c r="P300" s="163"/>
      <c r="Q300" s="163"/>
      <c r="R300" s="163"/>
      <c r="S300" s="163"/>
      <c r="T300" s="163"/>
      <c r="U300" s="163"/>
      <c r="V300" s="163"/>
      <c r="W300" s="163"/>
      <c r="X300" s="163"/>
      <c r="Y300" s="163"/>
      <c r="Z300" s="163"/>
    </row>
    <row r="301" spans="16:26" ht="10.199999999999999" customHeight="1">
      <c r="P301" s="163"/>
      <c r="Q301" s="163"/>
      <c r="R301" s="163"/>
      <c r="S301" s="163"/>
      <c r="T301" s="163"/>
      <c r="U301" s="163"/>
      <c r="V301" s="163"/>
      <c r="W301" s="163"/>
      <c r="X301" s="163"/>
      <c r="Y301" s="163"/>
      <c r="Z301" s="163"/>
    </row>
    <row r="302" spans="16:26" ht="10.199999999999999" customHeight="1">
      <c r="P302" s="163"/>
      <c r="Q302" s="163"/>
      <c r="R302" s="163"/>
      <c r="S302" s="163"/>
      <c r="T302" s="163"/>
      <c r="U302" s="163"/>
      <c r="V302" s="163"/>
      <c r="W302" s="163"/>
      <c r="X302" s="163"/>
      <c r="Y302" s="163"/>
      <c r="Z302" s="163"/>
    </row>
    <row r="303" spans="16:26" ht="10.199999999999999" customHeight="1">
      <c r="P303" s="163"/>
      <c r="Q303" s="163"/>
      <c r="R303" s="163"/>
      <c r="S303" s="163"/>
      <c r="T303" s="163"/>
      <c r="U303" s="163"/>
      <c r="V303" s="163"/>
      <c r="W303" s="163"/>
      <c r="X303" s="163"/>
      <c r="Y303" s="163"/>
      <c r="Z303" s="163"/>
    </row>
    <row r="304" spans="16:26" ht="10.199999999999999" customHeight="1">
      <c r="P304" s="163"/>
      <c r="Q304" s="163"/>
      <c r="R304" s="163"/>
      <c r="S304" s="163"/>
      <c r="T304" s="163"/>
      <c r="U304" s="163"/>
      <c r="V304" s="163"/>
      <c r="W304" s="163"/>
      <c r="X304" s="163"/>
      <c r="Y304" s="163"/>
      <c r="Z304" s="163"/>
    </row>
    <row r="305" spans="16:26" ht="10.199999999999999" customHeight="1">
      <c r="P305" s="163"/>
      <c r="Q305" s="163"/>
      <c r="R305" s="163"/>
      <c r="S305" s="163"/>
      <c r="T305" s="163"/>
      <c r="U305" s="163"/>
      <c r="V305" s="163"/>
      <c r="W305" s="163"/>
      <c r="X305" s="163"/>
      <c r="Y305" s="163"/>
      <c r="Z305" s="163"/>
    </row>
    <row r="306" spans="16:26" ht="10.199999999999999" customHeight="1">
      <c r="P306" s="163"/>
      <c r="Q306" s="163"/>
      <c r="R306" s="163"/>
      <c r="S306" s="163"/>
      <c r="T306" s="163"/>
      <c r="U306" s="163"/>
      <c r="V306" s="163"/>
      <c r="W306" s="163"/>
      <c r="X306" s="163"/>
      <c r="Y306" s="163"/>
      <c r="Z306" s="163"/>
    </row>
    <row r="307" spans="16:26" ht="10.199999999999999" customHeight="1">
      <c r="P307" s="163"/>
      <c r="Q307" s="163"/>
      <c r="R307" s="163"/>
      <c r="S307" s="163"/>
      <c r="T307" s="163"/>
      <c r="U307" s="163"/>
      <c r="V307" s="163"/>
      <c r="W307" s="163"/>
      <c r="X307" s="163"/>
      <c r="Y307" s="163"/>
      <c r="Z307" s="163"/>
    </row>
    <row r="308" spans="16:26" ht="10.199999999999999" customHeight="1">
      <c r="P308" s="163"/>
      <c r="Q308" s="163"/>
      <c r="R308" s="163"/>
      <c r="S308" s="163"/>
      <c r="T308" s="163"/>
      <c r="U308" s="163"/>
      <c r="V308" s="163"/>
      <c r="W308" s="163"/>
      <c r="X308" s="163"/>
      <c r="Y308" s="163"/>
      <c r="Z308" s="163"/>
    </row>
    <row r="309" spans="16:26" ht="10.199999999999999" customHeight="1">
      <c r="P309" s="163"/>
      <c r="Q309" s="163"/>
      <c r="R309" s="163"/>
      <c r="S309" s="163"/>
      <c r="T309" s="163"/>
      <c r="U309" s="163"/>
      <c r="V309" s="163"/>
      <c r="W309" s="163"/>
      <c r="X309" s="163"/>
      <c r="Y309" s="163"/>
      <c r="Z309" s="163"/>
    </row>
    <row r="310" spans="16:26" ht="10.199999999999999" customHeight="1">
      <c r="P310" s="163"/>
      <c r="Q310" s="163"/>
      <c r="R310" s="163"/>
      <c r="S310" s="163"/>
      <c r="T310" s="163"/>
      <c r="U310" s="163"/>
      <c r="V310" s="163"/>
      <c r="W310" s="163"/>
      <c r="X310" s="163"/>
      <c r="Y310" s="163"/>
      <c r="Z310" s="163"/>
    </row>
    <row r="311" spans="16:26" ht="10.199999999999999" customHeight="1">
      <c r="P311" s="163"/>
      <c r="Q311" s="163"/>
      <c r="R311" s="163"/>
      <c r="S311" s="163"/>
      <c r="T311" s="163"/>
      <c r="U311" s="163"/>
      <c r="V311" s="163"/>
      <c r="W311" s="163"/>
      <c r="X311" s="163"/>
      <c r="Y311" s="163"/>
      <c r="Z311" s="163"/>
    </row>
    <row r="312" spans="16:26" ht="10.199999999999999" customHeight="1">
      <c r="P312" s="163"/>
      <c r="Q312" s="163"/>
      <c r="R312" s="163"/>
      <c r="S312" s="163"/>
      <c r="T312" s="163"/>
      <c r="U312" s="163"/>
      <c r="V312" s="163"/>
      <c r="W312" s="163"/>
      <c r="X312" s="163"/>
      <c r="Y312" s="163"/>
      <c r="Z312" s="163"/>
    </row>
    <row r="313" spans="16:26" ht="10.199999999999999" customHeight="1">
      <c r="P313" s="163"/>
      <c r="Q313" s="163"/>
      <c r="R313" s="163"/>
      <c r="S313" s="163"/>
      <c r="T313" s="163"/>
      <c r="U313" s="163"/>
      <c r="V313" s="163"/>
      <c r="W313" s="163"/>
      <c r="X313" s="163"/>
      <c r="Y313" s="163"/>
      <c r="Z313" s="163"/>
    </row>
    <row r="314" spans="16:26" ht="10.199999999999999" customHeight="1">
      <c r="P314" s="163"/>
      <c r="Q314" s="163"/>
      <c r="R314" s="163"/>
      <c r="S314" s="163"/>
      <c r="T314" s="163"/>
      <c r="U314" s="163"/>
      <c r="V314" s="163"/>
      <c r="W314" s="163"/>
      <c r="X314" s="163"/>
      <c r="Y314" s="163"/>
      <c r="Z314" s="163"/>
    </row>
    <row r="315" spans="16:26" ht="10.199999999999999" customHeight="1">
      <c r="P315" s="163"/>
      <c r="Q315" s="163"/>
      <c r="R315" s="163"/>
      <c r="S315" s="163"/>
      <c r="T315" s="163"/>
      <c r="U315" s="163"/>
      <c r="V315" s="163"/>
      <c r="W315" s="163"/>
      <c r="X315" s="163"/>
      <c r="Y315" s="163"/>
      <c r="Z315" s="163"/>
    </row>
    <row r="316" spans="16:26" ht="10.199999999999999" customHeight="1">
      <c r="P316" s="163"/>
      <c r="Q316" s="163"/>
      <c r="R316" s="163"/>
      <c r="S316" s="163"/>
      <c r="T316" s="163"/>
      <c r="U316" s="163"/>
      <c r="V316" s="163"/>
      <c r="W316" s="163"/>
      <c r="X316" s="163"/>
      <c r="Y316" s="163"/>
      <c r="Z316" s="163"/>
    </row>
    <row r="317" spans="16:26" ht="10.199999999999999" customHeight="1">
      <c r="P317" s="163"/>
      <c r="Q317" s="163"/>
      <c r="R317" s="163"/>
      <c r="S317" s="163"/>
      <c r="T317" s="163"/>
      <c r="U317" s="163"/>
      <c r="V317" s="163"/>
      <c r="W317" s="163"/>
      <c r="X317" s="163"/>
      <c r="Y317" s="163"/>
      <c r="Z317" s="163"/>
    </row>
    <row r="318" spans="16:26" ht="10.199999999999999" customHeight="1">
      <c r="P318" s="163"/>
      <c r="Q318" s="163"/>
      <c r="R318" s="163"/>
      <c r="S318" s="163"/>
      <c r="T318" s="163"/>
      <c r="U318" s="163"/>
      <c r="V318" s="163"/>
      <c r="W318" s="163"/>
      <c r="X318" s="163"/>
      <c r="Y318" s="163"/>
      <c r="Z318" s="163"/>
    </row>
    <row r="319" spans="16:26" ht="10.199999999999999" customHeight="1">
      <c r="P319" s="163"/>
      <c r="Q319" s="163"/>
      <c r="R319" s="163"/>
      <c r="S319" s="163"/>
      <c r="T319" s="163"/>
      <c r="U319" s="163"/>
      <c r="V319" s="163"/>
      <c r="W319" s="163"/>
      <c r="X319" s="163"/>
      <c r="Y319" s="163"/>
      <c r="Z319" s="163"/>
    </row>
    <row r="320" spans="16:26" ht="10.199999999999999" customHeight="1">
      <c r="P320" s="163"/>
      <c r="Q320" s="163"/>
      <c r="R320" s="163"/>
      <c r="S320" s="163"/>
      <c r="T320" s="163"/>
      <c r="U320" s="163"/>
      <c r="V320" s="163"/>
      <c r="W320" s="163"/>
      <c r="X320" s="163"/>
      <c r="Y320" s="163"/>
      <c r="Z320" s="163"/>
    </row>
    <row r="321" spans="16:26" ht="10.199999999999999" customHeight="1">
      <c r="P321" s="163"/>
      <c r="Q321" s="163"/>
      <c r="R321" s="163"/>
      <c r="S321" s="163"/>
      <c r="T321" s="163"/>
      <c r="U321" s="163"/>
      <c r="V321" s="163"/>
      <c r="W321" s="163"/>
      <c r="X321" s="163"/>
      <c r="Y321" s="163"/>
      <c r="Z321" s="163"/>
    </row>
    <row r="322" spans="16:26" ht="10.199999999999999" customHeight="1">
      <c r="P322" s="163"/>
      <c r="Q322" s="163"/>
      <c r="R322" s="163"/>
      <c r="S322" s="163"/>
      <c r="T322" s="163"/>
      <c r="U322" s="163"/>
      <c r="V322" s="163"/>
      <c r="W322" s="163"/>
      <c r="X322" s="163"/>
      <c r="Y322" s="163"/>
      <c r="Z322" s="163"/>
    </row>
    <row r="323" spans="16:26" ht="10.199999999999999" customHeight="1">
      <c r="P323" s="163"/>
      <c r="Q323" s="163"/>
      <c r="R323" s="163"/>
      <c r="S323" s="163"/>
      <c r="T323" s="163"/>
      <c r="U323" s="163"/>
      <c r="V323" s="163"/>
      <c r="W323" s="163"/>
      <c r="X323" s="163"/>
      <c r="Y323" s="163"/>
      <c r="Z323" s="163"/>
    </row>
    <row r="324" spans="16:26" ht="10.199999999999999" customHeight="1">
      <c r="P324" s="163"/>
      <c r="Q324" s="163"/>
      <c r="R324" s="163"/>
      <c r="S324" s="163"/>
      <c r="T324" s="163"/>
      <c r="U324" s="163"/>
      <c r="V324" s="163"/>
      <c r="W324" s="163"/>
      <c r="X324" s="163"/>
      <c r="Y324" s="163"/>
      <c r="Z324" s="163"/>
    </row>
    <row r="325" spans="16:26" ht="10.199999999999999" customHeight="1">
      <c r="P325" s="163"/>
      <c r="Q325" s="163"/>
      <c r="R325" s="163"/>
      <c r="S325" s="163"/>
      <c r="T325" s="163"/>
      <c r="U325" s="163"/>
      <c r="V325" s="163"/>
      <c r="W325" s="163"/>
      <c r="X325" s="163"/>
      <c r="Y325" s="163"/>
      <c r="Z325" s="163"/>
    </row>
    <row r="326" spans="16:26" ht="10.199999999999999" customHeight="1">
      <c r="P326" s="163"/>
      <c r="Q326" s="163"/>
      <c r="R326" s="163"/>
      <c r="S326" s="163"/>
      <c r="T326" s="163"/>
      <c r="U326" s="163"/>
      <c r="V326" s="163"/>
      <c r="W326" s="163"/>
      <c r="X326" s="163"/>
      <c r="Y326" s="163"/>
      <c r="Z326" s="163"/>
    </row>
    <row r="327" spans="16:26" ht="10.199999999999999" customHeight="1">
      <c r="P327" s="163"/>
      <c r="Q327" s="163"/>
      <c r="R327" s="163"/>
      <c r="S327" s="163"/>
      <c r="T327" s="163"/>
      <c r="U327" s="163"/>
      <c r="V327" s="163"/>
      <c r="W327" s="163"/>
      <c r="X327" s="163"/>
      <c r="Y327" s="163"/>
      <c r="Z327" s="163"/>
    </row>
    <row r="328" spans="16:26" ht="10.199999999999999" customHeight="1">
      <c r="P328" s="163"/>
      <c r="Q328" s="163"/>
      <c r="R328" s="163"/>
      <c r="S328" s="163"/>
      <c r="T328" s="163"/>
      <c r="U328" s="163"/>
      <c r="V328" s="163"/>
      <c r="W328" s="163"/>
      <c r="X328" s="163"/>
      <c r="Y328" s="163"/>
      <c r="Z328" s="163"/>
    </row>
    <row r="329" spans="16:26" ht="10.199999999999999" customHeight="1">
      <c r="P329" s="163"/>
      <c r="Q329" s="163"/>
      <c r="R329" s="163"/>
      <c r="S329" s="163"/>
      <c r="T329" s="163"/>
      <c r="U329" s="163"/>
      <c r="V329" s="163"/>
      <c r="W329" s="163"/>
      <c r="X329" s="163"/>
      <c r="Y329" s="163"/>
      <c r="Z329" s="163"/>
    </row>
    <row r="330" spans="16:26" ht="10.199999999999999" customHeight="1">
      <c r="P330" s="163"/>
      <c r="Q330" s="163"/>
      <c r="R330" s="163"/>
      <c r="S330" s="163"/>
      <c r="T330" s="163"/>
      <c r="U330" s="163"/>
      <c r="V330" s="163"/>
      <c r="W330" s="163"/>
      <c r="X330" s="163"/>
      <c r="Y330" s="163"/>
      <c r="Z330" s="163"/>
    </row>
    <row r="331" spans="16:26" ht="10.199999999999999" customHeight="1">
      <c r="P331" s="163"/>
      <c r="Q331" s="163"/>
      <c r="R331" s="163"/>
      <c r="S331" s="163"/>
      <c r="T331" s="163"/>
      <c r="U331" s="163"/>
      <c r="V331" s="163"/>
      <c r="W331" s="163"/>
      <c r="X331" s="163"/>
      <c r="Y331" s="163"/>
      <c r="Z331" s="163"/>
    </row>
    <row r="332" spans="16:26" ht="10.199999999999999" customHeight="1">
      <c r="P332" s="163"/>
      <c r="Q332" s="163"/>
      <c r="R332" s="163"/>
      <c r="S332" s="163"/>
      <c r="T332" s="163"/>
      <c r="U332" s="163"/>
      <c r="V332" s="163"/>
      <c r="W332" s="163"/>
      <c r="X332" s="163"/>
      <c r="Y332" s="163"/>
      <c r="Z332" s="163"/>
    </row>
    <row r="333" spans="16:26" ht="10.199999999999999" customHeight="1">
      <c r="P333" s="163"/>
      <c r="Q333" s="163"/>
      <c r="R333" s="163"/>
      <c r="S333" s="163"/>
      <c r="T333" s="163"/>
      <c r="U333" s="163"/>
      <c r="V333" s="163"/>
      <c r="W333" s="163"/>
      <c r="X333" s="163"/>
      <c r="Y333" s="163"/>
      <c r="Z333" s="163"/>
    </row>
    <row r="334" spans="16:26" ht="10.199999999999999" customHeight="1">
      <c r="P334" s="163"/>
      <c r="Q334" s="163"/>
      <c r="R334" s="163"/>
      <c r="S334" s="163"/>
      <c r="T334" s="163"/>
      <c r="U334" s="163"/>
      <c r="V334" s="163"/>
      <c r="W334" s="163"/>
      <c r="X334" s="163"/>
      <c r="Y334" s="163"/>
      <c r="Z334" s="163"/>
    </row>
    <row r="335" spans="16:26" ht="10.199999999999999" customHeight="1">
      <c r="P335" s="163"/>
      <c r="Q335" s="163"/>
      <c r="R335" s="163"/>
      <c r="S335" s="163"/>
      <c r="T335" s="163"/>
      <c r="U335" s="163"/>
      <c r="V335" s="163"/>
      <c r="W335" s="163"/>
      <c r="X335" s="163"/>
      <c r="Y335" s="163"/>
      <c r="Z335" s="163"/>
    </row>
    <row r="336" spans="16:26" ht="10.199999999999999" customHeight="1">
      <c r="P336" s="163"/>
      <c r="Q336" s="163"/>
      <c r="R336" s="163"/>
      <c r="S336" s="163"/>
      <c r="T336" s="163"/>
      <c r="U336" s="163"/>
      <c r="V336" s="163"/>
      <c r="W336" s="163"/>
      <c r="X336" s="163"/>
      <c r="Y336" s="163"/>
      <c r="Z336" s="163"/>
    </row>
    <row r="337" spans="16:26" ht="10.199999999999999" customHeight="1">
      <c r="P337" s="163"/>
      <c r="Q337" s="163"/>
      <c r="R337" s="163"/>
      <c r="S337" s="163"/>
      <c r="T337" s="163"/>
      <c r="U337" s="163"/>
      <c r="V337" s="163"/>
      <c r="W337" s="163"/>
      <c r="X337" s="163"/>
      <c r="Y337" s="163"/>
      <c r="Z337" s="163"/>
    </row>
    <row r="338" spans="16:26" ht="10.199999999999999" customHeight="1">
      <c r="P338" s="163"/>
      <c r="Q338" s="163"/>
      <c r="R338" s="163"/>
      <c r="S338" s="163"/>
      <c r="T338" s="163"/>
      <c r="U338" s="163"/>
      <c r="V338" s="163"/>
      <c r="W338" s="163"/>
      <c r="X338" s="163"/>
      <c r="Y338" s="163"/>
      <c r="Z338" s="163"/>
    </row>
    <row r="339" spans="16:26" ht="10.199999999999999" customHeight="1">
      <c r="P339" s="163"/>
      <c r="Q339" s="163"/>
      <c r="R339" s="163"/>
      <c r="S339" s="163"/>
      <c r="T339" s="163"/>
      <c r="U339" s="163"/>
      <c r="V339" s="163"/>
      <c r="W339" s="163"/>
      <c r="X339" s="163"/>
      <c r="Y339" s="163"/>
      <c r="Z339" s="163"/>
    </row>
    <row r="340" spans="16:26" ht="10.199999999999999" customHeight="1">
      <c r="P340" s="163"/>
      <c r="Q340" s="163"/>
      <c r="R340" s="163"/>
      <c r="S340" s="163"/>
      <c r="T340" s="163"/>
      <c r="U340" s="163"/>
      <c r="V340" s="163"/>
      <c r="W340" s="163"/>
      <c r="X340" s="163"/>
      <c r="Y340" s="163"/>
      <c r="Z340" s="163"/>
    </row>
    <row r="341" spans="16:26" ht="10.199999999999999" customHeight="1">
      <c r="P341" s="163"/>
      <c r="Q341" s="163"/>
      <c r="R341" s="163"/>
      <c r="S341" s="163"/>
      <c r="T341" s="163"/>
      <c r="U341" s="163"/>
      <c r="V341" s="163"/>
      <c r="W341" s="163"/>
      <c r="X341" s="163"/>
      <c r="Y341" s="163"/>
      <c r="Z341" s="163"/>
    </row>
    <row r="342" spans="16:26" ht="10.199999999999999" customHeight="1">
      <c r="P342" s="163"/>
      <c r="Q342" s="163"/>
      <c r="R342" s="163"/>
      <c r="S342" s="163"/>
      <c r="T342" s="163"/>
      <c r="U342" s="163"/>
      <c r="V342" s="163"/>
      <c r="W342" s="163"/>
      <c r="X342" s="163"/>
      <c r="Y342" s="163"/>
      <c r="Z342" s="163"/>
    </row>
    <row r="343" spans="16:26" ht="10.199999999999999" customHeight="1">
      <c r="P343" s="163"/>
      <c r="Q343" s="163"/>
      <c r="R343" s="163"/>
      <c r="S343" s="163"/>
      <c r="T343" s="163"/>
      <c r="U343" s="163"/>
      <c r="V343" s="163"/>
      <c r="W343" s="163"/>
      <c r="X343" s="163"/>
      <c r="Y343" s="163"/>
      <c r="Z343" s="163"/>
    </row>
    <row r="344" spans="16:26" ht="10.199999999999999" customHeight="1">
      <c r="P344" s="163"/>
      <c r="Q344" s="163"/>
      <c r="R344" s="163"/>
      <c r="S344" s="163"/>
      <c r="T344" s="163"/>
      <c r="U344" s="163"/>
      <c r="V344" s="163"/>
      <c r="W344" s="163"/>
      <c r="X344" s="163"/>
      <c r="Y344" s="163"/>
      <c r="Z344" s="163"/>
    </row>
    <row r="345" spans="16:26" ht="10.199999999999999" customHeight="1">
      <c r="P345" s="163"/>
      <c r="Q345" s="163"/>
      <c r="R345" s="163"/>
      <c r="S345" s="163"/>
      <c r="T345" s="163"/>
      <c r="U345" s="163"/>
      <c r="V345" s="163"/>
      <c r="W345" s="163"/>
      <c r="X345" s="163"/>
      <c r="Y345" s="163"/>
      <c r="Z345" s="163"/>
    </row>
    <row r="346" spans="16:26" ht="10.199999999999999" customHeight="1">
      <c r="P346" s="163"/>
      <c r="Q346" s="163"/>
      <c r="R346" s="163"/>
      <c r="S346" s="163"/>
      <c r="T346" s="163"/>
      <c r="U346" s="163"/>
      <c r="V346" s="163"/>
      <c r="W346" s="163"/>
      <c r="X346" s="163"/>
      <c r="Y346" s="163"/>
      <c r="Z346" s="163"/>
    </row>
    <row r="347" spans="16:26" ht="10.199999999999999" customHeight="1">
      <c r="P347" s="163"/>
      <c r="Q347" s="163"/>
      <c r="R347" s="163"/>
      <c r="S347" s="163"/>
      <c r="T347" s="163"/>
      <c r="U347" s="163"/>
      <c r="V347" s="163"/>
      <c r="W347" s="163"/>
      <c r="X347" s="163"/>
      <c r="Y347" s="163"/>
      <c r="Z347" s="163"/>
    </row>
    <row r="348" spans="16:26" ht="10.199999999999999" customHeight="1">
      <c r="P348" s="163"/>
      <c r="Q348" s="163"/>
      <c r="R348" s="163"/>
      <c r="S348" s="163"/>
      <c r="T348" s="163"/>
      <c r="U348" s="163"/>
      <c r="V348" s="163"/>
      <c r="W348" s="163"/>
      <c r="X348" s="163"/>
      <c r="Y348" s="163"/>
      <c r="Z348" s="163"/>
    </row>
    <row r="349" spans="16:26" ht="10.199999999999999" customHeight="1">
      <c r="P349" s="163"/>
      <c r="Q349" s="163"/>
      <c r="R349" s="163"/>
      <c r="S349" s="163"/>
      <c r="T349" s="163"/>
      <c r="U349" s="163"/>
      <c r="V349" s="163"/>
      <c r="W349" s="163"/>
      <c r="X349" s="163"/>
      <c r="Y349" s="163"/>
      <c r="Z349" s="163"/>
    </row>
    <row r="350" spans="16:26" ht="10.199999999999999" customHeight="1">
      <c r="P350" s="163"/>
      <c r="Q350" s="163"/>
      <c r="R350" s="163"/>
      <c r="S350" s="163"/>
      <c r="T350" s="163"/>
      <c r="U350" s="163"/>
      <c r="V350" s="163"/>
      <c r="W350" s="163"/>
      <c r="X350" s="163"/>
      <c r="Y350" s="163"/>
      <c r="Z350" s="163"/>
    </row>
    <row r="351" spans="16:26" ht="10.199999999999999" customHeight="1">
      <c r="P351" s="163"/>
      <c r="Q351" s="163"/>
      <c r="R351" s="163"/>
      <c r="S351" s="163"/>
      <c r="T351" s="163"/>
      <c r="U351" s="163"/>
      <c r="V351" s="163"/>
      <c r="W351" s="163"/>
      <c r="X351" s="163"/>
      <c r="Y351" s="163"/>
      <c r="Z351" s="163"/>
    </row>
    <row r="352" spans="16:26" ht="10.199999999999999" customHeight="1">
      <c r="P352" s="163"/>
      <c r="Q352" s="163"/>
      <c r="R352" s="163"/>
      <c r="S352" s="163"/>
      <c r="T352" s="163"/>
      <c r="U352" s="163"/>
      <c r="V352" s="163"/>
      <c r="W352" s="163"/>
      <c r="X352" s="163"/>
      <c r="Y352" s="163"/>
      <c r="Z352" s="163"/>
    </row>
    <row r="353" spans="16:26" ht="10.199999999999999" customHeight="1">
      <c r="P353" s="163"/>
      <c r="Q353" s="163"/>
      <c r="R353" s="163"/>
      <c r="S353" s="163"/>
      <c r="T353" s="163"/>
      <c r="U353" s="163"/>
      <c r="V353" s="163"/>
      <c r="W353" s="163"/>
      <c r="X353" s="163"/>
      <c r="Y353" s="163"/>
      <c r="Z353" s="163"/>
    </row>
    <row r="354" spans="16:26" ht="10.199999999999999" customHeight="1">
      <c r="P354" s="163"/>
      <c r="Q354" s="163"/>
      <c r="R354" s="163"/>
      <c r="S354" s="163"/>
      <c r="T354" s="163"/>
      <c r="U354" s="163"/>
      <c r="V354" s="163"/>
      <c r="W354" s="163"/>
      <c r="X354" s="163"/>
      <c r="Y354" s="163"/>
      <c r="Z354" s="163"/>
    </row>
    <row r="355" spans="16:26" ht="10.199999999999999" customHeight="1">
      <c r="P355" s="163"/>
      <c r="Q355" s="163"/>
      <c r="R355" s="163"/>
      <c r="S355" s="163"/>
      <c r="T355" s="163"/>
      <c r="U355" s="163"/>
      <c r="V355" s="163"/>
      <c r="W355" s="163"/>
      <c r="X355" s="163"/>
      <c r="Y355" s="163"/>
      <c r="Z355" s="163"/>
    </row>
    <row r="356" spans="16:26" ht="10.199999999999999" customHeight="1">
      <c r="P356" s="163"/>
      <c r="Q356" s="163"/>
      <c r="R356" s="163"/>
      <c r="S356" s="163"/>
      <c r="T356" s="163"/>
      <c r="U356" s="163"/>
      <c r="V356" s="163"/>
      <c r="W356" s="163"/>
      <c r="X356" s="163"/>
      <c r="Y356" s="163"/>
      <c r="Z356" s="163"/>
    </row>
    <row r="357" spans="16:26" ht="10.199999999999999" customHeight="1">
      <c r="P357" s="163"/>
      <c r="Q357" s="163"/>
      <c r="R357" s="163"/>
      <c r="S357" s="163"/>
      <c r="T357" s="163"/>
      <c r="U357" s="163"/>
      <c r="V357" s="163"/>
      <c r="W357" s="163"/>
      <c r="X357" s="163"/>
      <c r="Y357" s="163"/>
      <c r="Z357" s="163"/>
    </row>
    <row r="358" spans="16:26" ht="10.199999999999999" customHeight="1">
      <c r="P358" s="163"/>
      <c r="Q358" s="163"/>
      <c r="R358" s="163"/>
      <c r="S358" s="163"/>
      <c r="T358" s="163"/>
      <c r="U358" s="163"/>
      <c r="V358" s="163"/>
      <c r="W358" s="163"/>
      <c r="X358" s="163"/>
      <c r="Y358" s="163"/>
      <c r="Z358" s="163"/>
    </row>
    <row r="359" spans="16:26" ht="10.199999999999999" customHeight="1">
      <c r="P359" s="163"/>
      <c r="Q359" s="163"/>
      <c r="R359" s="163"/>
      <c r="S359" s="163"/>
      <c r="T359" s="163"/>
      <c r="U359" s="163"/>
      <c r="V359" s="163"/>
      <c r="W359" s="163"/>
      <c r="X359" s="163"/>
      <c r="Y359" s="163"/>
      <c r="Z359" s="163"/>
    </row>
    <row r="360" spans="16:26" ht="10.199999999999999" customHeight="1">
      <c r="P360" s="163"/>
      <c r="Q360" s="163"/>
      <c r="R360" s="163"/>
      <c r="S360" s="163"/>
      <c r="T360" s="163"/>
      <c r="U360" s="163"/>
      <c r="V360" s="163"/>
      <c r="W360" s="163"/>
      <c r="X360" s="163"/>
      <c r="Y360" s="163"/>
      <c r="Z360" s="163"/>
    </row>
    <row r="361" spans="16:26" ht="10.199999999999999" customHeight="1">
      <c r="P361" s="163"/>
      <c r="Q361" s="163"/>
      <c r="R361" s="163"/>
      <c r="S361" s="163"/>
      <c r="T361" s="163"/>
      <c r="U361" s="163"/>
      <c r="V361" s="163"/>
      <c r="W361" s="163"/>
      <c r="X361" s="163"/>
      <c r="Y361" s="163"/>
      <c r="Z361" s="163"/>
    </row>
    <row r="362" spans="16:26" ht="10.199999999999999" customHeight="1">
      <c r="P362" s="163"/>
      <c r="Q362" s="163"/>
      <c r="R362" s="163"/>
      <c r="S362" s="163"/>
      <c r="T362" s="163"/>
      <c r="U362" s="163"/>
      <c r="V362" s="163"/>
      <c r="W362" s="163"/>
      <c r="X362" s="163"/>
      <c r="Y362" s="163"/>
      <c r="Z362" s="163"/>
    </row>
    <row r="363" spans="16:26" ht="10.199999999999999" customHeight="1">
      <c r="P363" s="163"/>
      <c r="Q363" s="163"/>
      <c r="R363" s="163"/>
      <c r="S363" s="163"/>
      <c r="T363" s="163"/>
      <c r="U363" s="163"/>
      <c r="V363" s="163"/>
      <c r="W363" s="163"/>
      <c r="X363" s="163"/>
      <c r="Y363" s="163"/>
      <c r="Z363" s="163"/>
    </row>
    <row r="364" spans="16:26" ht="10.199999999999999" customHeight="1">
      <c r="P364" s="163"/>
      <c r="Q364" s="163"/>
      <c r="R364" s="163"/>
      <c r="S364" s="163"/>
      <c r="T364" s="163"/>
      <c r="U364" s="163"/>
      <c r="V364" s="163"/>
      <c r="W364" s="163"/>
      <c r="X364" s="163"/>
      <c r="Y364" s="163"/>
      <c r="Z364" s="163"/>
    </row>
    <row r="365" spans="16:26" ht="10.199999999999999" customHeight="1">
      <c r="P365" s="163"/>
      <c r="Q365" s="163"/>
      <c r="R365" s="163"/>
      <c r="S365" s="163"/>
      <c r="T365" s="163"/>
      <c r="U365" s="163"/>
      <c r="V365" s="163"/>
      <c r="W365" s="163"/>
      <c r="X365" s="163"/>
      <c r="Y365" s="163"/>
      <c r="Z365" s="163"/>
    </row>
    <row r="366" spans="16:26" ht="10.199999999999999" customHeight="1">
      <c r="P366" s="163"/>
      <c r="Q366" s="163"/>
      <c r="R366" s="163"/>
      <c r="S366" s="163"/>
      <c r="T366" s="163"/>
      <c r="U366" s="163"/>
      <c r="V366" s="163"/>
      <c r="W366" s="163"/>
      <c r="X366" s="163"/>
      <c r="Y366" s="163"/>
      <c r="Z366" s="163"/>
    </row>
    <row r="367" spans="16:26" ht="10.199999999999999" customHeight="1">
      <c r="P367" s="163"/>
      <c r="Q367" s="163"/>
      <c r="R367" s="163"/>
      <c r="S367" s="163"/>
      <c r="T367" s="163"/>
      <c r="U367" s="163"/>
      <c r="V367" s="163"/>
      <c r="W367" s="163"/>
      <c r="X367" s="163"/>
      <c r="Y367" s="163"/>
      <c r="Z367" s="163"/>
    </row>
    <row r="368" spans="16:26" ht="10.199999999999999" customHeight="1">
      <c r="P368" s="163"/>
      <c r="Q368" s="163"/>
      <c r="R368" s="163"/>
      <c r="S368" s="163"/>
      <c r="T368" s="163"/>
      <c r="U368" s="163"/>
      <c r="V368" s="163"/>
      <c r="W368" s="163"/>
      <c r="X368" s="163"/>
      <c r="Y368" s="163"/>
      <c r="Z368" s="163"/>
    </row>
    <row r="369" spans="16:26" ht="10.199999999999999" customHeight="1">
      <c r="P369" s="163"/>
      <c r="Q369" s="163"/>
      <c r="R369" s="163"/>
      <c r="S369" s="163"/>
      <c r="T369" s="163"/>
      <c r="U369" s="163"/>
      <c r="V369" s="163"/>
      <c r="W369" s="163"/>
      <c r="X369" s="163"/>
      <c r="Y369" s="163"/>
      <c r="Z369" s="163"/>
    </row>
    <row r="370" spans="16:26" ht="10.199999999999999" customHeight="1">
      <c r="P370" s="163"/>
      <c r="Q370" s="163"/>
      <c r="R370" s="163"/>
      <c r="S370" s="163"/>
      <c r="T370" s="163"/>
      <c r="U370" s="163"/>
      <c r="V370" s="163"/>
      <c r="W370" s="163"/>
      <c r="X370" s="163"/>
      <c r="Y370" s="163"/>
      <c r="Z370" s="163"/>
    </row>
    <row r="371" spans="16:26" ht="10.199999999999999" customHeight="1">
      <c r="P371" s="163"/>
      <c r="Q371" s="163"/>
      <c r="R371" s="163"/>
      <c r="S371" s="163"/>
      <c r="T371" s="163"/>
      <c r="U371" s="163"/>
      <c r="V371" s="163"/>
      <c r="W371" s="163"/>
      <c r="X371" s="163"/>
      <c r="Y371" s="163"/>
      <c r="Z371" s="163"/>
    </row>
    <row r="372" spans="16:26" ht="10.199999999999999" customHeight="1">
      <c r="P372" s="163"/>
      <c r="Q372" s="163"/>
      <c r="R372" s="163"/>
      <c r="S372" s="163"/>
      <c r="T372" s="163"/>
      <c r="U372" s="163"/>
      <c r="V372" s="163"/>
      <c r="W372" s="163"/>
      <c r="X372" s="163"/>
      <c r="Y372" s="163"/>
      <c r="Z372" s="163"/>
    </row>
    <row r="373" spans="16:26" ht="10.199999999999999" customHeight="1">
      <c r="P373" s="163"/>
      <c r="Q373" s="163"/>
      <c r="R373" s="163"/>
      <c r="S373" s="163"/>
      <c r="T373" s="163"/>
      <c r="U373" s="163"/>
      <c r="V373" s="163"/>
      <c r="W373" s="163"/>
      <c r="X373" s="163"/>
      <c r="Y373" s="163"/>
      <c r="Z373" s="163"/>
    </row>
    <row r="374" spans="16:26" ht="10.199999999999999" customHeight="1">
      <c r="P374" s="163"/>
      <c r="Q374" s="163"/>
      <c r="R374" s="163"/>
      <c r="S374" s="163"/>
      <c r="T374" s="163"/>
      <c r="U374" s="163"/>
      <c r="V374" s="163"/>
      <c r="W374" s="163"/>
      <c r="X374" s="163"/>
      <c r="Y374" s="163"/>
      <c r="Z374" s="163"/>
    </row>
    <row r="375" spans="16:26" ht="10.199999999999999" customHeight="1">
      <c r="P375" s="163"/>
      <c r="Q375" s="163"/>
      <c r="R375" s="163"/>
      <c r="S375" s="163"/>
      <c r="T375" s="163"/>
      <c r="U375" s="163"/>
      <c r="V375" s="163"/>
      <c r="W375" s="163"/>
      <c r="X375" s="163"/>
      <c r="Y375" s="163"/>
      <c r="Z375" s="163"/>
    </row>
    <row r="376" spans="16:26" ht="10.199999999999999" customHeight="1">
      <c r="P376" s="163"/>
      <c r="Q376" s="163"/>
      <c r="R376" s="163"/>
      <c r="S376" s="163"/>
      <c r="T376" s="163"/>
      <c r="U376" s="163"/>
      <c r="V376" s="163"/>
      <c r="W376" s="163"/>
      <c r="X376" s="163"/>
      <c r="Y376" s="163"/>
      <c r="Z376" s="163"/>
    </row>
    <row r="377" spans="16:26" ht="10.199999999999999" customHeight="1">
      <c r="P377" s="163"/>
      <c r="Q377" s="163"/>
      <c r="R377" s="163"/>
      <c r="S377" s="163"/>
      <c r="T377" s="163"/>
      <c r="U377" s="163"/>
      <c r="V377" s="163"/>
      <c r="W377" s="163"/>
      <c r="X377" s="163"/>
      <c r="Y377" s="163"/>
      <c r="Z377" s="163"/>
    </row>
    <row r="378" spans="16:26" ht="10.199999999999999" customHeight="1">
      <c r="P378" s="163"/>
      <c r="Q378" s="163"/>
      <c r="R378" s="163"/>
      <c r="S378" s="163"/>
      <c r="T378" s="163"/>
      <c r="U378" s="163"/>
      <c r="V378" s="163"/>
      <c r="W378" s="163"/>
      <c r="X378" s="163"/>
      <c r="Y378" s="163"/>
      <c r="Z378" s="163"/>
    </row>
    <row r="379" spans="16:26" ht="10.199999999999999" customHeight="1">
      <c r="P379" s="163"/>
      <c r="Q379" s="163"/>
      <c r="R379" s="163"/>
      <c r="S379" s="163"/>
      <c r="T379" s="163"/>
      <c r="U379" s="163"/>
      <c r="V379" s="163"/>
      <c r="W379" s="163"/>
      <c r="X379" s="163"/>
      <c r="Y379" s="163"/>
      <c r="Z379" s="163"/>
    </row>
    <row r="380" spans="16:26" ht="10.199999999999999" customHeight="1">
      <c r="P380" s="163"/>
      <c r="Q380" s="163"/>
      <c r="R380" s="163"/>
      <c r="S380" s="163"/>
      <c r="T380" s="163"/>
      <c r="U380" s="163"/>
      <c r="V380" s="163"/>
      <c r="W380" s="163"/>
      <c r="X380" s="163"/>
      <c r="Y380" s="163"/>
      <c r="Z380" s="163"/>
    </row>
    <row r="381" spans="16:26" ht="10.199999999999999" customHeight="1">
      <c r="P381" s="163"/>
      <c r="Q381" s="163"/>
      <c r="R381" s="163"/>
      <c r="S381" s="163"/>
      <c r="T381" s="163"/>
      <c r="U381" s="163"/>
      <c r="V381" s="163"/>
      <c r="W381" s="163"/>
      <c r="X381" s="163"/>
      <c r="Y381" s="163"/>
      <c r="Z381" s="163"/>
    </row>
    <row r="382" spans="16:26" ht="10.199999999999999" customHeight="1">
      <c r="P382" s="163"/>
      <c r="Q382" s="163"/>
      <c r="R382" s="163"/>
      <c r="S382" s="163"/>
      <c r="T382" s="163"/>
      <c r="U382" s="163"/>
      <c r="V382" s="163"/>
      <c r="W382" s="163"/>
      <c r="X382" s="163"/>
      <c r="Y382" s="163"/>
      <c r="Z382" s="163"/>
    </row>
    <row r="383" spans="16:26" ht="10.199999999999999" customHeight="1">
      <c r="P383" s="163"/>
      <c r="Q383" s="163"/>
      <c r="R383" s="163"/>
      <c r="S383" s="163"/>
      <c r="T383" s="163"/>
      <c r="U383" s="163"/>
      <c r="V383" s="163"/>
      <c r="W383" s="163"/>
      <c r="X383" s="163"/>
      <c r="Y383" s="163"/>
      <c r="Z383" s="163"/>
    </row>
    <row r="384" spans="16:26" ht="10.199999999999999" customHeight="1">
      <c r="P384" s="163"/>
      <c r="Q384" s="163"/>
      <c r="R384" s="163"/>
      <c r="S384" s="163"/>
      <c r="T384" s="163"/>
      <c r="U384" s="163"/>
      <c r="V384" s="163"/>
      <c r="W384" s="163"/>
      <c r="X384" s="163"/>
      <c r="Y384" s="163"/>
      <c r="Z384" s="163"/>
    </row>
    <row r="385" spans="16:26" ht="10.199999999999999" customHeight="1">
      <c r="P385" s="163"/>
      <c r="Q385" s="163"/>
      <c r="R385" s="163"/>
      <c r="S385" s="163"/>
      <c r="T385" s="163"/>
      <c r="U385" s="163"/>
      <c r="V385" s="163"/>
      <c r="W385" s="163"/>
      <c r="X385" s="163"/>
      <c r="Y385" s="163"/>
      <c r="Z385" s="163"/>
    </row>
    <row r="386" spans="16:26" ht="10.199999999999999" customHeight="1">
      <c r="P386" s="163"/>
      <c r="Q386" s="163"/>
      <c r="R386" s="163"/>
      <c r="S386" s="163"/>
      <c r="T386" s="163"/>
      <c r="U386" s="163"/>
      <c r="V386" s="163"/>
      <c r="W386" s="163"/>
      <c r="X386" s="163"/>
      <c r="Y386" s="163"/>
      <c r="Z386" s="163"/>
    </row>
    <row r="387" spans="16:26" ht="10.199999999999999" customHeight="1">
      <c r="P387" s="163"/>
      <c r="Q387" s="163"/>
      <c r="R387" s="163"/>
      <c r="S387" s="163"/>
      <c r="T387" s="163"/>
      <c r="U387" s="163"/>
      <c r="V387" s="163"/>
      <c r="W387" s="163"/>
      <c r="X387" s="163"/>
      <c r="Y387" s="163"/>
      <c r="Z387" s="163"/>
    </row>
    <row r="388" spans="16:26" ht="10.199999999999999" customHeight="1">
      <c r="P388" s="163"/>
      <c r="Q388" s="163"/>
      <c r="R388" s="163"/>
      <c r="S388" s="163"/>
      <c r="T388" s="163"/>
      <c r="U388" s="163"/>
      <c r="V388" s="163"/>
      <c r="W388" s="163"/>
      <c r="X388" s="163"/>
      <c r="Y388" s="163"/>
      <c r="Z388" s="163"/>
    </row>
    <row r="389" spans="16:26" ht="10.199999999999999" customHeight="1">
      <c r="P389" s="163"/>
      <c r="Q389" s="163"/>
      <c r="R389" s="163"/>
      <c r="S389" s="163"/>
      <c r="T389" s="163"/>
      <c r="U389" s="163"/>
      <c r="V389" s="163"/>
      <c r="W389" s="163"/>
      <c r="X389" s="163"/>
      <c r="Y389" s="163"/>
      <c r="Z389" s="163"/>
    </row>
    <row r="390" spans="16:26" ht="10.199999999999999" customHeight="1">
      <c r="P390" s="163"/>
      <c r="Q390" s="163"/>
      <c r="R390" s="163"/>
      <c r="S390" s="163"/>
      <c r="T390" s="163"/>
      <c r="U390" s="163"/>
      <c r="V390" s="163"/>
      <c r="W390" s="163"/>
      <c r="X390" s="163"/>
      <c r="Y390" s="163"/>
      <c r="Z390" s="163"/>
    </row>
    <row r="391" spans="16:26" ht="10.199999999999999" customHeight="1">
      <c r="P391" s="163"/>
      <c r="Q391" s="163"/>
      <c r="R391" s="163"/>
      <c r="S391" s="163"/>
      <c r="T391" s="163"/>
      <c r="U391" s="163"/>
      <c r="V391" s="163"/>
      <c r="W391" s="163"/>
      <c r="X391" s="163"/>
      <c r="Y391" s="163"/>
      <c r="Z391" s="163"/>
    </row>
    <row r="392" spans="16:26" ht="10.199999999999999" customHeight="1">
      <c r="P392" s="163"/>
      <c r="Q392" s="163"/>
      <c r="R392" s="163"/>
      <c r="S392" s="163"/>
      <c r="T392" s="163"/>
      <c r="U392" s="163"/>
      <c r="V392" s="163"/>
      <c r="W392" s="163"/>
      <c r="X392" s="163"/>
      <c r="Y392" s="163"/>
      <c r="Z392" s="163"/>
    </row>
    <row r="393" spans="16:26" ht="10.199999999999999" customHeight="1">
      <c r="P393" s="163"/>
      <c r="Q393" s="163"/>
      <c r="R393" s="163"/>
      <c r="S393" s="163"/>
      <c r="T393" s="163"/>
      <c r="U393" s="163"/>
      <c r="V393" s="163"/>
      <c r="W393" s="163"/>
      <c r="X393" s="163"/>
      <c r="Y393" s="163"/>
      <c r="Z393" s="163"/>
    </row>
    <row r="394" spans="16:26" ht="10.199999999999999" customHeight="1">
      <c r="P394" s="163"/>
      <c r="Q394" s="163"/>
      <c r="R394" s="163"/>
      <c r="S394" s="163"/>
      <c r="T394" s="163"/>
      <c r="U394" s="163"/>
      <c r="V394" s="163"/>
      <c r="W394" s="163"/>
      <c r="X394" s="163"/>
      <c r="Y394" s="163"/>
      <c r="Z394" s="163"/>
    </row>
    <row r="395" spans="16:26" ht="10.199999999999999" customHeight="1">
      <c r="P395" s="163"/>
      <c r="Q395" s="163"/>
      <c r="R395" s="163"/>
      <c r="S395" s="163"/>
      <c r="T395" s="163"/>
      <c r="U395" s="163"/>
      <c r="V395" s="163"/>
      <c r="W395" s="163"/>
      <c r="X395" s="163"/>
      <c r="Y395" s="163"/>
      <c r="Z395" s="163"/>
    </row>
    <row r="396" spans="16:26" ht="10.199999999999999" customHeight="1">
      <c r="P396" s="163"/>
      <c r="Q396" s="163"/>
      <c r="R396" s="163"/>
      <c r="S396" s="163"/>
      <c r="T396" s="163"/>
      <c r="U396" s="163"/>
      <c r="V396" s="163"/>
      <c r="W396" s="163"/>
      <c r="X396" s="163"/>
      <c r="Y396" s="163"/>
      <c r="Z396" s="163"/>
    </row>
    <row r="397" spans="16:26" ht="10.199999999999999" customHeight="1">
      <c r="P397" s="163"/>
      <c r="Q397" s="163"/>
      <c r="R397" s="163"/>
      <c r="S397" s="163"/>
      <c r="T397" s="163"/>
      <c r="U397" s="163"/>
      <c r="V397" s="163"/>
      <c r="W397" s="163"/>
      <c r="X397" s="163"/>
      <c r="Y397" s="163"/>
      <c r="Z397" s="163"/>
    </row>
    <row r="398" spans="16:26" ht="10.199999999999999" customHeight="1">
      <c r="P398" s="163"/>
      <c r="Q398" s="163"/>
      <c r="R398" s="163"/>
      <c r="S398" s="163"/>
      <c r="T398" s="163"/>
      <c r="U398" s="163"/>
      <c r="V398" s="163"/>
      <c r="W398" s="163"/>
      <c r="X398" s="163"/>
      <c r="Y398" s="163"/>
      <c r="Z398" s="163"/>
    </row>
    <row r="399" spans="16:26" ht="10.199999999999999" customHeight="1">
      <c r="P399" s="163"/>
      <c r="Q399" s="163"/>
      <c r="R399" s="163"/>
      <c r="S399" s="163"/>
      <c r="T399" s="163"/>
      <c r="U399" s="163"/>
      <c r="V399" s="163"/>
      <c r="W399" s="163"/>
      <c r="X399" s="163"/>
      <c r="Y399" s="163"/>
      <c r="Z399" s="163"/>
    </row>
    <row r="400" spans="16:26" ht="10.199999999999999" customHeight="1">
      <c r="P400" s="163"/>
      <c r="Q400" s="163"/>
      <c r="R400" s="163"/>
      <c r="S400" s="163"/>
      <c r="T400" s="163"/>
      <c r="U400" s="163"/>
      <c r="V400" s="163"/>
      <c r="W400" s="163"/>
      <c r="X400" s="163"/>
      <c r="Y400" s="163"/>
      <c r="Z400" s="163"/>
    </row>
    <row r="401" spans="16:26" ht="10.199999999999999" customHeight="1">
      <c r="P401" s="163"/>
      <c r="Q401" s="163"/>
      <c r="R401" s="163"/>
      <c r="S401" s="163"/>
      <c r="T401" s="163"/>
      <c r="U401" s="163"/>
      <c r="V401" s="163"/>
      <c r="W401" s="163"/>
      <c r="X401" s="163"/>
      <c r="Y401" s="163"/>
      <c r="Z401" s="163"/>
    </row>
    <row r="402" spans="16:26" ht="10.199999999999999" customHeight="1">
      <c r="P402" s="163"/>
      <c r="Q402" s="163"/>
      <c r="R402" s="163"/>
      <c r="S402" s="163"/>
      <c r="T402" s="163"/>
      <c r="U402" s="163"/>
      <c r="V402" s="163"/>
      <c r="W402" s="163"/>
      <c r="X402" s="163"/>
      <c r="Y402" s="163"/>
      <c r="Z402" s="163"/>
    </row>
    <row r="403" spans="16:26" ht="10.199999999999999" customHeight="1">
      <c r="P403" s="163"/>
      <c r="Q403" s="163"/>
      <c r="R403" s="163"/>
      <c r="S403" s="163"/>
      <c r="T403" s="163"/>
      <c r="U403" s="163"/>
      <c r="V403" s="163"/>
      <c r="W403" s="163"/>
      <c r="X403" s="163"/>
      <c r="Y403" s="163"/>
      <c r="Z403" s="163"/>
    </row>
    <row r="404" spans="16:26" ht="10.199999999999999" customHeight="1">
      <c r="P404" s="163"/>
      <c r="Q404" s="163"/>
      <c r="R404" s="163"/>
      <c r="S404" s="163"/>
      <c r="T404" s="163"/>
      <c r="U404" s="163"/>
      <c r="V404" s="163"/>
      <c r="W404" s="163"/>
      <c r="X404" s="163"/>
      <c r="Y404" s="163"/>
      <c r="Z404" s="163"/>
    </row>
    <row r="405" spans="16:26" ht="10.199999999999999" customHeight="1">
      <c r="P405" s="163"/>
      <c r="Q405" s="163"/>
      <c r="R405" s="163"/>
      <c r="S405" s="163"/>
      <c r="T405" s="163"/>
      <c r="U405" s="163"/>
      <c r="V405" s="163"/>
      <c r="W405" s="163"/>
      <c r="X405" s="163"/>
      <c r="Y405" s="163"/>
      <c r="Z405" s="163"/>
    </row>
    <row r="406" spans="16:26" ht="10.199999999999999" customHeight="1">
      <c r="P406" s="163"/>
      <c r="Q406" s="163"/>
      <c r="R406" s="163"/>
      <c r="S406" s="163"/>
      <c r="T406" s="163"/>
      <c r="U406" s="163"/>
      <c r="V406" s="163"/>
      <c r="W406" s="163"/>
      <c r="X406" s="163"/>
      <c r="Y406" s="163"/>
      <c r="Z406" s="163"/>
    </row>
    <row r="407" spans="16:26" ht="10.199999999999999" customHeight="1">
      <c r="P407" s="163"/>
      <c r="Q407" s="163"/>
      <c r="R407" s="163"/>
      <c r="S407" s="163"/>
      <c r="T407" s="163"/>
      <c r="U407" s="163"/>
      <c r="V407" s="163"/>
      <c r="W407" s="163"/>
      <c r="X407" s="163"/>
      <c r="Y407" s="163"/>
      <c r="Z407" s="163"/>
    </row>
    <row r="408" spans="16:26" ht="10.199999999999999" customHeight="1">
      <c r="P408" s="163"/>
      <c r="Q408" s="163"/>
      <c r="R408" s="163"/>
      <c r="S408" s="163"/>
      <c r="T408" s="163"/>
      <c r="U408" s="163"/>
      <c r="V408" s="163"/>
      <c r="W408" s="163"/>
      <c r="X408" s="163"/>
      <c r="Y408" s="163"/>
      <c r="Z408" s="163"/>
    </row>
    <row r="409" spans="16:26" ht="10.199999999999999" customHeight="1">
      <c r="P409" s="163"/>
      <c r="Q409" s="163"/>
      <c r="R409" s="163"/>
      <c r="S409" s="163"/>
      <c r="T409" s="163"/>
      <c r="U409" s="163"/>
      <c r="V409" s="163"/>
      <c r="W409" s="163"/>
      <c r="X409" s="163"/>
      <c r="Y409" s="163"/>
      <c r="Z409" s="163"/>
    </row>
    <row r="410" spans="16:26" ht="10.199999999999999" customHeight="1">
      <c r="P410" s="163"/>
      <c r="Q410" s="163"/>
      <c r="R410" s="163"/>
      <c r="S410" s="163"/>
      <c r="T410" s="163"/>
      <c r="U410" s="163"/>
      <c r="V410" s="163"/>
      <c r="W410" s="163"/>
      <c r="X410" s="163"/>
      <c r="Y410" s="163"/>
      <c r="Z410" s="163"/>
    </row>
    <row r="411" spans="16:26" ht="10.199999999999999" customHeight="1">
      <c r="P411" s="163"/>
      <c r="Q411" s="163"/>
      <c r="R411" s="163"/>
      <c r="S411" s="163"/>
      <c r="T411" s="163"/>
      <c r="U411" s="163"/>
      <c r="V411" s="163"/>
      <c r="W411" s="163"/>
      <c r="X411" s="163"/>
      <c r="Y411" s="163"/>
      <c r="Z411" s="163"/>
    </row>
    <row r="412" spans="16:26" ht="10.199999999999999" customHeight="1">
      <c r="P412" s="163"/>
      <c r="Q412" s="163"/>
      <c r="R412" s="163"/>
      <c r="S412" s="163"/>
      <c r="T412" s="163"/>
      <c r="U412" s="163"/>
      <c r="V412" s="163"/>
      <c r="W412" s="163"/>
      <c r="X412" s="163"/>
      <c r="Y412" s="163"/>
      <c r="Z412" s="163"/>
    </row>
    <row r="413" spans="16:26" ht="10.199999999999999" customHeight="1">
      <c r="P413" s="163"/>
      <c r="Q413" s="163"/>
      <c r="R413" s="163"/>
      <c r="S413" s="163"/>
      <c r="T413" s="163"/>
      <c r="U413" s="163"/>
      <c r="V413" s="163"/>
      <c r="W413" s="163"/>
      <c r="X413" s="163"/>
      <c r="Y413" s="163"/>
      <c r="Z413" s="163"/>
    </row>
    <row r="414" spans="16:26" ht="10.199999999999999" customHeight="1">
      <c r="P414" s="163"/>
      <c r="Q414" s="163"/>
      <c r="R414" s="163"/>
      <c r="S414" s="163"/>
      <c r="T414" s="163"/>
      <c r="U414" s="163"/>
      <c r="V414" s="163"/>
      <c r="W414" s="163"/>
      <c r="X414" s="163"/>
      <c r="Y414" s="163"/>
      <c r="Z414" s="163"/>
    </row>
    <row r="415" spans="16:26" ht="10.199999999999999" customHeight="1">
      <c r="P415" s="163"/>
      <c r="Q415" s="163"/>
      <c r="R415" s="163"/>
      <c r="S415" s="163"/>
      <c r="T415" s="163"/>
      <c r="U415" s="163"/>
      <c r="V415" s="163"/>
      <c r="W415" s="163"/>
      <c r="X415" s="163"/>
      <c r="Y415" s="163"/>
      <c r="Z415" s="163"/>
    </row>
    <row r="416" spans="16:26" ht="10.199999999999999" customHeight="1">
      <c r="P416" s="163"/>
      <c r="Q416" s="163"/>
      <c r="R416" s="163"/>
      <c r="S416" s="163"/>
      <c r="T416" s="163"/>
      <c r="U416" s="163"/>
      <c r="V416" s="163"/>
      <c r="W416" s="163"/>
      <c r="X416" s="163"/>
      <c r="Y416" s="163"/>
      <c r="Z416" s="163"/>
    </row>
    <row r="417" spans="16:26" ht="10.199999999999999" customHeight="1">
      <c r="P417" s="163"/>
      <c r="Q417" s="163"/>
      <c r="R417" s="163"/>
      <c r="S417" s="163"/>
      <c r="T417" s="163"/>
      <c r="U417" s="163"/>
      <c r="V417" s="163"/>
      <c r="W417" s="163"/>
      <c r="X417" s="163"/>
      <c r="Y417" s="163"/>
      <c r="Z417" s="163"/>
    </row>
    <row r="418" spans="16:26" ht="10.199999999999999" customHeight="1">
      <c r="P418" s="163"/>
      <c r="Q418" s="163"/>
      <c r="R418" s="163"/>
      <c r="S418" s="163"/>
      <c r="T418" s="163"/>
      <c r="U418" s="163"/>
      <c r="V418" s="163"/>
      <c r="W418" s="163"/>
      <c r="X418" s="163"/>
      <c r="Y418" s="163"/>
      <c r="Z418" s="163"/>
    </row>
    <row r="419" spans="16:26" ht="10.199999999999999" customHeight="1">
      <c r="P419" s="163"/>
      <c r="Q419" s="163"/>
      <c r="R419" s="163"/>
      <c r="S419" s="163"/>
      <c r="T419" s="163"/>
      <c r="U419" s="163"/>
      <c r="V419" s="163"/>
      <c r="W419" s="163"/>
      <c r="X419" s="163"/>
      <c r="Y419" s="163"/>
      <c r="Z419" s="163"/>
    </row>
    <row r="420" spans="16:26" ht="10.199999999999999" customHeight="1">
      <c r="P420" s="163"/>
      <c r="Q420" s="163"/>
      <c r="R420" s="163"/>
      <c r="S420" s="163"/>
      <c r="T420" s="163"/>
      <c r="U420" s="163"/>
      <c r="V420" s="163"/>
      <c r="W420" s="163"/>
      <c r="X420" s="163"/>
      <c r="Y420" s="163"/>
      <c r="Z420" s="163"/>
    </row>
    <row r="421" spans="16:26" ht="10.199999999999999" customHeight="1">
      <c r="P421" s="163"/>
      <c r="Q421" s="163"/>
      <c r="R421" s="163"/>
      <c r="S421" s="163"/>
      <c r="T421" s="163"/>
      <c r="U421" s="163"/>
      <c r="V421" s="163"/>
      <c r="W421" s="163"/>
      <c r="X421" s="163"/>
      <c r="Y421" s="163"/>
      <c r="Z421" s="163"/>
    </row>
    <row r="422" spans="16:26" ht="10.199999999999999" customHeight="1">
      <c r="P422" s="163"/>
      <c r="Q422" s="163"/>
      <c r="R422" s="163"/>
      <c r="S422" s="163"/>
      <c r="T422" s="163"/>
      <c r="U422" s="163"/>
      <c r="V422" s="163"/>
      <c r="W422" s="163"/>
      <c r="X422" s="163"/>
      <c r="Y422" s="163"/>
      <c r="Z422" s="163"/>
    </row>
    <row r="423" spans="16:26" ht="10.199999999999999" customHeight="1">
      <c r="P423" s="163"/>
      <c r="Q423" s="163"/>
      <c r="R423" s="163"/>
      <c r="S423" s="163"/>
      <c r="T423" s="163"/>
      <c r="U423" s="163"/>
      <c r="V423" s="163"/>
      <c r="W423" s="163"/>
      <c r="X423" s="163"/>
      <c r="Y423" s="163"/>
      <c r="Z423" s="163"/>
    </row>
    <row r="424" spans="16:26" ht="10.199999999999999" customHeight="1">
      <c r="P424" s="163"/>
      <c r="Q424" s="163"/>
      <c r="R424" s="163"/>
      <c r="S424" s="163"/>
      <c r="T424" s="163"/>
      <c r="U424" s="163"/>
      <c r="V424" s="163"/>
      <c r="W424" s="163"/>
      <c r="X424" s="163"/>
      <c r="Y424" s="163"/>
      <c r="Z424" s="163"/>
    </row>
    <row r="425" spans="16:26" ht="10.199999999999999" customHeight="1">
      <c r="P425" s="163"/>
      <c r="Q425" s="163"/>
      <c r="R425" s="163"/>
      <c r="S425" s="163"/>
      <c r="T425" s="163"/>
      <c r="U425" s="163"/>
      <c r="V425" s="163"/>
      <c r="W425" s="163"/>
      <c r="X425" s="163"/>
      <c r="Y425" s="163"/>
      <c r="Z425" s="163"/>
    </row>
    <row r="426" spans="16:26" ht="10.199999999999999" customHeight="1">
      <c r="P426" s="163"/>
      <c r="Q426" s="163"/>
      <c r="R426" s="163"/>
      <c r="S426" s="163"/>
      <c r="T426" s="163"/>
      <c r="U426" s="163"/>
      <c r="V426" s="163"/>
      <c r="W426" s="163"/>
      <c r="X426" s="163"/>
      <c r="Y426" s="163"/>
      <c r="Z426" s="163"/>
    </row>
    <row r="427" spans="16:26" ht="10.199999999999999" customHeight="1">
      <c r="P427" s="163"/>
      <c r="Q427" s="163"/>
      <c r="R427" s="163"/>
      <c r="S427" s="163"/>
      <c r="T427" s="163"/>
      <c r="U427" s="163"/>
      <c r="V427" s="163"/>
      <c r="W427" s="163"/>
      <c r="X427" s="163"/>
      <c r="Y427" s="163"/>
      <c r="Z427" s="163"/>
    </row>
    <row r="428" spans="16:26" ht="10.199999999999999" customHeight="1">
      <c r="P428" s="163"/>
      <c r="Q428" s="163"/>
      <c r="R428" s="163"/>
      <c r="S428" s="163"/>
      <c r="T428" s="163"/>
      <c r="U428" s="163"/>
      <c r="V428" s="163"/>
      <c r="W428" s="163"/>
      <c r="X428" s="163"/>
      <c r="Y428" s="163"/>
      <c r="Z428" s="163"/>
    </row>
    <row r="429" spans="16:26" ht="10.199999999999999" customHeight="1">
      <c r="P429" s="163"/>
      <c r="Q429" s="163"/>
      <c r="R429" s="163"/>
      <c r="S429" s="163"/>
      <c r="T429" s="163"/>
      <c r="U429" s="163"/>
      <c r="V429" s="163"/>
      <c r="W429" s="163"/>
      <c r="X429" s="163"/>
      <c r="Y429" s="163"/>
      <c r="Z429" s="163"/>
    </row>
    <row r="430" spans="16:26" ht="10.199999999999999" customHeight="1">
      <c r="P430" s="163"/>
      <c r="Q430" s="163"/>
      <c r="R430" s="163"/>
      <c r="S430" s="163"/>
      <c r="T430" s="163"/>
      <c r="U430" s="163"/>
      <c r="V430" s="163"/>
      <c r="W430" s="163"/>
      <c r="X430" s="163"/>
      <c r="Y430" s="163"/>
      <c r="Z430" s="163"/>
    </row>
    <row r="431" spans="16:26" ht="10.199999999999999" customHeight="1">
      <c r="P431" s="163"/>
      <c r="Q431" s="163"/>
      <c r="R431" s="163"/>
      <c r="S431" s="163"/>
      <c r="T431" s="163"/>
      <c r="U431" s="163"/>
      <c r="V431" s="163"/>
      <c r="W431" s="163"/>
      <c r="X431" s="163"/>
      <c r="Y431" s="163"/>
      <c r="Z431" s="163"/>
    </row>
    <row r="432" spans="16:26" ht="10.199999999999999" customHeight="1">
      <c r="P432" s="163"/>
      <c r="Q432" s="163"/>
      <c r="R432" s="163"/>
      <c r="S432" s="163"/>
      <c r="T432" s="163"/>
      <c r="U432" s="163"/>
      <c r="V432" s="163"/>
      <c r="W432" s="163"/>
      <c r="X432" s="163"/>
      <c r="Y432" s="163"/>
      <c r="Z432" s="163"/>
    </row>
    <row r="433" spans="16:26" ht="10.199999999999999" customHeight="1">
      <c r="P433" s="163"/>
      <c r="Q433" s="163"/>
      <c r="R433" s="163"/>
      <c r="S433" s="163"/>
      <c r="T433" s="163"/>
      <c r="U433" s="163"/>
      <c r="V433" s="163"/>
      <c r="W433" s="163"/>
      <c r="X433" s="163"/>
      <c r="Y433" s="163"/>
      <c r="Z433" s="163"/>
    </row>
    <row r="434" spans="16:26" ht="10.199999999999999" customHeight="1">
      <c r="P434" s="163"/>
      <c r="Q434" s="163"/>
      <c r="R434" s="163"/>
      <c r="S434" s="163"/>
      <c r="T434" s="163"/>
      <c r="U434" s="163"/>
      <c r="V434" s="163"/>
      <c r="W434" s="163"/>
      <c r="X434" s="163"/>
      <c r="Y434" s="163"/>
      <c r="Z434" s="163"/>
    </row>
    <row r="435" spans="16:26" ht="10.199999999999999" customHeight="1">
      <c r="P435" s="163"/>
      <c r="Q435" s="163"/>
      <c r="R435" s="163"/>
      <c r="S435" s="163"/>
      <c r="T435" s="163"/>
      <c r="U435" s="163"/>
      <c r="V435" s="163"/>
      <c r="W435" s="163"/>
      <c r="X435" s="163"/>
      <c r="Y435" s="163"/>
      <c r="Z435" s="163"/>
    </row>
    <row r="436" spans="16:26" ht="10.199999999999999" customHeight="1">
      <c r="P436" s="163"/>
      <c r="Q436" s="163"/>
      <c r="R436" s="163"/>
      <c r="S436" s="163"/>
      <c r="T436" s="163"/>
      <c r="U436" s="163"/>
      <c r="V436" s="163"/>
      <c r="W436" s="163"/>
      <c r="X436" s="163"/>
      <c r="Y436" s="163"/>
      <c r="Z436" s="163"/>
    </row>
    <row r="437" spans="16:26" ht="10.199999999999999" customHeight="1">
      <c r="P437" s="163"/>
      <c r="Q437" s="163"/>
      <c r="R437" s="163"/>
      <c r="S437" s="163"/>
      <c r="T437" s="163"/>
      <c r="U437" s="163"/>
      <c r="V437" s="163"/>
      <c r="W437" s="163"/>
      <c r="X437" s="163"/>
      <c r="Y437" s="163"/>
      <c r="Z437" s="163"/>
    </row>
    <row r="438" spans="16:26" ht="10.199999999999999" customHeight="1">
      <c r="P438" s="163"/>
      <c r="Q438" s="163"/>
      <c r="R438" s="163"/>
      <c r="S438" s="163"/>
      <c r="T438" s="163"/>
      <c r="U438" s="163"/>
      <c r="V438" s="163"/>
      <c r="W438" s="163"/>
      <c r="X438" s="163"/>
      <c r="Y438" s="163"/>
      <c r="Z438" s="163"/>
    </row>
    <row r="439" spans="16:26" ht="10.199999999999999" customHeight="1">
      <c r="P439" s="163"/>
      <c r="Q439" s="163"/>
      <c r="R439" s="163"/>
      <c r="S439" s="163"/>
      <c r="T439" s="163"/>
      <c r="U439" s="163"/>
      <c r="V439" s="163"/>
      <c r="W439" s="163"/>
      <c r="X439" s="163"/>
      <c r="Y439" s="163"/>
      <c r="Z439" s="163"/>
    </row>
    <row r="440" spans="16:26" ht="10.199999999999999" customHeight="1">
      <c r="P440" s="163"/>
      <c r="Q440" s="163"/>
      <c r="R440" s="163"/>
      <c r="S440" s="163"/>
      <c r="T440" s="163"/>
      <c r="U440" s="163"/>
      <c r="V440" s="163"/>
      <c r="W440" s="163"/>
      <c r="X440" s="163"/>
      <c r="Y440" s="163"/>
      <c r="Z440" s="163"/>
    </row>
    <row r="441" spans="16:26" ht="10.199999999999999" customHeight="1">
      <c r="P441" s="163"/>
      <c r="Q441" s="163"/>
      <c r="R441" s="163"/>
      <c r="S441" s="163"/>
      <c r="T441" s="163"/>
      <c r="U441" s="163"/>
      <c r="V441" s="163"/>
      <c r="W441" s="163"/>
      <c r="X441" s="163"/>
      <c r="Y441" s="163"/>
      <c r="Z441" s="163"/>
    </row>
    <row r="442" spans="16:26" ht="10.199999999999999" customHeight="1">
      <c r="P442" s="163"/>
      <c r="Q442" s="163"/>
      <c r="R442" s="163"/>
      <c r="S442" s="163"/>
      <c r="T442" s="163"/>
      <c r="U442" s="163"/>
      <c r="V442" s="163"/>
      <c r="W442" s="163"/>
      <c r="X442" s="163"/>
      <c r="Y442" s="163"/>
      <c r="Z442" s="163"/>
    </row>
    <row r="443" spans="16:26" ht="10.199999999999999" customHeight="1">
      <c r="P443" s="163"/>
      <c r="Q443" s="163"/>
      <c r="R443" s="163"/>
      <c r="S443" s="163"/>
      <c r="T443" s="163"/>
      <c r="U443" s="163"/>
      <c r="V443" s="163"/>
      <c r="W443" s="163"/>
      <c r="X443" s="163"/>
      <c r="Y443" s="163"/>
      <c r="Z443" s="163"/>
    </row>
    <row r="444" spans="16:26" ht="10.199999999999999" customHeight="1">
      <c r="P444" s="163"/>
      <c r="Q444" s="163"/>
      <c r="R444" s="163"/>
      <c r="S444" s="163"/>
      <c r="T444" s="163"/>
      <c r="U444" s="163"/>
      <c r="V444" s="163"/>
      <c r="W444" s="163"/>
      <c r="X444" s="163"/>
      <c r="Y444" s="163"/>
      <c r="Z444" s="163"/>
    </row>
    <row r="445" spans="16:26" ht="10.199999999999999" customHeight="1">
      <c r="P445" s="163"/>
      <c r="Q445" s="163"/>
      <c r="R445" s="163"/>
      <c r="S445" s="163"/>
      <c r="T445" s="163"/>
      <c r="U445" s="163"/>
      <c r="V445" s="163"/>
      <c r="W445" s="163"/>
      <c r="X445" s="163"/>
      <c r="Y445" s="163"/>
      <c r="Z445" s="163"/>
    </row>
    <row r="446" spans="16:26" ht="10.199999999999999" customHeight="1">
      <c r="P446" s="163"/>
      <c r="Q446" s="163"/>
      <c r="R446" s="163"/>
      <c r="S446" s="163"/>
      <c r="T446" s="163"/>
      <c r="U446" s="163"/>
      <c r="V446" s="163"/>
      <c r="W446" s="163"/>
      <c r="X446" s="163"/>
      <c r="Y446" s="163"/>
      <c r="Z446" s="163"/>
    </row>
    <row r="447" spans="16:26" ht="10.199999999999999" customHeight="1">
      <c r="P447" s="163"/>
      <c r="Q447" s="163"/>
      <c r="R447" s="163"/>
      <c r="S447" s="163"/>
      <c r="T447" s="163"/>
      <c r="U447" s="163"/>
      <c r="V447" s="163"/>
      <c r="W447" s="163"/>
      <c r="X447" s="163"/>
      <c r="Y447" s="163"/>
      <c r="Z447" s="163"/>
    </row>
    <row r="448" spans="16:26" ht="10.199999999999999" customHeight="1">
      <c r="P448" s="163"/>
      <c r="Q448" s="163"/>
      <c r="R448" s="163"/>
      <c r="S448" s="163"/>
      <c r="T448" s="163"/>
      <c r="U448" s="163"/>
      <c r="V448" s="163"/>
      <c r="W448" s="163"/>
      <c r="X448" s="163"/>
      <c r="Y448" s="163"/>
      <c r="Z448" s="163"/>
    </row>
    <row r="449" spans="16:26" ht="10.199999999999999" customHeight="1">
      <c r="P449" s="163"/>
      <c r="Q449" s="163"/>
      <c r="R449" s="163"/>
      <c r="S449" s="163"/>
      <c r="T449" s="163"/>
      <c r="U449" s="163"/>
      <c r="V449" s="163"/>
      <c r="W449" s="163"/>
      <c r="X449" s="163"/>
      <c r="Y449" s="163"/>
      <c r="Z449" s="163"/>
    </row>
    <row r="450" spans="16:26" ht="10.199999999999999" customHeight="1">
      <c r="P450" s="163"/>
      <c r="Q450" s="163"/>
      <c r="R450" s="163"/>
      <c r="S450" s="163"/>
      <c r="T450" s="163"/>
      <c r="U450" s="163"/>
      <c r="V450" s="163"/>
      <c r="W450" s="163"/>
      <c r="X450" s="163"/>
      <c r="Y450" s="163"/>
      <c r="Z450" s="163"/>
    </row>
    <row r="451" spans="16:26" ht="10.199999999999999" customHeight="1">
      <c r="P451" s="163"/>
      <c r="Q451" s="163"/>
      <c r="R451" s="163"/>
      <c r="S451" s="163"/>
      <c r="T451" s="163"/>
      <c r="U451" s="163"/>
      <c r="V451" s="163"/>
      <c r="W451" s="163"/>
      <c r="X451" s="163"/>
      <c r="Y451" s="163"/>
      <c r="Z451" s="163"/>
    </row>
    <row r="452" spans="16:26" ht="10.199999999999999" customHeight="1">
      <c r="P452" s="163"/>
      <c r="Q452" s="163"/>
      <c r="R452" s="163"/>
      <c r="S452" s="163"/>
      <c r="T452" s="163"/>
      <c r="U452" s="163"/>
      <c r="V452" s="163"/>
      <c r="W452" s="163"/>
      <c r="X452" s="163"/>
      <c r="Y452" s="163"/>
      <c r="Z452" s="163"/>
    </row>
    <row r="453" spans="16:26" ht="10.199999999999999" customHeight="1">
      <c r="P453" s="163"/>
      <c r="Q453" s="163"/>
      <c r="R453" s="163"/>
      <c r="S453" s="163"/>
      <c r="T453" s="163"/>
      <c r="U453" s="163"/>
      <c r="V453" s="163"/>
      <c r="W453" s="163"/>
      <c r="X453" s="163"/>
      <c r="Y453" s="163"/>
      <c r="Z453" s="163"/>
    </row>
    <row r="454" spans="16:26" ht="10.199999999999999" customHeight="1">
      <c r="P454" s="163"/>
      <c r="Q454" s="163"/>
      <c r="R454" s="163"/>
      <c r="S454" s="163"/>
      <c r="T454" s="163"/>
      <c r="U454" s="163"/>
      <c r="V454" s="163"/>
      <c r="W454" s="163"/>
      <c r="X454" s="163"/>
      <c r="Y454" s="163"/>
      <c r="Z454" s="163"/>
    </row>
    <row r="455" spans="16:26" ht="10.199999999999999" customHeight="1">
      <c r="P455" s="163"/>
      <c r="Q455" s="163"/>
      <c r="R455" s="163"/>
      <c r="S455" s="163"/>
      <c r="T455" s="163"/>
      <c r="U455" s="163"/>
      <c r="V455" s="163"/>
      <c r="W455" s="163"/>
      <c r="X455" s="163"/>
      <c r="Y455" s="163"/>
      <c r="Z455" s="163"/>
    </row>
    <row r="456" spans="16:26" ht="10.199999999999999" customHeight="1">
      <c r="P456" s="163"/>
      <c r="Q456" s="163"/>
      <c r="R456" s="163"/>
      <c r="S456" s="163"/>
      <c r="T456" s="163"/>
      <c r="U456" s="163"/>
      <c r="V456" s="163"/>
      <c r="W456" s="163"/>
      <c r="X456" s="163"/>
      <c r="Y456" s="163"/>
      <c r="Z456" s="163"/>
    </row>
    <row r="457" spans="16:26" ht="10.199999999999999" customHeight="1">
      <c r="P457" s="163"/>
      <c r="Q457" s="163"/>
      <c r="R457" s="163"/>
      <c r="S457" s="163"/>
      <c r="T457" s="163"/>
      <c r="U457" s="163"/>
      <c r="V457" s="163"/>
      <c r="W457" s="163"/>
      <c r="X457" s="163"/>
      <c r="Y457" s="163"/>
      <c r="Z457" s="163"/>
    </row>
    <row r="458" spans="16:26" ht="10.199999999999999" customHeight="1">
      <c r="P458" s="163"/>
      <c r="Q458" s="163"/>
      <c r="R458" s="163"/>
      <c r="S458" s="163"/>
      <c r="T458" s="163"/>
      <c r="U458" s="163"/>
      <c r="V458" s="163"/>
      <c r="W458" s="163"/>
      <c r="X458" s="163"/>
      <c r="Y458" s="163"/>
      <c r="Z458" s="163"/>
    </row>
    <row r="459" spans="16:26" ht="10.199999999999999" customHeight="1">
      <c r="P459" s="163"/>
      <c r="Q459" s="163"/>
      <c r="R459" s="163"/>
      <c r="S459" s="163"/>
      <c r="T459" s="163"/>
      <c r="U459" s="163"/>
      <c r="V459" s="163"/>
      <c r="W459" s="163"/>
      <c r="X459" s="163"/>
      <c r="Y459" s="163"/>
      <c r="Z459" s="163"/>
    </row>
    <row r="460" spans="16:26" ht="10.199999999999999" customHeight="1">
      <c r="P460" s="163"/>
      <c r="Q460" s="163"/>
      <c r="R460" s="163"/>
      <c r="S460" s="163"/>
      <c r="T460" s="163"/>
      <c r="U460" s="163"/>
      <c r="V460" s="163"/>
      <c r="W460" s="163"/>
      <c r="X460" s="163"/>
      <c r="Y460" s="163"/>
      <c r="Z460" s="163"/>
    </row>
    <row r="461" spans="16:26" ht="10.199999999999999" customHeight="1">
      <c r="P461" s="163"/>
      <c r="Q461" s="163"/>
      <c r="R461" s="163"/>
      <c r="S461" s="163"/>
      <c r="T461" s="163"/>
      <c r="U461" s="163"/>
      <c r="V461" s="163"/>
      <c r="W461" s="163"/>
      <c r="X461" s="163"/>
      <c r="Y461" s="163"/>
      <c r="Z461" s="163"/>
    </row>
    <row r="462" spans="16:26" ht="10.199999999999999" customHeight="1">
      <c r="P462" s="163"/>
      <c r="Q462" s="163"/>
      <c r="R462" s="163"/>
      <c r="S462" s="163"/>
      <c r="T462" s="163"/>
      <c r="U462" s="163"/>
      <c r="V462" s="163"/>
      <c r="W462" s="163"/>
      <c r="X462" s="163"/>
      <c r="Y462" s="163"/>
      <c r="Z462" s="163"/>
    </row>
    <row r="463" spans="16:26" ht="10.199999999999999" customHeight="1">
      <c r="P463" s="163"/>
      <c r="Q463" s="163"/>
      <c r="R463" s="163"/>
      <c r="S463" s="163"/>
      <c r="T463" s="163"/>
      <c r="U463" s="163"/>
      <c r="V463" s="163"/>
      <c r="W463" s="163"/>
      <c r="X463" s="163"/>
      <c r="Y463" s="163"/>
      <c r="Z463" s="163"/>
    </row>
    <row r="464" spans="16:26" ht="10.199999999999999" customHeight="1">
      <c r="P464" s="163"/>
      <c r="Q464" s="163"/>
      <c r="R464" s="163"/>
      <c r="S464" s="163"/>
      <c r="T464" s="163"/>
      <c r="U464" s="163"/>
      <c r="V464" s="163"/>
      <c r="W464" s="163"/>
      <c r="X464" s="163"/>
      <c r="Y464" s="163"/>
      <c r="Z464" s="163"/>
    </row>
    <row r="465" spans="16:26" ht="10.199999999999999" customHeight="1">
      <c r="P465" s="163"/>
      <c r="Q465" s="163"/>
      <c r="R465" s="163"/>
      <c r="S465" s="163"/>
      <c r="T465" s="163"/>
      <c r="U465" s="163"/>
      <c r="V465" s="163"/>
      <c r="W465" s="163"/>
      <c r="X465" s="163"/>
      <c r="Y465" s="163"/>
      <c r="Z465" s="163"/>
    </row>
    <row r="466" spans="16:26" ht="10.199999999999999" customHeight="1">
      <c r="P466" s="163"/>
      <c r="Q466" s="163"/>
      <c r="R466" s="163"/>
      <c r="S466" s="163"/>
      <c r="T466" s="163"/>
      <c r="U466" s="163"/>
      <c r="V466" s="163"/>
      <c r="W466" s="163"/>
      <c r="X466" s="163"/>
      <c r="Y466" s="163"/>
      <c r="Z466" s="163"/>
    </row>
    <row r="467" spans="16:26" ht="10.199999999999999" customHeight="1">
      <c r="P467" s="163"/>
      <c r="Q467" s="163"/>
      <c r="R467" s="163"/>
      <c r="S467" s="163"/>
      <c r="T467" s="163"/>
      <c r="U467" s="163"/>
      <c r="V467" s="163"/>
      <c r="W467" s="163"/>
      <c r="X467" s="163"/>
      <c r="Y467" s="163"/>
      <c r="Z467" s="163"/>
    </row>
    <row r="468" spans="16:26" ht="10.199999999999999" customHeight="1">
      <c r="P468" s="163"/>
      <c r="Q468" s="163"/>
      <c r="R468" s="163"/>
      <c r="S468" s="163"/>
      <c r="T468" s="163"/>
      <c r="U468" s="163"/>
      <c r="V468" s="163"/>
      <c r="W468" s="163"/>
      <c r="X468" s="163"/>
      <c r="Y468" s="163"/>
      <c r="Z468" s="163"/>
    </row>
    <row r="469" spans="16:26" ht="10.199999999999999" customHeight="1">
      <c r="P469" s="163"/>
      <c r="Q469" s="163"/>
      <c r="R469" s="163"/>
      <c r="S469" s="163"/>
      <c r="T469" s="163"/>
      <c r="U469" s="163"/>
      <c r="V469" s="163"/>
      <c r="W469" s="163"/>
      <c r="X469" s="163"/>
      <c r="Y469" s="163"/>
      <c r="Z469" s="163"/>
    </row>
    <row r="470" spans="16:26" ht="10.199999999999999" customHeight="1">
      <c r="P470" s="163"/>
      <c r="Q470" s="163"/>
      <c r="R470" s="163"/>
      <c r="S470" s="163"/>
      <c r="T470" s="163"/>
      <c r="U470" s="163"/>
      <c r="V470" s="163"/>
      <c r="W470" s="163"/>
      <c r="X470" s="163"/>
      <c r="Y470" s="163"/>
      <c r="Z470" s="163"/>
    </row>
    <row r="471" spans="16:26" ht="10.199999999999999" customHeight="1">
      <c r="P471" s="163"/>
      <c r="Q471" s="163"/>
      <c r="R471" s="163"/>
      <c r="S471" s="163"/>
      <c r="T471" s="163"/>
      <c r="U471" s="163"/>
      <c r="V471" s="163"/>
      <c r="W471" s="163"/>
      <c r="X471" s="163"/>
      <c r="Y471" s="163"/>
      <c r="Z471" s="163"/>
    </row>
    <row r="472" spans="16:26" ht="10.199999999999999" customHeight="1">
      <c r="P472" s="163"/>
      <c r="Q472" s="163"/>
      <c r="R472" s="163"/>
      <c r="S472" s="163"/>
      <c r="T472" s="163"/>
      <c r="U472" s="163"/>
      <c r="V472" s="163"/>
      <c r="W472" s="163"/>
      <c r="X472" s="163"/>
      <c r="Y472" s="163"/>
      <c r="Z472" s="163"/>
    </row>
    <row r="473" spans="16:26" ht="10.199999999999999" customHeight="1">
      <c r="P473" s="163"/>
      <c r="Q473" s="163"/>
      <c r="R473" s="163"/>
      <c r="S473" s="163"/>
      <c r="T473" s="163"/>
      <c r="U473" s="163"/>
      <c r="V473" s="163"/>
      <c r="W473" s="163"/>
      <c r="X473" s="163"/>
      <c r="Y473" s="163"/>
      <c r="Z473" s="163"/>
    </row>
    <row r="474" spans="16:26" ht="10.199999999999999" customHeight="1">
      <c r="P474" s="163"/>
      <c r="Q474" s="163"/>
      <c r="R474" s="163"/>
      <c r="S474" s="163"/>
      <c r="T474" s="163"/>
      <c r="U474" s="163"/>
      <c r="V474" s="163"/>
      <c r="W474" s="163"/>
      <c r="X474" s="163"/>
      <c r="Y474" s="163"/>
      <c r="Z474" s="163"/>
    </row>
    <row r="475" spans="16:26" ht="10.199999999999999" customHeight="1">
      <c r="P475" s="163"/>
      <c r="Q475" s="163"/>
      <c r="R475" s="163"/>
      <c r="S475" s="163"/>
      <c r="T475" s="163"/>
      <c r="U475" s="163"/>
      <c r="V475" s="163"/>
      <c r="W475" s="163"/>
      <c r="X475" s="163"/>
      <c r="Y475" s="163"/>
      <c r="Z475" s="163"/>
    </row>
    <row r="476" spans="16:26" ht="10.199999999999999" customHeight="1">
      <c r="P476" s="163"/>
      <c r="Q476" s="163"/>
      <c r="R476" s="163"/>
      <c r="S476" s="163"/>
      <c r="T476" s="163"/>
      <c r="U476" s="163"/>
      <c r="V476" s="163"/>
      <c r="W476" s="163"/>
      <c r="X476" s="163"/>
      <c r="Y476" s="163"/>
      <c r="Z476" s="163"/>
    </row>
    <row r="477" spans="16:26" ht="10.199999999999999" customHeight="1">
      <c r="P477" s="163"/>
      <c r="Q477" s="163"/>
      <c r="R477" s="163"/>
      <c r="S477" s="163"/>
      <c r="T477" s="163"/>
      <c r="U477" s="163"/>
      <c r="V477" s="163"/>
      <c r="W477" s="163"/>
      <c r="X477" s="163"/>
      <c r="Y477" s="163"/>
      <c r="Z477" s="163"/>
    </row>
    <row r="478" spans="16:26" ht="10.199999999999999" customHeight="1">
      <c r="P478" s="163"/>
      <c r="Q478" s="163"/>
      <c r="R478" s="163"/>
      <c r="S478" s="163"/>
      <c r="T478" s="163"/>
      <c r="U478" s="163"/>
      <c r="V478" s="163"/>
      <c r="W478" s="163"/>
      <c r="X478" s="163"/>
      <c r="Y478" s="163"/>
      <c r="Z478" s="163"/>
    </row>
    <row r="479" spans="16:26" ht="10.199999999999999" customHeight="1">
      <c r="P479" s="163"/>
      <c r="Q479" s="163"/>
      <c r="R479" s="163"/>
      <c r="S479" s="163"/>
      <c r="T479" s="163"/>
      <c r="U479" s="163"/>
      <c r="V479" s="163"/>
      <c r="W479" s="163"/>
      <c r="X479" s="163"/>
      <c r="Y479" s="163"/>
      <c r="Z479" s="163"/>
    </row>
    <row r="480" spans="16:26" ht="10.199999999999999" customHeight="1">
      <c r="P480" s="163"/>
      <c r="Q480" s="163"/>
      <c r="R480" s="163"/>
      <c r="S480" s="163"/>
      <c r="T480" s="163"/>
      <c r="U480" s="163"/>
      <c r="V480" s="163"/>
      <c r="W480" s="163"/>
      <c r="X480" s="163"/>
      <c r="Y480" s="163"/>
      <c r="Z480" s="163"/>
    </row>
    <row r="481" spans="16:26" ht="10.199999999999999" customHeight="1">
      <c r="P481" s="163"/>
      <c r="Q481" s="163"/>
      <c r="R481" s="163"/>
      <c r="S481" s="163"/>
      <c r="T481" s="163"/>
      <c r="U481" s="163"/>
      <c r="V481" s="163"/>
      <c r="W481" s="163"/>
      <c r="X481" s="163"/>
      <c r="Y481" s="163"/>
      <c r="Z481" s="163"/>
    </row>
    <row r="482" spans="16:26" ht="10.199999999999999" customHeight="1">
      <c r="P482" s="163"/>
      <c r="Q482" s="163"/>
      <c r="R482" s="163"/>
      <c r="S482" s="163"/>
      <c r="T482" s="163"/>
      <c r="U482" s="163"/>
      <c r="V482" s="163"/>
      <c r="W482" s="163"/>
      <c r="X482" s="163"/>
      <c r="Y482" s="163"/>
      <c r="Z482" s="163"/>
    </row>
    <row r="483" spans="16:26" ht="10.199999999999999" customHeight="1">
      <c r="P483" s="163"/>
      <c r="Q483" s="163"/>
      <c r="R483" s="163"/>
      <c r="S483" s="163"/>
      <c r="T483" s="163"/>
      <c r="U483" s="163"/>
      <c r="V483" s="163"/>
      <c r="W483" s="163"/>
      <c r="X483" s="163"/>
      <c r="Y483" s="163"/>
      <c r="Z483" s="163"/>
    </row>
    <row r="484" spans="16:26" ht="10.199999999999999" customHeight="1">
      <c r="P484" s="163"/>
      <c r="Q484" s="163"/>
      <c r="R484" s="163"/>
      <c r="S484" s="163"/>
      <c r="T484" s="163"/>
      <c r="U484" s="163"/>
      <c r="V484" s="163"/>
      <c r="W484" s="163"/>
      <c r="X484" s="163"/>
      <c r="Y484" s="163"/>
      <c r="Z484" s="163"/>
    </row>
    <row r="485" spans="16:26" ht="10.199999999999999" customHeight="1">
      <c r="P485" s="163"/>
      <c r="Q485" s="163"/>
      <c r="R485" s="163"/>
      <c r="S485" s="163"/>
      <c r="T485" s="163"/>
      <c r="U485" s="163"/>
      <c r="V485" s="163"/>
      <c r="W485" s="163"/>
      <c r="X485" s="163"/>
      <c r="Y485" s="163"/>
      <c r="Z485" s="163"/>
    </row>
    <row r="486" spans="16:26" ht="10.199999999999999" customHeight="1">
      <c r="P486" s="163"/>
      <c r="Q486" s="163"/>
      <c r="R486" s="163"/>
      <c r="S486" s="163"/>
      <c r="T486" s="163"/>
      <c r="U486" s="163"/>
      <c r="V486" s="163"/>
      <c r="W486" s="163"/>
      <c r="X486" s="163"/>
      <c r="Y486" s="163"/>
      <c r="Z486" s="163"/>
    </row>
    <row r="487" spans="16:26" ht="10.199999999999999" customHeight="1">
      <c r="P487" s="163"/>
      <c r="Q487" s="163"/>
      <c r="R487" s="163"/>
      <c r="S487" s="163"/>
      <c r="T487" s="163"/>
      <c r="U487" s="163"/>
      <c r="V487" s="163"/>
      <c r="W487" s="163"/>
      <c r="X487" s="163"/>
      <c r="Y487" s="163"/>
      <c r="Z487" s="163"/>
    </row>
    <row r="488" spans="16:26" ht="10.199999999999999" customHeight="1">
      <c r="P488" s="163"/>
      <c r="Q488" s="163"/>
      <c r="R488" s="163"/>
      <c r="S488" s="163"/>
      <c r="T488" s="163"/>
      <c r="U488" s="163"/>
      <c r="V488" s="163"/>
      <c r="W488" s="163"/>
      <c r="X488" s="163"/>
      <c r="Y488" s="163"/>
      <c r="Z488" s="163"/>
    </row>
    <row r="489" spans="16:26" ht="10.199999999999999" customHeight="1">
      <c r="P489" s="163"/>
      <c r="Q489" s="163"/>
      <c r="R489" s="163"/>
      <c r="S489" s="163"/>
      <c r="T489" s="163"/>
      <c r="U489" s="163"/>
      <c r="V489" s="163"/>
      <c r="W489" s="163"/>
      <c r="X489" s="163"/>
      <c r="Y489" s="163"/>
      <c r="Z489" s="163"/>
    </row>
    <row r="490" spans="16:26" ht="10.199999999999999" customHeight="1">
      <c r="P490" s="163"/>
      <c r="Q490" s="163"/>
      <c r="R490" s="163"/>
      <c r="S490" s="163"/>
      <c r="T490" s="163"/>
      <c r="U490" s="163"/>
      <c r="V490" s="163"/>
      <c r="W490" s="163"/>
      <c r="X490" s="163"/>
      <c r="Y490" s="163"/>
      <c r="Z490" s="163"/>
    </row>
    <row r="491" spans="16:26" ht="10.199999999999999" customHeight="1">
      <c r="P491" s="163"/>
      <c r="Q491" s="163"/>
      <c r="R491" s="163"/>
      <c r="S491" s="163"/>
      <c r="T491" s="163"/>
      <c r="U491" s="163"/>
      <c r="V491" s="163"/>
      <c r="W491" s="163"/>
      <c r="X491" s="163"/>
      <c r="Y491" s="163"/>
      <c r="Z491" s="163"/>
    </row>
    <row r="492" spans="16:26" ht="10.199999999999999" customHeight="1">
      <c r="P492" s="163"/>
      <c r="Q492" s="163"/>
      <c r="R492" s="163"/>
      <c r="S492" s="163"/>
      <c r="T492" s="163"/>
      <c r="U492" s="163"/>
      <c r="V492" s="163"/>
      <c r="W492" s="163"/>
      <c r="X492" s="163"/>
      <c r="Y492" s="163"/>
      <c r="Z492" s="163"/>
    </row>
    <row r="493" spans="16:26" ht="10.199999999999999" customHeight="1">
      <c r="P493" s="163"/>
      <c r="Q493" s="163"/>
      <c r="R493" s="163"/>
      <c r="S493" s="163"/>
      <c r="T493" s="163"/>
      <c r="U493" s="163"/>
      <c r="V493" s="163"/>
      <c r="W493" s="163"/>
      <c r="X493" s="163"/>
      <c r="Y493" s="163"/>
      <c r="Z493" s="163"/>
    </row>
    <row r="494" spans="16:26" ht="10.199999999999999" customHeight="1">
      <c r="P494" s="163"/>
      <c r="Q494" s="163"/>
      <c r="R494" s="163"/>
      <c r="S494" s="163"/>
      <c r="T494" s="163"/>
      <c r="U494" s="163"/>
      <c r="V494" s="163"/>
      <c r="W494" s="163"/>
      <c r="X494" s="163"/>
      <c r="Y494" s="163"/>
      <c r="Z494" s="163"/>
    </row>
    <row r="495" spans="16:26" ht="10.199999999999999" customHeight="1">
      <c r="P495" s="163"/>
      <c r="Q495" s="163"/>
      <c r="R495" s="163"/>
      <c r="S495" s="163"/>
      <c r="T495" s="163"/>
      <c r="U495" s="163"/>
      <c r="V495" s="163"/>
      <c r="W495" s="163"/>
      <c r="X495" s="163"/>
      <c r="Y495" s="163"/>
      <c r="Z495" s="163"/>
    </row>
    <row r="496" spans="16:26" ht="10.199999999999999" customHeight="1">
      <c r="P496" s="163"/>
      <c r="Q496" s="163"/>
      <c r="R496" s="163"/>
      <c r="S496" s="163"/>
      <c r="T496" s="163"/>
      <c r="U496" s="163"/>
      <c r="V496" s="163"/>
      <c r="W496" s="163"/>
      <c r="X496" s="163"/>
      <c r="Y496" s="163"/>
      <c r="Z496" s="163"/>
    </row>
    <row r="497" spans="16:26" ht="10.199999999999999" customHeight="1">
      <c r="P497" s="163"/>
      <c r="Q497" s="163"/>
      <c r="R497" s="163"/>
      <c r="S497" s="163"/>
      <c r="T497" s="163"/>
      <c r="U497" s="163"/>
      <c r="V497" s="163"/>
      <c r="W497" s="163"/>
      <c r="X497" s="163"/>
      <c r="Y497" s="163"/>
      <c r="Z497" s="163"/>
    </row>
    <row r="498" spans="16:26" ht="10.199999999999999" customHeight="1">
      <c r="P498" s="163"/>
      <c r="Q498" s="163"/>
      <c r="R498" s="163"/>
      <c r="S498" s="163"/>
      <c r="T498" s="163"/>
      <c r="U498" s="163"/>
      <c r="V498" s="163"/>
      <c r="W498" s="163"/>
      <c r="X498" s="163"/>
      <c r="Y498" s="163"/>
      <c r="Z498" s="163"/>
    </row>
    <row r="499" spans="16:26" ht="10.199999999999999" customHeight="1">
      <c r="P499" s="163"/>
      <c r="Q499" s="163"/>
      <c r="R499" s="163"/>
      <c r="S499" s="163"/>
      <c r="T499" s="163"/>
      <c r="U499" s="163"/>
      <c r="V499" s="163"/>
      <c r="W499" s="163"/>
      <c r="X499" s="163"/>
      <c r="Y499" s="163"/>
      <c r="Z499" s="163"/>
    </row>
    <row r="500" spans="16:26" ht="10.199999999999999" customHeight="1">
      <c r="P500" s="163"/>
      <c r="Q500" s="163"/>
      <c r="R500" s="163"/>
      <c r="S500" s="163"/>
      <c r="T500" s="163"/>
      <c r="U500" s="163"/>
      <c r="V500" s="163"/>
      <c r="W500" s="163"/>
      <c r="X500" s="163"/>
      <c r="Y500" s="163"/>
      <c r="Z500" s="163"/>
    </row>
    <row r="501" spans="16:26" ht="10.199999999999999" customHeight="1">
      <c r="P501" s="163"/>
      <c r="Q501" s="163"/>
      <c r="R501" s="163"/>
      <c r="S501" s="163"/>
      <c r="T501" s="163"/>
      <c r="U501" s="163"/>
      <c r="V501" s="163"/>
      <c r="W501" s="163"/>
      <c r="X501" s="163"/>
      <c r="Y501" s="163"/>
      <c r="Z501" s="163"/>
    </row>
    <row r="502" spans="16:26" ht="10.199999999999999" customHeight="1">
      <c r="P502" s="163"/>
      <c r="Q502" s="163"/>
      <c r="R502" s="163"/>
      <c r="S502" s="163"/>
      <c r="T502" s="163"/>
      <c r="U502" s="163"/>
      <c r="V502" s="163"/>
      <c r="W502" s="163"/>
      <c r="X502" s="163"/>
      <c r="Y502" s="163"/>
      <c r="Z502" s="163"/>
    </row>
    <row r="503" spans="16:26" ht="10.199999999999999" customHeight="1">
      <c r="P503" s="163"/>
      <c r="Q503" s="163"/>
      <c r="R503" s="163"/>
      <c r="S503" s="163"/>
      <c r="T503" s="163"/>
      <c r="U503" s="163"/>
      <c r="V503" s="163"/>
      <c r="W503" s="163"/>
      <c r="X503" s="163"/>
      <c r="Y503" s="163"/>
      <c r="Z503" s="163"/>
    </row>
    <row r="504" spans="16:26" ht="10.199999999999999" customHeight="1">
      <c r="P504" s="163"/>
      <c r="Q504" s="163"/>
      <c r="R504" s="163"/>
      <c r="S504" s="163"/>
      <c r="T504" s="163"/>
      <c r="U504" s="163"/>
      <c r="V504" s="163"/>
      <c r="W504" s="163"/>
      <c r="X504" s="163"/>
      <c r="Y504" s="163"/>
      <c r="Z504" s="163"/>
    </row>
    <row r="505" spans="16:26" ht="10.199999999999999" customHeight="1">
      <c r="P505" s="163"/>
      <c r="Q505" s="163"/>
      <c r="R505" s="163"/>
      <c r="S505" s="163"/>
      <c r="T505" s="163"/>
      <c r="U505" s="163"/>
      <c r="V505" s="163"/>
      <c r="W505" s="163"/>
      <c r="X505" s="163"/>
      <c r="Y505" s="163"/>
      <c r="Z505" s="163"/>
    </row>
    <row r="506" spans="16:26" ht="10.199999999999999" customHeight="1">
      <c r="P506" s="163"/>
      <c r="Q506" s="163"/>
      <c r="R506" s="163"/>
      <c r="S506" s="163"/>
      <c r="T506" s="163"/>
      <c r="U506" s="163"/>
      <c r="V506" s="163"/>
      <c r="W506" s="163"/>
      <c r="X506" s="163"/>
      <c r="Y506" s="163"/>
      <c r="Z506" s="163"/>
    </row>
    <row r="507" spans="16:26" ht="10.199999999999999" customHeight="1">
      <c r="P507" s="163"/>
      <c r="Q507" s="163"/>
      <c r="R507" s="163"/>
      <c r="S507" s="163"/>
      <c r="T507" s="163"/>
      <c r="U507" s="163"/>
      <c r="V507" s="163"/>
      <c r="W507" s="163"/>
      <c r="X507" s="163"/>
      <c r="Y507" s="163"/>
      <c r="Z507" s="163"/>
    </row>
    <row r="508" spans="16:26" ht="10.199999999999999" customHeight="1">
      <c r="P508" s="163"/>
      <c r="Q508" s="163"/>
      <c r="R508" s="163"/>
      <c r="S508" s="163"/>
      <c r="T508" s="163"/>
      <c r="U508" s="163"/>
      <c r="V508" s="163"/>
      <c r="W508" s="163"/>
      <c r="X508" s="163"/>
      <c r="Y508" s="163"/>
      <c r="Z508" s="163"/>
    </row>
    <row r="509" spans="16:26" ht="10.199999999999999" customHeight="1">
      <c r="P509" s="163"/>
      <c r="Q509" s="163"/>
      <c r="R509" s="163"/>
      <c r="S509" s="163"/>
      <c r="T509" s="163"/>
      <c r="U509" s="163"/>
      <c r="V509" s="163"/>
      <c r="W509" s="163"/>
      <c r="X509" s="163"/>
      <c r="Y509" s="163"/>
      <c r="Z509" s="163"/>
    </row>
    <row r="510" spans="16:26" ht="10.199999999999999" customHeight="1">
      <c r="P510" s="163"/>
      <c r="Q510" s="163"/>
      <c r="R510" s="163"/>
      <c r="S510" s="163"/>
      <c r="T510" s="163"/>
      <c r="U510" s="163"/>
      <c r="V510" s="163"/>
      <c r="W510" s="163"/>
      <c r="X510" s="163"/>
      <c r="Y510" s="163"/>
      <c r="Z510" s="163"/>
    </row>
    <row r="511" spans="16:26" ht="10.199999999999999" customHeight="1">
      <c r="P511" s="163"/>
      <c r="Q511" s="163"/>
      <c r="R511" s="163"/>
      <c r="S511" s="163"/>
      <c r="T511" s="163"/>
      <c r="U511" s="163"/>
      <c r="V511" s="163"/>
      <c r="W511" s="163"/>
      <c r="X511" s="163"/>
      <c r="Y511" s="163"/>
      <c r="Z511" s="163"/>
    </row>
    <row r="512" spans="16:26" ht="10.199999999999999" customHeight="1">
      <c r="P512" s="163"/>
      <c r="Q512" s="163"/>
      <c r="R512" s="163"/>
      <c r="S512" s="163"/>
      <c r="T512" s="163"/>
      <c r="U512" s="163"/>
      <c r="V512" s="163"/>
      <c r="W512" s="163"/>
      <c r="X512" s="163"/>
      <c r="Y512" s="163"/>
      <c r="Z512" s="163"/>
    </row>
    <row r="513" spans="16:26" ht="10.199999999999999" customHeight="1">
      <c r="P513" s="163"/>
      <c r="Q513" s="163"/>
      <c r="R513" s="163"/>
      <c r="S513" s="163"/>
      <c r="T513" s="163"/>
      <c r="U513" s="163"/>
      <c r="V513" s="163"/>
      <c r="W513" s="163"/>
      <c r="X513" s="163"/>
      <c r="Y513" s="163"/>
      <c r="Z513" s="163"/>
    </row>
    <row r="514" spans="16:26" ht="10.199999999999999" customHeight="1">
      <c r="P514" s="163"/>
      <c r="Q514" s="163"/>
      <c r="R514" s="163"/>
      <c r="S514" s="163"/>
      <c r="T514" s="163"/>
      <c r="U514" s="163"/>
      <c r="V514" s="163"/>
      <c r="W514" s="163"/>
      <c r="X514" s="163"/>
      <c r="Y514" s="163"/>
      <c r="Z514" s="163"/>
    </row>
    <row r="515" spans="16:26" ht="10.199999999999999" customHeight="1">
      <c r="P515" s="163"/>
      <c r="Q515" s="163"/>
      <c r="R515" s="163"/>
      <c r="S515" s="163"/>
      <c r="T515" s="163"/>
      <c r="U515" s="163"/>
      <c r="V515" s="163"/>
      <c r="W515" s="163"/>
      <c r="X515" s="163"/>
      <c r="Y515" s="163"/>
      <c r="Z515" s="163"/>
    </row>
    <row r="516" spans="16:26" ht="10.199999999999999" customHeight="1">
      <c r="P516" s="163"/>
      <c r="Q516" s="163"/>
      <c r="R516" s="163"/>
      <c r="S516" s="163"/>
      <c r="T516" s="163"/>
      <c r="U516" s="163"/>
      <c r="V516" s="163"/>
      <c r="W516" s="163"/>
      <c r="X516" s="163"/>
      <c r="Y516" s="163"/>
      <c r="Z516" s="163"/>
    </row>
    <row r="517" spans="16:26" ht="10.199999999999999" customHeight="1">
      <c r="P517" s="163"/>
      <c r="Q517" s="163"/>
      <c r="R517" s="163"/>
      <c r="S517" s="163"/>
      <c r="T517" s="163"/>
      <c r="U517" s="163"/>
      <c r="V517" s="163"/>
      <c r="W517" s="163"/>
      <c r="X517" s="163"/>
      <c r="Y517" s="163"/>
      <c r="Z517" s="163"/>
    </row>
    <row r="518" spans="16:26" ht="10.199999999999999" customHeight="1">
      <c r="P518" s="163"/>
      <c r="Q518" s="163"/>
      <c r="R518" s="163"/>
      <c r="S518" s="163"/>
      <c r="T518" s="163"/>
      <c r="U518" s="163"/>
      <c r="V518" s="163"/>
      <c r="W518" s="163"/>
      <c r="X518" s="163"/>
      <c r="Y518" s="163"/>
      <c r="Z518" s="163"/>
    </row>
    <row r="519" spans="16:26" ht="10.199999999999999" customHeight="1">
      <c r="P519" s="163"/>
      <c r="Q519" s="163"/>
      <c r="R519" s="163"/>
      <c r="S519" s="163"/>
      <c r="T519" s="163"/>
      <c r="U519" s="163"/>
      <c r="V519" s="163"/>
      <c r="W519" s="163"/>
      <c r="X519" s="163"/>
      <c r="Y519" s="163"/>
      <c r="Z519" s="163"/>
    </row>
    <row r="520" spans="16:26" ht="10.199999999999999" customHeight="1">
      <c r="P520" s="163"/>
      <c r="Q520" s="163"/>
      <c r="R520" s="163"/>
      <c r="S520" s="163"/>
      <c r="T520" s="163"/>
      <c r="U520" s="163"/>
      <c r="V520" s="163"/>
      <c r="W520" s="163"/>
      <c r="X520" s="163"/>
      <c r="Y520" s="163"/>
      <c r="Z520" s="163"/>
    </row>
    <row r="521" spans="16:26" ht="10.199999999999999" customHeight="1">
      <c r="P521" s="163"/>
      <c r="Q521" s="163"/>
      <c r="R521" s="163"/>
      <c r="S521" s="163"/>
      <c r="T521" s="163"/>
      <c r="U521" s="163"/>
      <c r="V521" s="163"/>
      <c r="W521" s="163"/>
      <c r="X521" s="163"/>
      <c r="Y521" s="163"/>
      <c r="Z521" s="163"/>
    </row>
    <row r="522" spans="16:26" ht="10.199999999999999" customHeight="1">
      <c r="P522" s="163"/>
      <c r="Q522" s="163"/>
      <c r="R522" s="163"/>
      <c r="S522" s="163"/>
      <c r="T522" s="163"/>
      <c r="U522" s="163"/>
      <c r="V522" s="163"/>
      <c r="W522" s="163"/>
      <c r="X522" s="163"/>
      <c r="Y522" s="163"/>
      <c r="Z522" s="163"/>
    </row>
    <row r="523" spans="16:26" ht="10.199999999999999" customHeight="1">
      <c r="P523" s="163"/>
      <c r="Q523" s="163"/>
      <c r="R523" s="163"/>
      <c r="S523" s="163"/>
      <c r="T523" s="163"/>
      <c r="U523" s="163"/>
      <c r="V523" s="163"/>
      <c r="W523" s="163"/>
      <c r="X523" s="163"/>
      <c r="Y523" s="163"/>
      <c r="Z523" s="163"/>
    </row>
    <row r="524" spans="16:26" ht="10.199999999999999" customHeight="1">
      <c r="P524" s="163"/>
      <c r="Q524" s="163"/>
      <c r="R524" s="163"/>
      <c r="S524" s="163"/>
      <c r="T524" s="163"/>
      <c r="U524" s="163"/>
      <c r="V524" s="163"/>
      <c r="W524" s="163"/>
      <c r="X524" s="163"/>
      <c r="Y524" s="163"/>
      <c r="Z524" s="163"/>
    </row>
    <row r="525" spans="16:26" ht="10.199999999999999" customHeight="1">
      <c r="P525" s="163"/>
      <c r="Q525" s="163"/>
      <c r="R525" s="163"/>
      <c r="S525" s="163"/>
      <c r="T525" s="163"/>
      <c r="U525" s="163"/>
      <c r="V525" s="163"/>
      <c r="W525" s="163"/>
      <c r="X525" s="163"/>
      <c r="Y525" s="163"/>
      <c r="Z525" s="163"/>
    </row>
    <row r="526" spans="16:26" ht="10.199999999999999" customHeight="1">
      <c r="P526" s="163"/>
      <c r="Q526" s="163"/>
      <c r="R526" s="163"/>
      <c r="S526" s="163"/>
      <c r="T526" s="163"/>
      <c r="U526" s="163"/>
      <c r="V526" s="163"/>
      <c r="W526" s="163"/>
      <c r="X526" s="163"/>
      <c r="Y526" s="163"/>
      <c r="Z526" s="163"/>
    </row>
    <row r="527" spans="16:26" ht="10.199999999999999" customHeight="1">
      <c r="P527" s="163"/>
      <c r="Q527" s="163"/>
      <c r="R527" s="163"/>
      <c r="S527" s="163"/>
      <c r="T527" s="163"/>
      <c r="U527" s="163"/>
      <c r="V527" s="163"/>
      <c r="W527" s="163"/>
      <c r="X527" s="163"/>
      <c r="Y527" s="163"/>
      <c r="Z527" s="163"/>
    </row>
    <row r="528" spans="16:26" ht="10.199999999999999" customHeight="1">
      <c r="P528" s="163"/>
      <c r="Q528" s="163"/>
      <c r="R528" s="163"/>
      <c r="S528" s="163"/>
      <c r="T528" s="163"/>
      <c r="U528" s="163"/>
      <c r="V528" s="163"/>
      <c r="W528" s="163"/>
      <c r="X528" s="163"/>
      <c r="Y528" s="163"/>
      <c r="Z528" s="163"/>
    </row>
    <row r="529" spans="16:26" ht="10.199999999999999" customHeight="1">
      <c r="P529" s="163"/>
      <c r="Q529" s="163"/>
      <c r="R529" s="163"/>
      <c r="S529" s="163"/>
      <c r="T529" s="163"/>
      <c r="U529" s="163"/>
      <c r="V529" s="163"/>
      <c r="W529" s="163"/>
      <c r="X529" s="163"/>
      <c r="Y529" s="163"/>
      <c r="Z529" s="163"/>
    </row>
    <row r="530" spans="16:26" ht="10.199999999999999" customHeight="1">
      <c r="P530" s="163"/>
      <c r="Q530" s="163"/>
      <c r="R530" s="163"/>
      <c r="S530" s="163"/>
      <c r="T530" s="163"/>
      <c r="U530" s="163"/>
      <c r="V530" s="163"/>
      <c r="W530" s="163"/>
      <c r="X530" s="163"/>
      <c r="Y530" s="163"/>
      <c r="Z530" s="163"/>
    </row>
    <row r="531" spans="16:26" ht="10.199999999999999" customHeight="1">
      <c r="P531" s="163"/>
      <c r="Q531" s="163"/>
      <c r="R531" s="163"/>
      <c r="S531" s="163"/>
      <c r="T531" s="163"/>
      <c r="U531" s="163"/>
      <c r="V531" s="163"/>
      <c r="W531" s="163"/>
      <c r="X531" s="163"/>
      <c r="Y531" s="163"/>
      <c r="Z531" s="163"/>
    </row>
    <row r="532" spans="16:26" ht="10.199999999999999" customHeight="1">
      <c r="P532" s="163"/>
      <c r="Q532" s="163"/>
      <c r="R532" s="163"/>
      <c r="S532" s="163"/>
      <c r="T532" s="163"/>
      <c r="U532" s="163"/>
      <c r="V532" s="163"/>
      <c r="W532" s="163"/>
      <c r="X532" s="163"/>
      <c r="Y532" s="163"/>
      <c r="Z532" s="163"/>
    </row>
    <row r="533" spans="16:26" ht="10.199999999999999" customHeight="1">
      <c r="P533" s="163"/>
      <c r="Q533" s="163"/>
      <c r="R533" s="163"/>
      <c r="S533" s="163"/>
      <c r="T533" s="163"/>
      <c r="U533" s="163"/>
      <c r="V533" s="163"/>
      <c r="W533" s="163"/>
      <c r="X533" s="163"/>
      <c r="Y533" s="163"/>
      <c r="Z533" s="163"/>
    </row>
    <row r="534" spans="16:26" ht="10.199999999999999" customHeight="1">
      <c r="P534" s="163"/>
      <c r="Q534" s="163"/>
      <c r="R534" s="163"/>
      <c r="S534" s="163"/>
      <c r="T534" s="163"/>
      <c r="U534" s="163"/>
      <c r="V534" s="163"/>
      <c r="W534" s="163"/>
      <c r="X534" s="163"/>
      <c r="Y534" s="163"/>
      <c r="Z534" s="163"/>
    </row>
    <row r="535" spans="16:26" ht="10.199999999999999" customHeight="1">
      <c r="P535" s="163"/>
      <c r="Q535" s="163"/>
      <c r="R535" s="163"/>
      <c r="S535" s="163"/>
      <c r="T535" s="163"/>
      <c r="U535" s="163"/>
      <c r="V535" s="163"/>
      <c r="W535" s="163"/>
      <c r="X535" s="163"/>
      <c r="Y535" s="163"/>
      <c r="Z535" s="163"/>
    </row>
    <row r="536" spans="16:26" ht="10.199999999999999" customHeight="1">
      <c r="P536" s="163"/>
      <c r="Q536" s="163"/>
      <c r="R536" s="163"/>
      <c r="S536" s="163"/>
      <c r="T536" s="163"/>
      <c r="U536" s="163"/>
      <c r="V536" s="163"/>
      <c r="W536" s="163"/>
      <c r="X536" s="163"/>
      <c r="Y536" s="163"/>
      <c r="Z536" s="163"/>
    </row>
    <row r="537" spans="16:26" ht="10.199999999999999" customHeight="1">
      <c r="P537" s="163"/>
      <c r="Q537" s="163"/>
      <c r="R537" s="163"/>
      <c r="S537" s="163"/>
      <c r="T537" s="163"/>
      <c r="U537" s="163"/>
      <c r="V537" s="163"/>
      <c r="W537" s="163"/>
      <c r="X537" s="163"/>
      <c r="Y537" s="163"/>
      <c r="Z537" s="163"/>
    </row>
    <row r="538" spans="16:26" ht="10.199999999999999" customHeight="1">
      <c r="P538" s="163"/>
      <c r="Q538" s="163"/>
      <c r="R538" s="163"/>
      <c r="S538" s="163"/>
      <c r="T538" s="163"/>
      <c r="U538" s="163"/>
      <c r="V538" s="163"/>
      <c r="W538" s="163"/>
      <c r="X538" s="163"/>
      <c r="Y538" s="163"/>
      <c r="Z538" s="163"/>
    </row>
    <row r="539" spans="16:26" ht="10.199999999999999" customHeight="1">
      <c r="P539" s="163"/>
      <c r="Q539" s="163"/>
      <c r="R539" s="163"/>
      <c r="S539" s="163"/>
      <c r="T539" s="163"/>
      <c r="U539" s="163"/>
      <c r="V539" s="163"/>
      <c r="W539" s="163"/>
      <c r="X539" s="163"/>
      <c r="Y539" s="163"/>
      <c r="Z539" s="163"/>
    </row>
    <row r="540" spans="16:26" ht="10.199999999999999" customHeight="1">
      <c r="P540" s="163"/>
      <c r="Q540" s="163"/>
      <c r="R540" s="163"/>
      <c r="S540" s="163"/>
      <c r="T540" s="163"/>
      <c r="U540" s="163"/>
      <c r="V540" s="163"/>
      <c r="W540" s="163"/>
      <c r="X540" s="163"/>
      <c r="Y540" s="163"/>
      <c r="Z540" s="163"/>
    </row>
    <row r="541" spans="16:26" ht="10.199999999999999" customHeight="1">
      <c r="P541" s="163"/>
      <c r="Q541" s="163"/>
      <c r="R541" s="163"/>
      <c r="S541" s="163"/>
      <c r="T541" s="163"/>
      <c r="U541" s="163"/>
      <c r="V541" s="163"/>
      <c r="W541" s="163"/>
      <c r="X541" s="163"/>
      <c r="Y541" s="163"/>
      <c r="Z541" s="163"/>
    </row>
    <row r="542" spans="16:26" ht="10.199999999999999" customHeight="1">
      <c r="P542" s="163"/>
      <c r="Q542" s="163"/>
      <c r="R542" s="163"/>
      <c r="S542" s="163"/>
      <c r="T542" s="163"/>
      <c r="U542" s="163"/>
      <c r="V542" s="163"/>
      <c r="W542" s="163"/>
      <c r="X542" s="163"/>
      <c r="Y542" s="163"/>
      <c r="Z542" s="163"/>
    </row>
    <row r="543" spans="16:26" ht="10.199999999999999" customHeight="1">
      <c r="P543" s="163"/>
      <c r="Q543" s="163"/>
      <c r="R543" s="163"/>
      <c r="S543" s="163"/>
      <c r="T543" s="163"/>
      <c r="U543" s="163"/>
      <c r="V543" s="163"/>
      <c r="W543" s="163"/>
      <c r="X543" s="163"/>
      <c r="Y543" s="163"/>
      <c r="Z543" s="163"/>
    </row>
    <row r="544" spans="16:26" ht="10.199999999999999" customHeight="1">
      <c r="P544" s="163"/>
      <c r="Q544" s="163"/>
      <c r="R544" s="163"/>
      <c r="S544" s="163"/>
      <c r="T544" s="163"/>
      <c r="U544" s="163"/>
      <c r="V544" s="163"/>
      <c r="W544" s="163"/>
      <c r="X544" s="163"/>
      <c r="Y544" s="163"/>
      <c r="Z544" s="163"/>
    </row>
    <row r="545" spans="16:26" ht="10.199999999999999" customHeight="1">
      <c r="P545" s="163"/>
      <c r="Q545" s="163"/>
      <c r="R545" s="163"/>
      <c r="S545" s="163"/>
      <c r="T545" s="163"/>
      <c r="U545" s="163"/>
      <c r="V545" s="163"/>
      <c r="W545" s="163"/>
      <c r="X545" s="163"/>
      <c r="Y545" s="163"/>
      <c r="Z545" s="163"/>
    </row>
    <row r="546" spans="16:26" ht="10.199999999999999" customHeight="1">
      <c r="P546" s="163"/>
      <c r="Q546" s="163"/>
      <c r="R546" s="163"/>
      <c r="S546" s="163"/>
      <c r="T546" s="163"/>
      <c r="U546" s="163"/>
      <c r="V546" s="163"/>
      <c r="W546" s="163"/>
      <c r="X546" s="163"/>
      <c r="Y546" s="163"/>
      <c r="Z546" s="163"/>
    </row>
    <row r="547" spans="16:26" ht="10.199999999999999" customHeight="1">
      <c r="P547" s="163"/>
      <c r="Q547" s="163"/>
      <c r="R547" s="163"/>
      <c r="S547" s="163"/>
      <c r="T547" s="163"/>
      <c r="U547" s="163"/>
      <c r="V547" s="163"/>
      <c r="W547" s="163"/>
      <c r="X547" s="163"/>
      <c r="Y547" s="163"/>
      <c r="Z547" s="163"/>
    </row>
    <row r="548" spans="16:26" ht="10.199999999999999" customHeight="1">
      <c r="P548" s="163"/>
      <c r="Q548" s="163"/>
      <c r="R548" s="163"/>
      <c r="S548" s="163"/>
      <c r="T548" s="163"/>
      <c r="U548" s="163"/>
      <c r="V548" s="163"/>
      <c r="W548" s="163"/>
      <c r="X548" s="163"/>
      <c r="Y548" s="163"/>
      <c r="Z548" s="163"/>
    </row>
    <row r="549" spans="16:26" ht="10.199999999999999" customHeight="1">
      <c r="P549" s="163"/>
      <c r="Q549" s="163"/>
      <c r="R549" s="163"/>
      <c r="S549" s="163"/>
      <c r="T549" s="163"/>
      <c r="U549" s="163"/>
      <c r="V549" s="163"/>
      <c r="W549" s="163"/>
      <c r="X549" s="163"/>
      <c r="Y549" s="163"/>
      <c r="Z549" s="163"/>
    </row>
    <row r="550" spans="16:26" ht="10.199999999999999" customHeight="1">
      <c r="P550" s="163"/>
      <c r="Q550" s="163"/>
      <c r="R550" s="163"/>
      <c r="S550" s="163"/>
      <c r="T550" s="163"/>
      <c r="U550" s="163"/>
      <c r="V550" s="163"/>
      <c r="W550" s="163"/>
      <c r="X550" s="163"/>
      <c r="Y550" s="163"/>
      <c r="Z550" s="163"/>
    </row>
    <row r="551" spans="16:26" ht="10.199999999999999" customHeight="1">
      <c r="P551" s="163"/>
      <c r="Q551" s="163"/>
      <c r="R551" s="163"/>
      <c r="S551" s="163"/>
      <c r="T551" s="163"/>
      <c r="U551" s="163"/>
      <c r="V551" s="163"/>
      <c r="W551" s="163"/>
      <c r="X551" s="163"/>
      <c r="Y551" s="163"/>
      <c r="Z551" s="163"/>
    </row>
    <row r="552" spans="16:26" ht="10.199999999999999" customHeight="1">
      <c r="P552" s="163"/>
      <c r="Q552" s="163"/>
      <c r="R552" s="163"/>
      <c r="S552" s="163"/>
      <c r="T552" s="163"/>
      <c r="U552" s="163"/>
      <c r="V552" s="163"/>
      <c r="W552" s="163"/>
      <c r="X552" s="163"/>
      <c r="Y552" s="163"/>
      <c r="Z552" s="163"/>
    </row>
    <row r="553" spans="16:26" ht="10.199999999999999" customHeight="1">
      <c r="P553" s="163"/>
      <c r="Q553" s="163"/>
      <c r="R553" s="163"/>
      <c r="S553" s="163"/>
      <c r="T553" s="163"/>
      <c r="U553" s="163"/>
      <c r="V553" s="163"/>
      <c r="W553" s="163"/>
      <c r="X553" s="163"/>
      <c r="Y553" s="163"/>
      <c r="Z553" s="163"/>
    </row>
    <row r="554" spans="16:26" ht="10.199999999999999" customHeight="1">
      <c r="P554" s="163"/>
      <c r="Q554" s="163"/>
      <c r="R554" s="163"/>
      <c r="S554" s="163"/>
      <c r="T554" s="163"/>
      <c r="U554" s="163"/>
      <c r="V554" s="163"/>
      <c r="W554" s="163"/>
      <c r="X554" s="163"/>
      <c r="Y554" s="163"/>
      <c r="Z554" s="163"/>
    </row>
    <row r="555" spans="16:26" ht="10.199999999999999" customHeight="1">
      <c r="P555" s="163"/>
      <c r="Q555" s="163"/>
      <c r="R555" s="163"/>
      <c r="S555" s="163"/>
      <c r="T555" s="163"/>
      <c r="U555" s="163"/>
      <c r="V555" s="163"/>
      <c r="W555" s="163"/>
      <c r="X555" s="163"/>
      <c r="Y555" s="163"/>
      <c r="Z555" s="163"/>
    </row>
    <row r="556" spans="16:26" ht="10.199999999999999" customHeight="1">
      <c r="P556" s="163"/>
      <c r="Q556" s="163"/>
      <c r="R556" s="163"/>
      <c r="S556" s="163"/>
      <c r="T556" s="163"/>
      <c r="U556" s="163"/>
      <c r="V556" s="163"/>
      <c r="W556" s="163"/>
      <c r="X556" s="163"/>
      <c r="Y556" s="163"/>
      <c r="Z556" s="163"/>
    </row>
    <row r="557" spans="16:26" ht="10.199999999999999" customHeight="1">
      <c r="P557" s="163"/>
      <c r="Q557" s="163"/>
      <c r="R557" s="163"/>
      <c r="S557" s="163"/>
      <c r="T557" s="163"/>
      <c r="U557" s="163"/>
      <c r="V557" s="163"/>
      <c r="W557" s="163"/>
      <c r="X557" s="163"/>
      <c r="Y557" s="163"/>
      <c r="Z557" s="163"/>
    </row>
    <row r="558" spans="16:26" ht="10.199999999999999" customHeight="1">
      <c r="P558" s="163"/>
      <c r="Q558" s="163"/>
      <c r="R558" s="163"/>
      <c r="S558" s="163"/>
      <c r="T558" s="163"/>
      <c r="U558" s="163"/>
      <c r="V558" s="163"/>
      <c r="W558" s="163"/>
      <c r="X558" s="163"/>
      <c r="Y558" s="163"/>
      <c r="Z558" s="163"/>
    </row>
    <row r="559" spans="16:26" ht="10.199999999999999" customHeight="1">
      <c r="P559" s="163"/>
      <c r="Q559" s="163"/>
      <c r="R559" s="163"/>
      <c r="S559" s="163"/>
      <c r="T559" s="163"/>
      <c r="U559" s="163"/>
      <c r="V559" s="163"/>
      <c r="W559" s="163"/>
      <c r="X559" s="163"/>
      <c r="Y559" s="163"/>
      <c r="Z559" s="163"/>
    </row>
    <row r="560" spans="16:26" ht="10.199999999999999" customHeight="1">
      <c r="P560" s="163"/>
      <c r="Q560" s="163"/>
      <c r="R560" s="163"/>
      <c r="S560" s="163"/>
      <c r="T560" s="163"/>
      <c r="U560" s="163"/>
      <c r="V560" s="163"/>
      <c r="W560" s="163"/>
      <c r="X560" s="163"/>
      <c r="Y560" s="163"/>
      <c r="Z560" s="163"/>
    </row>
    <row r="561" spans="16:26" ht="10.199999999999999" customHeight="1">
      <c r="P561" s="163"/>
      <c r="Q561" s="163"/>
      <c r="R561" s="163"/>
      <c r="S561" s="163"/>
      <c r="T561" s="163"/>
      <c r="U561" s="163"/>
      <c r="V561" s="163"/>
      <c r="W561" s="163"/>
      <c r="X561" s="163"/>
      <c r="Y561" s="163"/>
      <c r="Z561" s="163"/>
    </row>
    <row r="562" spans="16:26" ht="10.199999999999999" customHeight="1">
      <c r="P562" s="163"/>
      <c r="Q562" s="163"/>
      <c r="R562" s="163"/>
      <c r="S562" s="163"/>
      <c r="T562" s="163"/>
      <c r="U562" s="163"/>
      <c r="V562" s="163"/>
      <c r="W562" s="163"/>
      <c r="X562" s="163"/>
      <c r="Y562" s="163"/>
      <c r="Z562" s="163"/>
    </row>
    <row r="563" spans="16:26" ht="10.199999999999999" customHeight="1">
      <c r="P563" s="163"/>
      <c r="Q563" s="163"/>
      <c r="R563" s="163"/>
      <c r="S563" s="163"/>
      <c r="T563" s="163"/>
      <c r="U563" s="163"/>
      <c r="V563" s="163"/>
      <c r="W563" s="163"/>
      <c r="X563" s="163"/>
      <c r="Y563" s="163"/>
      <c r="Z563" s="163"/>
    </row>
    <row r="564" spans="16:26" ht="10.199999999999999" customHeight="1">
      <c r="P564" s="163"/>
      <c r="Q564" s="163"/>
      <c r="R564" s="163"/>
      <c r="S564" s="163"/>
      <c r="T564" s="163"/>
      <c r="U564" s="163"/>
      <c r="V564" s="163"/>
      <c r="W564" s="163"/>
      <c r="X564" s="163"/>
      <c r="Y564" s="163"/>
      <c r="Z564" s="163"/>
    </row>
    <row r="565" spans="16:26" ht="10.199999999999999" customHeight="1">
      <c r="P565" s="163"/>
      <c r="Q565" s="163"/>
      <c r="R565" s="163"/>
      <c r="S565" s="163"/>
      <c r="T565" s="163"/>
      <c r="U565" s="163"/>
      <c r="V565" s="163"/>
      <c r="W565" s="163"/>
      <c r="X565" s="163"/>
      <c r="Y565" s="163"/>
      <c r="Z565" s="163"/>
    </row>
    <row r="566" spans="16:26" ht="10.199999999999999" customHeight="1">
      <c r="P566" s="163"/>
      <c r="Q566" s="163"/>
      <c r="R566" s="163"/>
      <c r="S566" s="163"/>
      <c r="T566" s="163"/>
      <c r="U566" s="163"/>
      <c r="V566" s="163"/>
      <c r="W566" s="163"/>
      <c r="X566" s="163"/>
      <c r="Y566" s="163"/>
      <c r="Z566" s="163"/>
    </row>
    <row r="567" spans="16:26" ht="10.199999999999999" customHeight="1">
      <c r="P567" s="163"/>
      <c r="Q567" s="163"/>
      <c r="R567" s="163"/>
      <c r="S567" s="163"/>
      <c r="T567" s="163"/>
      <c r="U567" s="163"/>
      <c r="V567" s="163"/>
      <c r="W567" s="163"/>
      <c r="X567" s="163"/>
      <c r="Y567" s="163"/>
      <c r="Z567" s="163"/>
    </row>
    <row r="568" spans="16:26" ht="10.199999999999999" customHeight="1">
      <c r="P568" s="163"/>
      <c r="Q568" s="163"/>
      <c r="R568" s="163"/>
      <c r="S568" s="163"/>
      <c r="T568" s="163"/>
      <c r="U568" s="163"/>
      <c r="V568" s="163"/>
      <c r="W568" s="163"/>
      <c r="X568" s="163"/>
      <c r="Y568" s="163"/>
      <c r="Z568" s="163"/>
    </row>
    <row r="569" spans="16:26" ht="10.199999999999999" customHeight="1">
      <c r="P569" s="163"/>
      <c r="Q569" s="163"/>
      <c r="R569" s="163"/>
      <c r="S569" s="163"/>
      <c r="T569" s="163"/>
      <c r="U569" s="163"/>
      <c r="V569" s="163"/>
      <c r="W569" s="163"/>
      <c r="X569" s="163"/>
      <c r="Y569" s="163"/>
      <c r="Z569" s="163"/>
    </row>
    <row r="570" spans="16:26" ht="10.199999999999999" customHeight="1">
      <c r="P570" s="163"/>
      <c r="Q570" s="163"/>
      <c r="R570" s="163"/>
      <c r="S570" s="163"/>
      <c r="T570" s="163"/>
      <c r="U570" s="163"/>
      <c r="V570" s="163"/>
      <c r="W570" s="163"/>
      <c r="X570" s="163"/>
      <c r="Y570" s="163"/>
      <c r="Z570" s="163"/>
    </row>
    <row r="571" spans="16:26" ht="10.199999999999999" customHeight="1">
      <c r="P571" s="163"/>
      <c r="Q571" s="163"/>
      <c r="R571" s="163"/>
      <c r="S571" s="163"/>
      <c r="T571" s="163"/>
      <c r="U571" s="163"/>
      <c r="V571" s="163"/>
      <c r="W571" s="163"/>
      <c r="X571" s="163"/>
      <c r="Y571" s="163"/>
      <c r="Z571" s="163"/>
    </row>
    <row r="572" spans="16:26" ht="10.199999999999999" customHeight="1">
      <c r="P572" s="163"/>
      <c r="Q572" s="163"/>
      <c r="R572" s="163"/>
      <c r="S572" s="163"/>
      <c r="T572" s="163"/>
      <c r="U572" s="163"/>
      <c r="V572" s="163"/>
      <c r="W572" s="163"/>
      <c r="X572" s="163"/>
      <c r="Y572" s="163"/>
      <c r="Z572" s="163"/>
    </row>
    <row r="573" spans="16:26" ht="10.199999999999999" customHeight="1">
      <c r="P573" s="163"/>
      <c r="Q573" s="163"/>
      <c r="R573" s="163"/>
      <c r="S573" s="163"/>
      <c r="T573" s="163"/>
      <c r="U573" s="163"/>
      <c r="V573" s="163"/>
      <c r="W573" s="163"/>
      <c r="X573" s="163"/>
      <c r="Y573" s="163"/>
      <c r="Z573" s="163"/>
    </row>
    <row r="574" spans="16:26" ht="10.199999999999999" customHeight="1">
      <c r="P574" s="163"/>
      <c r="Q574" s="163"/>
      <c r="R574" s="163"/>
      <c r="S574" s="163"/>
      <c r="T574" s="163"/>
      <c r="U574" s="163"/>
      <c r="V574" s="163"/>
      <c r="W574" s="163"/>
      <c r="X574" s="163"/>
      <c r="Y574" s="163"/>
      <c r="Z574" s="163"/>
    </row>
    <row r="575" spans="16:26" ht="10.199999999999999" customHeight="1">
      <c r="P575" s="163"/>
      <c r="Q575" s="163"/>
      <c r="R575" s="163"/>
      <c r="S575" s="163"/>
      <c r="T575" s="163"/>
      <c r="U575" s="163"/>
      <c r="V575" s="163"/>
      <c r="W575" s="163"/>
      <c r="X575" s="163"/>
      <c r="Y575" s="163"/>
      <c r="Z575" s="163"/>
    </row>
    <row r="576" spans="16:26" ht="10.199999999999999" customHeight="1">
      <c r="P576" s="163"/>
      <c r="Q576" s="163"/>
      <c r="R576" s="163"/>
      <c r="S576" s="163"/>
      <c r="T576" s="163"/>
      <c r="U576" s="163"/>
      <c r="V576" s="163"/>
      <c r="W576" s="163"/>
      <c r="X576" s="163"/>
      <c r="Y576" s="163"/>
      <c r="Z576" s="163"/>
    </row>
    <row r="577" spans="16:26" ht="10.199999999999999" customHeight="1">
      <c r="P577" s="163"/>
      <c r="Q577" s="163"/>
      <c r="R577" s="163"/>
      <c r="S577" s="163"/>
      <c r="T577" s="163"/>
      <c r="U577" s="163"/>
      <c r="V577" s="163"/>
      <c r="W577" s="163"/>
      <c r="X577" s="163"/>
      <c r="Y577" s="163"/>
      <c r="Z577" s="163"/>
    </row>
    <row r="578" spans="16:26" ht="10.199999999999999" customHeight="1">
      <c r="P578" s="163"/>
      <c r="Q578" s="163"/>
      <c r="R578" s="163"/>
      <c r="S578" s="163"/>
      <c r="T578" s="163"/>
      <c r="U578" s="163"/>
      <c r="V578" s="163"/>
      <c r="W578" s="163"/>
      <c r="X578" s="163"/>
      <c r="Y578" s="163"/>
      <c r="Z578" s="163"/>
    </row>
    <row r="579" spans="16:26" ht="10.199999999999999" customHeight="1">
      <c r="P579" s="163"/>
      <c r="Q579" s="163"/>
      <c r="R579" s="163"/>
      <c r="S579" s="163"/>
      <c r="T579" s="163"/>
      <c r="U579" s="163"/>
      <c r="V579" s="163"/>
      <c r="W579" s="163"/>
      <c r="X579" s="163"/>
      <c r="Y579" s="163"/>
      <c r="Z579" s="163"/>
    </row>
    <row r="580" spans="16:26" ht="10.199999999999999" customHeight="1">
      <c r="P580" s="163"/>
      <c r="Q580" s="163"/>
      <c r="R580" s="163"/>
      <c r="S580" s="163"/>
      <c r="T580" s="163"/>
      <c r="U580" s="163"/>
      <c r="V580" s="163"/>
      <c r="W580" s="163"/>
      <c r="X580" s="163"/>
      <c r="Y580" s="163"/>
      <c r="Z580" s="163"/>
    </row>
    <row r="581" spans="16:26" ht="10.199999999999999" customHeight="1">
      <c r="P581" s="163"/>
      <c r="Q581" s="163"/>
      <c r="R581" s="163"/>
      <c r="S581" s="163"/>
      <c r="T581" s="163"/>
      <c r="U581" s="163"/>
      <c r="V581" s="163"/>
      <c r="W581" s="163"/>
      <c r="X581" s="163"/>
      <c r="Y581" s="163"/>
      <c r="Z581" s="163"/>
    </row>
    <row r="582" spans="16:26" ht="10.199999999999999" customHeight="1">
      <c r="P582" s="163"/>
      <c r="Q582" s="163"/>
      <c r="R582" s="163"/>
      <c r="S582" s="163"/>
      <c r="T582" s="163"/>
      <c r="U582" s="163"/>
      <c r="V582" s="163"/>
      <c r="W582" s="163"/>
      <c r="X582" s="163"/>
      <c r="Y582" s="163"/>
      <c r="Z582" s="163"/>
    </row>
    <row r="583" spans="16:26" ht="10.199999999999999" customHeight="1">
      <c r="P583" s="163"/>
      <c r="Q583" s="163"/>
      <c r="R583" s="163"/>
      <c r="S583" s="163"/>
      <c r="T583" s="163"/>
      <c r="U583" s="163"/>
      <c r="V583" s="163"/>
      <c r="W583" s="163"/>
      <c r="X583" s="163"/>
      <c r="Y583" s="163"/>
      <c r="Z583" s="163"/>
    </row>
    <row r="584" spans="16:26" ht="10.199999999999999" customHeight="1">
      <c r="P584" s="163"/>
      <c r="Q584" s="163"/>
      <c r="R584" s="163"/>
      <c r="S584" s="163"/>
      <c r="T584" s="163"/>
      <c r="U584" s="163"/>
      <c r="V584" s="163"/>
      <c r="W584" s="163"/>
      <c r="X584" s="163"/>
      <c r="Y584" s="163"/>
      <c r="Z584" s="163"/>
    </row>
    <row r="585" spans="16:26" ht="10.199999999999999" customHeight="1">
      <c r="P585" s="163"/>
      <c r="Q585" s="163"/>
      <c r="R585" s="163"/>
      <c r="S585" s="163"/>
      <c r="T585" s="163"/>
      <c r="U585" s="163"/>
      <c r="V585" s="163"/>
      <c r="W585" s="163"/>
      <c r="X585" s="163"/>
      <c r="Y585" s="163"/>
      <c r="Z585" s="163"/>
    </row>
    <row r="586" spans="16:26" ht="10.199999999999999" customHeight="1">
      <c r="P586" s="163"/>
      <c r="Q586" s="163"/>
      <c r="R586" s="163"/>
      <c r="S586" s="163"/>
      <c r="T586" s="163"/>
      <c r="U586" s="163"/>
      <c r="V586" s="163"/>
      <c r="W586" s="163"/>
      <c r="X586" s="163"/>
      <c r="Y586" s="163"/>
      <c r="Z586" s="163"/>
    </row>
    <row r="587" spans="16:26" ht="10.199999999999999" customHeight="1">
      <c r="P587" s="163"/>
      <c r="Q587" s="163"/>
      <c r="R587" s="163"/>
      <c r="S587" s="163"/>
      <c r="T587" s="163"/>
      <c r="U587" s="163"/>
      <c r="V587" s="163"/>
      <c r="W587" s="163"/>
      <c r="X587" s="163"/>
      <c r="Y587" s="163"/>
      <c r="Z587" s="163"/>
    </row>
    <row r="588" spans="16:26" ht="10.199999999999999" customHeight="1">
      <c r="P588" s="163"/>
      <c r="Q588" s="163"/>
      <c r="R588" s="163"/>
      <c r="S588" s="163"/>
      <c r="T588" s="163"/>
      <c r="U588" s="163"/>
      <c r="V588" s="163"/>
      <c r="W588" s="163"/>
      <c r="X588" s="163"/>
      <c r="Y588" s="163"/>
      <c r="Z588" s="163"/>
    </row>
    <row r="589" spans="16:26" ht="10.199999999999999" customHeight="1">
      <c r="P589" s="163"/>
      <c r="Q589" s="163"/>
      <c r="R589" s="163"/>
      <c r="S589" s="163"/>
      <c r="T589" s="163"/>
      <c r="U589" s="163"/>
      <c r="V589" s="163"/>
      <c r="W589" s="163"/>
      <c r="X589" s="163"/>
      <c r="Y589" s="163"/>
      <c r="Z589" s="163"/>
    </row>
    <row r="590" spans="16:26" ht="10.199999999999999" customHeight="1">
      <c r="P590" s="163"/>
      <c r="Q590" s="163"/>
      <c r="R590" s="163"/>
      <c r="S590" s="163"/>
      <c r="T590" s="163"/>
      <c r="U590" s="163"/>
      <c r="V590" s="163"/>
      <c r="W590" s="163"/>
      <c r="X590" s="163"/>
      <c r="Y590" s="163"/>
      <c r="Z590" s="163"/>
    </row>
    <row r="591" spans="16:26" ht="10.199999999999999" customHeight="1">
      <c r="P591" s="163"/>
      <c r="Q591" s="163"/>
      <c r="R591" s="163"/>
      <c r="S591" s="163"/>
      <c r="T591" s="163"/>
      <c r="U591" s="163"/>
      <c r="V591" s="163"/>
      <c r="W591" s="163"/>
      <c r="X591" s="163"/>
      <c r="Y591" s="163"/>
      <c r="Z591" s="163"/>
    </row>
    <row r="592" spans="16:26" ht="10.199999999999999" customHeight="1">
      <c r="P592" s="163"/>
      <c r="Q592" s="163"/>
      <c r="R592" s="163"/>
      <c r="S592" s="163"/>
      <c r="T592" s="163"/>
      <c r="U592" s="163"/>
      <c r="V592" s="163"/>
      <c r="W592" s="163"/>
      <c r="X592" s="163"/>
      <c r="Y592" s="163"/>
      <c r="Z592" s="163"/>
    </row>
    <row r="593" spans="16:26" ht="10.199999999999999" customHeight="1">
      <c r="P593" s="163"/>
      <c r="Q593" s="163"/>
      <c r="R593" s="163"/>
      <c r="S593" s="163"/>
      <c r="T593" s="163"/>
      <c r="U593" s="163"/>
      <c r="V593" s="163"/>
      <c r="W593" s="163"/>
      <c r="X593" s="163"/>
      <c r="Y593" s="163"/>
      <c r="Z593" s="163"/>
    </row>
    <row r="594" spans="16:26" ht="10.199999999999999" customHeight="1">
      <c r="P594" s="163"/>
      <c r="Q594" s="163"/>
      <c r="R594" s="163"/>
      <c r="S594" s="163"/>
      <c r="T594" s="163"/>
      <c r="U594" s="163"/>
      <c r="V594" s="163"/>
      <c r="W594" s="163"/>
      <c r="X594" s="163"/>
      <c r="Y594" s="163"/>
      <c r="Z594" s="163"/>
    </row>
    <row r="595" spans="16:26" ht="10.199999999999999" customHeight="1">
      <c r="P595" s="163"/>
      <c r="Q595" s="163"/>
      <c r="R595" s="163"/>
      <c r="S595" s="163"/>
      <c r="T595" s="163"/>
      <c r="U595" s="163"/>
      <c r="V595" s="163"/>
      <c r="W595" s="163"/>
      <c r="X595" s="163"/>
      <c r="Y595" s="163"/>
      <c r="Z595" s="163"/>
    </row>
    <row r="596" spans="16:26" ht="10.199999999999999" customHeight="1">
      <c r="P596" s="163"/>
      <c r="Q596" s="163"/>
      <c r="R596" s="163"/>
      <c r="S596" s="163"/>
      <c r="T596" s="163"/>
      <c r="U596" s="163"/>
      <c r="V596" s="163"/>
      <c r="W596" s="163"/>
      <c r="X596" s="163"/>
      <c r="Y596" s="163"/>
      <c r="Z596" s="163"/>
    </row>
    <row r="597" spans="16:26" ht="10.199999999999999" customHeight="1">
      <c r="P597" s="163"/>
      <c r="Q597" s="163"/>
      <c r="R597" s="163"/>
      <c r="S597" s="163"/>
      <c r="T597" s="163"/>
      <c r="U597" s="163"/>
      <c r="V597" s="163"/>
      <c r="W597" s="163"/>
      <c r="X597" s="163"/>
      <c r="Y597" s="163"/>
      <c r="Z597" s="163"/>
    </row>
    <row r="598" spans="16:26" ht="10.199999999999999" customHeight="1">
      <c r="P598" s="163"/>
      <c r="Q598" s="163"/>
      <c r="R598" s="163"/>
      <c r="S598" s="163"/>
      <c r="T598" s="163"/>
      <c r="U598" s="163"/>
      <c r="V598" s="163"/>
      <c r="W598" s="163"/>
      <c r="X598" s="163"/>
      <c r="Y598" s="163"/>
      <c r="Z598" s="163"/>
    </row>
    <row r="599" spans="16:26" ht="10.199999999999999" customHeight="1">
      <c r="P599" s="163"/>
      <c r="Q599" s="163"/>
      <c r="R599" s="163"/>
      <c r="S599" s="163"/>
      <c r="T599" s="163"/>
      <c r="U599" s="163"/>
      <c r="V599" s="163"/>
      <c r="W599" s="163"/>
      <c r="X599" s="163"/>
      <c r="Y599" s="163"/>
      <c r="Z599" s="163"/>
    </row>
    <row r="600" spans="16:26" ht="10.199999999999999" customHeight="1">
      <c r="P600" s="163"/>
      <c r="Q600" s="163"/>
      <c r="R600" s="163"/>
      <c r="S600" s="163"/>
      <c r="T600" s="163"/>
      <c r="U600" s="163"/>
      <c r="V600" s="163"/>
      <c r="W600" s="163"/>
      <c r="X600" s="163"/>
      <c r="Y600" s="163"/>
      <c r="Z600" s="163"/>
    </row>
    <row r="601" spans="16:26" ht="10.199999999999999" customHeight="1">
      <c r="P601" s="163"/>
      <c r="Q601" s="163"/>
      <c r="R601" s="163"/>
      <c r="S601" s="163"/>
      <c r="T601" s="163"/>
      <c r="U601" s="163"/>
      <c r="V601" s="163"/>
      <c r="W601" s="163"/>
      <c r="X601" s="163"/>
      <c r="Y601" s="163"/>
      <c r="Z601" s="163"/>
    </row>
    <row r="602" spans="16:26" ht="10.199999999999999" customHeight="1">
      <c r="P602" s="163"/>
      <c r="Q602" s="163"/>
      <c r="R602" s="163"/>
      <c r="S602" s="163"/>
      <c r="T602" s="163"/>
      <c r="U602" s="163"/>
      <c r="V602" s="163"/>
      <c r="W602" s="163"/>
      <c r="X602" s="163"/>
      <c r="Y602" s="163"/>
      <c r="Z602" s="163"/>
    </row>
    <row r="603" spans="16:26" ht="10.199999999999999" customHeight="1">
      <c r="P603" s="163"/>
      <c r="Q603" s="163"/>
      <c r="R603" s="163"/>
      <c r="S603" s="163"/>
      <c r="T603" s="163"/>
      <c r="U603" s="163"/>
      <c r="V603" s="163"/>
      <c r="W603" s="163"/>
      <c r="X603" s="163"/>
      <c r="Y603" s="163"/>
      <c r="Z603" s="163"/>
    </row>
    <row r="604" spans="16:26" ht="10.199999999999999" customHeight="1">
      <c r="P604" s="163"/>
      <c r="Q604" s="163"/>
      <c r="R604" s="163"/>
      <c r="S604" s="163"/>
      <c r="T604" s="163"/>
      <c r="U604" s="163"/>
      <c r="V604" s="163"/>
      <c r="W604" s="163"/>
      <c r="X604" s="163"/>
      <c r="Y604" s="163"/>
      <c r="Z604" s="163"/>
    </row>
    <row r="605" spans="16:26" ht="10.199999999999999" customHeight="1">
      <c r="P605" s="163"/>
      <c r="Q605" s="163"/>
      <c r="R605" s="163"/>
      <c r="S605" s="163"/>
      <c r="T605" s="163"/>
      <c r="U605" s="163"/>
      <c r="V605" s="163"/>
      <c r="W605" s="163"/>
      <c r="X605" s="163"/>
      <c r="Y605" s="163"/>
      <c r="Z605" s="163"/>
    </row>
    <row r="606" spans="16:26" ht="10.199999999999999" customHeight="1">
      <c r="P606" s="163"/>
      <c r="Q606" s="163"/>
      <c r="R606" s="163"/>
      <c r="S606" s="163"/>
      <c r="T606" s="163"/>
      <c r="U606" s="163"/>
      <c r="V606" s="163"/>
      <c r="W606" s="163"/>
      <c r="X606" s="163"/>
      <c r="Y606" s="163"/>
      <c r="Z606" s="163"/>
    </row>
    <row r="607" spans="16:26" ht="10.199999999999999" customHeight="1">
      <c r="P607" s="163"/>
      <c r="Q607" s="163"/>
      <c r="R607" s="163"/>
      <c r="S607" s="163"/>
      <c r="T607" s="163"/>
      <c r="U607" s="163"/>
      <c r="V607" s="163"/>
      <c r="W607" s="163"/>
      <c r="X607" s="163"/>
      <c r="Y607" s="163"/>
      <c r="Z607" s="163"/>
    </row>
    <row r="608" spans="16:26" ht="10.199999999999999" customHeight="1">
      <c r="P608" s="163"/>
      <c r="Q608" s="163"/>
      <c r="R608" s="163"/>
      <c r="S608" s="163"/>
      <c r="T608" s="163"/>
      <c r="U608" s="163"/>
      <c r="V608" s="163"/>
      <c r="W608" s="163"/>
      <c r="X608" s="163"/>
      <c r="Y608" s="163"/>
      <c r="Z608" s="163"/>
    </row>
    <row r="609" spans="16:26" ht="10.199999999999999" customHeight="1">
      <c r="P609" s="163"/>
      <c r="Q609" s="163"/>
      <c r="R609" s="163"/>
      <c r="S609" s="163"/>
      <c r="T609" s="163"/>
      <c r="U609" s="163"/>
      <c r="V609" s="163"/>
      <c r="W609" s="163"/>
      <c r="X609" s="163"/>
      <c r="Y609" s="163"/>
      <c r="Z609" s="163"/>
    </row>
    <row r="610" spans="16:26" ht="10.199999999999999" customHeight="1">
      <c r="P610" s="163"/>
      <c r="Q610" s="163"/>
      <c r="R610" s="163"/>
      <c r="S610" s="163"/>
      <c r="T610" s="163"/>
      <c r="U610" s="163"/>
      <c r="V610" s="163"/>
      <c r="W610" s="163"/>
      <c r="X610" s="163"/>
      <c r="Y610" s="163"/>
      <c r="Z610" s="163"/>
    </row>
    <row r="611" spans="16:26" ht="10.199999999999999" customHeight="1">
      <c r="P611" s="163"/>
      <c r="Q611" s="163"/>
      <c r="R611" s="163"/>
      <c r="S611" s="163"/>
      <c r="T611" s="163"/>
      <c r="U611" s="163"/>
      <c r="V611" s="163"/>
      <c r="W611" s="163"/>
      <c r="X611" s="163"/>
      <c r="Y611" s="163"/>
      <c r="Z611" s="163"/>
    </row>
    <row r="612" spans="16:26" ht="10.199999999999999" customHeight="1">
      <c r="P612" s="163"/>
      <c r="Q612" s="163"/>
      <c r="R612" s="163"/>
      <c r="S612" s="163"/>
      <c r="T612" s="163"/>
      <c r="U612" s="163"/>
      <c r="V612" s="163"/>
      <c r="W612" s="163"/>
      <c r="X612" s="163"/>
      <c r="Y612" s="163"/>
      <c r="Z612" s="163"/>
    </row>
    <row r="613" spans="16:26" ht="10.199999999999999" customHeight="1">
      <c r="P613" s="163"/>
      <c r="Q613" s="163"/>
      <c r="R613" s="163"/>
      <c r="S613" s="163"/>
      <c r="T613" s="163"/>
      <c r="U613" s="163"/>
      <c r="V613" s="163"/>
      <c r="W613" s="163"/>
      <c r="X613" s="163"/>
      <c r="Y613" s="163"/>
      <c r="Z613" s="163"/>
    </row>
    <row r="614" spans="16:26" ht="10.199999999999999" customHeight="1">
      <c r="P614" s="163"/>
      <c r="Q614" s="163"/>
      <c r="R614" s="163"/>
      <c r="S614" s="163"/>
      <c r="T614" s="163"/>
      <c r="U614" s="163"/>
      <c r="V614" s="163"/>
      <c r="W614" s="163"/>
      <c r="X614" s="163"/>
      <c r="Y614" s="163"/>
      <c r="Z614" s="163"/>
    </row>
    <row r="615" spans="16:26" ht="10.199999999999999" customHeight="1">
      <c r="P615" s="163"/>
      <c r="Q615" s="163"/>
      <c r="R615" s="163"/>
      <c r="S615" s="163"/>
      <c r="T615" s="163"/>
      <c r="U615" s="163"/>
      <c r="V615" s="163"/>
      <c r="W615" s="163"/>
      <c r="X615" s="163"/>
      <c r="Y615" s="163"/>
      <c r="Z615" s="163"/>
    </row>
    <row r="616" spans="16:26" ht="10.199999999999999" customHeight="1">
      <c r="P616" s="163"/>
      <c r="Q616" s="163"/>
      <c r="R616" s="163"/>
      <c r="S616" s="163"/>
      <c r="T616" s="163"/>
      <c r="U616" s="163"/>
      <c r="V616" s="163"/>
      <c r="W616" s="163"/>
      <c r="X616" s="163"/>
      <c r="Y616" s="163"/>
      <c r="Z616" s="163"/>
    </row>
    <row r="617" spans="16:26" ht="10.199999999999999" customHeight="1">
      <c r="P617" s="163"/>
      <c r="Q617" s="163"/>
      <c r="R617" s="163"/>
      <c r="S617" s="163"/>
      <c r="T617" s="163"/>
      <c r="U617" s="163"/>
      <c r="V617" s="163"/>
      <c r="W617" s="163"/>
      <c r="X617" s="163"/>
      <c r="Y617" s="163"/>
      <c r="Z617" s="163"/>
    </row>
    <row r="618" spans="16:26" ht="10.199999999999999" customHeight="1">
      <c r="P618" s="163"/>
      <c r="Q618" s="163"/>
      <c r="R618" s="163"/>
      <c r="S618" s="163"/>
      <c r="T618" s="163"/>
      <c r="U618" s="163"/>
      <c r="V618" s="163"/>
      <c r="W618" s="163"/>
      <c r="X618" s="163"/>
      <c r="Y618" s="163"/>
      <c r="Z618" s="163"/>
    </row>
    <row r="619" spans="16:26" ht="10.199999999999999" customHeight="1">
      <c r="P619" s="163"/>
      <c r="Q619" s="163"/>
      <c r="R619" s="163"/>
      <c r="S619" s="163"/>
      <c r="T619" s="163"/>
      <c r="U619" s="163"/>
      <c r="V619" s="163"/>
      <c r="W619" s="163"/>
      <c r="X619" s="163"/>
      <c r="Y619" s="163"/>
      <c r="Z619" s="163"/>
    </row>
    <row r="620" spans="16:26" ht="10.199999999999999" customHeight="1">
      <c r="P620" s="163"/>
      <c r="Q620" s="163"/>
      <c r="R620" s="163"/>
      <c r="S620" s="163"/>
      <c r="T620" s="163"/>
      <c r="U620" s="163"/>
      <c r="V620" s="163"/>
      <c r="W620" s="163"/>
      <c r="X620" s="163"/>
      <c r="Y620" s="163"/>
      <c r="Z620" s="163"/>
    </row>
    <row r="621" spans="16:26" ht="10.199999999999999" customHeight="1">
      <c r="P621" s="163"/>
      <c r="Q621" s="163"/>
      <c r="R621" s="163"/>
      <c r="S621" s="163"/>
      <c r="T621" s="163"/>
      <c r="U621" s="163"/>
      <c r="V621" s="163"/>
      <c r="W621" s="163"/>
      <c r="X621" s="163"/>
      <c r="Y621" s="163"/>
      <c r="Z621" s="163"/>
    </row>
    <row r="622" spans="16:26" ht="10.199999999999999" customHeight="1">
      <c r="P622" s="163"/>
      <c r="Q622" s="163"/>
      <c r="R622" s="163"/>
      <c r="S622" s="163"/>
      <c r="T622" s="163"/>
      <c r="U622" s="163"/>
      <c r="V622" s="163"/>
      <c r="W622" s="163"/>
      <c r="X622" s="163"/>
      <c r="Y622" s="163"/>
      <c r="Z622" s="163"/>
    </row>
    <row r="623" spans="16:26" ht="10.199999999999999" customHeight="1">
      <c r="P623" s="163"/>
      <c r="Q623" s="163"/>
      <c r="R623" s="163"/>
      <c r="S623" s="163"/>
      <c r="T623" s="163"/>
      <c r="U623" s="163"/>
      <c r="V623" s="163"/>
      <c r="W623" s="163"/>
      <c r="X623" s="163"/>
      <c r="Y623" s="163"/>
      <c r="Z623" s="163"/>
    </row>
    <row r="624" spans="16:26" ht="10.199999999999999" customHeight="1">
      <c r="P624" s="163"/>
      <c r="Q624" s="163"/>
      <c r="R624" s="163"/>
      <c r="S624" s="163"/>
      <c r="T624" s="163"/>
      <c r="U624" s="163"/>
      <c r="V624" s="163"/>
      <c r="W624" s="163"/>
      <c r="X624" s="163"/>
      <c r="Y624" s="163"/>
      <c r="Z624" s="163"/>
    </row>
    <row r="625" spans="16:26" ht="10.199999999999999" customHeight="1">
      <c r="P625" s="163"/>
      <c r="Q625" s="163"/>
      <c r="R625" s="163"/>
      <c r="S625" s="163"/>
      <c r="T625" s="163"/>
      <c r="U625" s="163"/>
      <c r="V625" s="163"/>
      <c r="W625" s="163"/>
      <c r="X625" s="163"/>
      <c r="Y625" s="163"/>
      <c r="Z625" s="163"/>
    </row>
    <row r="626" spans="16:26" ht="10.199999999999999" customHeight="1">
      <c r="P626" s="163"/>
      <c r="Q626" s="163"/>
      <c r="R626" s="163"/>
      <c r="S626" s="163"/>
      <c r="T626" s="163"/>
      <c r="U626" s="163"/>
      <c r="V626" s="163"/>
      <c r="W626" s="163"/>
      <c r="X626" s="163"/>
      <c r="Y626" s="163"/>
      <c r="Z626" s="163"/>
    </row>
    <row r="627" spans="16:26" ht="10.199999999999999" customHeight="1">
      <c r="P627" s="163"/>
      <c r="Q627" s="163"/>
      <c r="R627" s="163"/>
      <c r="S627" s="163"/>
      <c r="T627" s="163"/>
      <c r="U627" s="163"/>
      <c r="V627" s="163"/>
      <c r="W627" s="163"/>
      <c r="X627" s="163"/>
      <c r="Y627" s="163"/>
      <c r="Z627" s="163"/>
    </row>
    <row r="628" spans="16:26" ht="10.199999999999999" customHeight="1">
      <c r="P628" s="163"/>
      <c r="Q628" s="163"/>
      <c r="R628" s="163"/>
      <c r="S628" s="163"/>
      <c r="T628" s="163"/>
      <c r="U628" s="163"/>
      <c r="V628" s="163"/>
      <c r="W628" s="163"/>
      <c r="X628" s="163"/>
      <c r="Y628" s="163"/>
      <c r="Z628" s="163"/>
    </row>
    <row r="629" spans="16:26" ht="10.199999999999999" customHeight="1">
      <c r="P629" s="163"/>
      <c r="Q629" s="163"/>
      <c r="R629" s="163"/>
      <c r="S629" s="163"/>
      <c r="T629" s="163"/>
      <c r="U629" s="163"/>
      <c r="V629" s="163"/>
      <c r="W629" s="163"/>
      <c r="X629" s="163"/>
      <c r="Y629" s="163"/>
      <c r="Z629" s="163"/>
    </row>
    <row r="630" spans="16:26" ht="10.199999999999999" customHeight="1">
      <c r="P630" s="163"/>
      <c r="Q630" s="163"/>
      <c r="R630" s="163"/>
      <c r="S630" s="163"/>
      <c r="T630" s="163"/>
      <c r="U630" s="163"/>
      <c r="V630" s="163"/>
      <c r="W630" s="163"/>
      <c r="X630" s="163"/>
      <c r="Y630" s="163"/>
      <c r="Z630" s="163"/>
    </row>
    <row r="631" spans="16:26" ht="10.199999999999999" customHeight="1">
      <c r="P631" s="163"/>
      <c r="Q631" s="163"/>
      <c r="R631" s="163"/>
      <c r="S631" s="163"/>
      <c r="T631" s="163"/>
      <c r="U631" s="163"/>
      <c r="V631" s="163"/>
      <c r="W631" s="163"/>
      <c r="X631" s="163"/>
      <c r="Y631" s="163"/>
      <c r="Z631" s="163"/>
    </row>
    <row r="632" spans="16:26" ht="10.199999999999999" customHeight="1">
      <c r="P632" s="163"/>
      <c r="Q632" s="163"/>
      <c r="R632" s="163"/>
      <c r="S632" s="163"/>
      <c r="T632" s="163"/>
      <c r="U632" s="163"/>
      <c r="V632" s="163"/>
      <c r="W632" s="163"/>
      <c r="X632" s="163"/>
      <c r="Y632" s="163"/>
      <c r="Z632" s="163"/>
    </row>
    <row r="633" spans="16:26" ht="10.199999999999999" customHeight="1">
      <c r="P633" s="163"/>
      <c r="Q633" s="163"/>
      <c r="R633" s="163"/>
      <c r="S633" s="163"/>
      <c r="T633" s="163"/>
      <c r="U633" s="163"/>
      <c r="V633" s="163"/>
      <c r="W633" s="163"/>
      <c r="X633" s="163"/>
      <c r="Y633" s="163"/>
      <c r="Z633" s="163"/>
    </row>
    <row r="634" spans="16:26" ht="10.199999999999999" customHeight="1">
      <c r="P634" s="163"/>
      <c r="Q634" s="163"/>
      <c r="R634" s="163"/>
      <c r="S634" s="163"/>
      <c r="T634" s="163"/>
      <c r="U634" s="163"/>
      <c r="V634" s="163"/>
      <c r="W634" s="163"/>
      <c r="X634" s="163"/>
      <c r="Y634" s="163"/>
      <c r="Z634" s="163"/>
    </row>
    <row r="635" spans="16:26" ht="10.199999999999999" customHeight="1">
      <c r="P635" s="163"/>
      <c r="Q635" s="163"/>
      <c r="R635" s="163"/>
      <c r="S635" s="163"/>
      <c r="T635" s="163"/>
      <c r="U635" s="163"/>
      <c r="V635" s="163"/>
      <c r="W635" s="163"/>
      <c r="X635" s="163"/>
      <c r="Y635" s="163"/>
      <c r="Z635" s="163"/>
    </row>
    <row r="636" spans="16:26" ht="10.199999999999999" customHeight="1">
      <c r="P636" s="163"/>
      <c r="Q636" s="163"/>
      <c r="R636" s="163"/>
      <c r="S636" s="163"/>
      <c r="T636" s="163"/>
      <c r="U636" s="163"/>
      <c r="V636" s="163"/>
      <c r="W636" s="163"/>
      <c r="X636" s="163"/>
      <c r="Y636" s="163"/>
      <c r="Z636" s="163"/>
    </row>
    <row r="637" spans="16:26" ht="10.199999999999999" customHeight="1">
      <c r="P637" s="163"/>
      <c r="Q637" s="163"/>
      <c r="R637" s="163"/>
      <c r="S637" s="163"/>
      <c r="T637" s="163"/>
      <c r="U637" s="163"/>
      <c r="V637" s="163"/>
      <c r="W637" s="163"/>
      <c r="X637" s="163"/>
      <c r="Y637" s="163"/>
      <c r="Z637" s="163"/>
    </row>
    <row r="638" spans="16:26" ht="10.199999999999999" customHeight="1">
      <c r="P638" s="163"/>
      <c r="Q638" s="163"/>
      <c r="R638" s="163"/>
      <c r="S638" s="163"/>
      <c r="T638" s="163"/>
      <c r="U638" s="163"/>
      <c r="V638" s="163"/>
      <c r="W638" s="163"/>
      <c r="X638" s="163"/>
      <c r="Y638" s="163"/>
      <c r="Z638" s="163"/>
    </row>
    <row r="639" spans="16:26" ht="10.199999999999999" customHeight="1">
      <c r="P639" s="163"/>
      <c r="Q639" s="163"/>
      <c r="R639" s="163"/>
      <c r="S639" s="163"/>
      <c r="T639" s="163"/>
      <c r="U639" s="163"/>
      <c r="V639" s="163"/>
      <c r="W639" s="163"/>
      <c r="X639" s="163"/>
      <c r="Y639" s="163"/>
      <c r="Z639" s="163"/>
    </row>
    <row r="640" spans="16:26" ht="10.199999999999999" customHeight="1">
      <c r="P640" s="163"/>
      <c r="Q640" s="163"/>
      <c r="R640" s="163"/>
      <c r="S640" s="163"/>
      <c r="T640" s="163"/>
      <c r="U640" s="163"/>
      <c r="V640" s="163"/>
      <c r="W640" s="163"/>
      <c r="X640" s="163"/>
      <c r="Y640" s="163"/>
      <c r="Z640" s="163"/>
    </row>
    <row r="641" spans="16:26" ht="10.199999999999999" customHeight="1">
      <c r="P641" s="163"/>
      <c r="Q641" s="163"/>
      <c r="R641" s="163"/>
      <c r="S641" s="163"/>
      <c r="T641" s="163"/>
      <c r="U641" s="163"/>
      <c r="V641" s="163"/>
      <c r="W641" s="163"/>
      <c r="X641" s="163"/>
      <c r="Y641" s="163"/>
      <c r="Z641" s="163"/>
    </row>
    <row r="642" spans="16:26" ht="10.199999999999999" customHeight="1">
      <c r="P642" s="163"/>
      <c r="Q642" s="163"/>
      <c r="R642" s="163"/>
      <c r="S642" s="163"/>
      <c r="T642" s="163"/>
      <c r="U642" s="163"/>
      <c r="V642" s="163"/>
      <c r="W642" s="163"/>
      <c r="X642" s="163"/>
      <c r="Y642" s="163"/>
      <c r="Z642" s="163"/>
    </row>
    <row r="643" spans="16:26" ht="10.199999999999999" customHeight="1">
      <c r="P643" s="163"/>
      <c r="Q643" s="163"/>
      <c r="R643" s="163"/>
      <c r="S643" s="163"/>
      <c r="T643" s="163"/>
      <c r="U643" s="163"/>
      <c r="V643" s="163"/>
      <c r="W643" s="163"/>
      <c r="X643" s="163"/>
      <c r="Y643" s="163"/>
      <c r="Z643" s="163"/>
    </row>
    <row r="644" spans="16:26" ht="10.199999999999999" customHeight="1">
      <c r="P644" s="163"/>
      <c r="Q644" s="163"/>
      <c r="R644" s="163"/>
      <c r="S644" s="163"/>
      <c r="T644" s="163"/>
      <c r="U644" s="163"/>
      <c r="V644" s="163"/>
      <c r="W644" s="163"/>
      <c r="X644" s="163"/>
      <c r="Y644" s="163"/>
      <c r="Z644" s="163"/>
    </row>
    <row r="645" spans="16:26" ht="10.199999999999999" customHeight="1">
      <c r="P645" s="163"/>
      <c r="Q645" s="163"/>
      <c r="R645" s="163"/>
      <c r="S645" s="163"/>
      <c r="T645" s="163"/>
      <c r="U645" s="163"/>
      <c r="V645" s="163"/>
      <c r="W645" s="163"/>
      <c r="X645" s="163"/>
      <c r="Y645" s="163"/>
      <c r="Z645" s="163"/>
    </row>
    <row r="646" spans="16:26" ht="10.199999999999999" customHeight="1">
      <c r="P646" s="163"/>
      <c r="Q646" s="163"/>
      <c r="R646" s="163"/>
      <c r="S646" s="163"/>
      <c r="T646" s="163"/>
      <c r="U646" s="163"/>
      <c r="V646" s="163"/>
      <c r="W646" s="163"/>
      <c r="X646" s="163"/>
      <c r="Y646" s="163"/>
      <c r="Z646" s="163"/>
    </row>
    <row r="647" spans="16:26" ht="10.199999999999999" customHeight="1">
      <c r="P647" s="163"/>
      <c r="Q647" s="163"/>
      <c r="R647" s="163"/>
      <c r="S647" s="163"/>
      <c r="T647" s="163"/>
      <c r="U647" s="163"/>
      <c r="V647" s="163"/>
      <c r="W647" s="163"/>
      <c r="X647" s="163"/>
      <c r="Y647" s="163"/>
      <c r="Z647" s="163"/>
    </row>
    <row r="648" spans="16:26" ht="10.199999999999999" customHeight="1">
      <c r="P648" s="163"/>
      <c r="Q648" s="163"/>
      <c r="R648" s="163"/>
      <c r="S648" s="163"/>
      <c r="T648" s="163"/>
      <c r="U648" s="163"/>
      <c r="V648" s="163"/>
      <c r="W648" s="163"/>
      <c r="X648" s="163"/>
      <c r="Y648" s="163"/>
      <c r="Z648" s="163"/>
    </row>
    <row r="649" spans="16:26" ht="10.199999999999999" customHeight="1">
      <c r="P649" s="163"/>
      <c r="Q649" s="163"/>
      <c r="R649" s="163"/>
      <c r="S649" s="163"/>
      <c r="T649" s="163"/>
      <c r="U649" s="163"/>
      <c r="V649" s="163"/>
      <c r="W649" s="163"/>
      <c r="X649" s="163"/>
      <c r="Y649" s="163"/>
      <c r="Z649" s="163"/>
    </row>
    <row r="650" spans="16:26" ht="10.199999999999999" customHeight="1">
      <c r="P650" s="163"/>
      <c r="Q650" s="163"/>
      <c r="R650" s="163"/>
      <c r="S650" s="163"/>
      <c r="T650" s="163"/>
      <c r="U650" s="163"/>
      <c r="V650" s="163"/>
      <c r="W650" s="163"/>
      <c r="X650" s="163"/>
      <c r="Y650" s="163"/>
      <c r="Z650" s="163"/>
    </row>
    <row r="651" spans="16:26" ht="10.199999999999999" customHeight="1">
      <c r="P651" s="163"/>
      <c r="Q651" s="163"/>
      <c r="R651" s="163"/>
      <c r="S651" s="163"/>
      <c r="T651" s="163"/>
      <c r="U651" s="163"/>
      <c r="V651" s="163"/>
      <c r="W651" s="163"/>
      <c r="X651" s="163"/>
      <c r="Y651" s="163"/>
      <c r="Z651" s="163"/>
    </row>
    <row r="652" spans="16:26" ht="10.199999999999999" customHeight="1">
      <c r="P652" s="163"/>
      <c r="Q652" s="163"/>
      <c r="R652" s="163"/>
      <c r="S652" s="163"/>
      <c r="T652" s="163"/>
      <c r="U652" s="163"/>
      <c r="V652" s="163"/>
      <c r="W652" s="163"/>
      <c r="X652" s="163"/>
      <c r="Y652" s="163"/>
      <c r="Z652" s="163"/>
    </row>
    <row r="653" spans="16:26" ht="10.199999999999999" customHeight="1">
      <c r="P653" s="163"/>
      <c r="Q653" s="163"/>
      <c r="R653" s="163"/>
      <c r="S653" s="163"/>
      <c r="T653" s="163"/>
      <c r="U653" s="163"/>
      <c r="V653" s="163"/>
      <c r="W653" s="163"/>
      <c r="X653" s="163"/>
      <c r="Y653" s="163"/>
      <c r="Z653" s="163"/>
    </row>
    <row r="654" spans="16:26" ht="10.199999999999999" customHeight="1">
      <c r="P654" s="163"/>
      <c r="Q654" s="163"/>
      <c r="R654" s="163"/>
      <c r="S654" s="163"/>
      <c r="T654" s="163"/>
      <c r="U654" s="163"/>
      <c r="V654" s="163"/>
      <c r="W654" s="163"/>
      <c r="X654" s="163"/>
      <c r="Y654" s="163"/>
      <c r="Z654" s="163"/>
    </row>
    <row r="655" spans="16:26" ht="10.199999999999999" customHeight="1">
      <c r="P655" s="163"/>
      <c r="Q655" s="163"/>
      <c r="R655" s="163"/>
      <c r="S655" s="163"/>
      <c r="T655" s="163"/>
      <c r="U655" s="163"/>
      <c r="V655" s="163"/>
      <c r="W655" s="163"/>
      <c r="X655" s="163"/>
      <c r="Y655" s="163"/>
      <c r="Z655" s="163"/>
    </row>
    <row r="656" spans="16:26" ht="10.199999999999999" customHeight="1">
      <c r="P656" s="163"/>
      <c r="Q656" s="163"/>
      <c r="R656" s="163"/>
      <c r="S656" s="163"/>
      <c r="T656" s="163"/>
      <c r="U656" s="163"/>
      <c r="V656" s="163"/>
      <c r="W656" s="163"/>
      <c r="X656" s="163"/>
      <c r="Y656" s="163"/>
      <c r="Z656" s="163"/>
    </row>
    <row r="657" spans="16:26" ht="10.199999999999999" customHeight="1">
      <c r="P657" s="163"/>
      <c r="Q657" s="163"/>
      <c r="R657" s="163"/>
      <c r="S657" s="163"/>
      <c r="T657" s="163"/>
      <c r="U657" s="163"/>
      <c r="V657" s="163"/>
      <c r="W657" s="163"/>
      <c r="X657" s="163"/>
      <c r="Y657" s="163"/>
      <c r="Z657" s="163"/>
    </row>
    <row r="658" spans="16:26" ht="10.199999999999999" customHeight="1">
      <c r="P658" s="163"/>
      <c r="Q658" s="163"/>
      <c r="R658" s="163"/>
      <c r="S658" s="163"/>
      <c r="T658" s="163"/>
      <c r="U658" s="163"/>
      <c r="V658" s="163"/>
      <c r="W658" s="163"/>
      <c r="X658" s="163"/>
      <c r="Y658" s="163"/>
      <c r="Z658" s="163"/>
    </row>
    <row r="659" spans="16:26" ht="10.199999999999999" customHeight="1">
      <c r="P659" s="163"/>
      <c r="Q659" s="163"/>
      <c r="R659" s="163"/>
      <c r="S659" s="163"/>
      <c r="T659" s="163"/>
      <c r="U659" s="163"/>
      <c r="V659" s="163"/>
      <c r="W659" s="163"/>
      <c r="X659" s="163"/>
      <c r="Y659" s="163"/>
      <c r="Z659" s="163"/>
    </row>
    <row r="660" spans="16:26" ht="10.199999999999999" customHeight="1">
      <c r="P660" s="163"/>
      <c r="Q660" s="163"/>
      <c r="R660" s="163"/>
      <c r="S660" s="163"/>
      <c r="T660" s="163"/>
      <c r="U660" s="163"/>
      <c r="V660" s="163"/>
      <c r="W660" s="163"/>
      <c r="X660" s="163"/>
      <c r="Y660" s="163"/>
      <c r="Z660" s="163"/>
    </row>
    <row r="661" spans="16:26" ht="10.199999999999999" customHeight="1">
      <c r="P661" s="163"/>
      <c r="Q661" s="163"/>
      <c r="R661" s="163"/>
      <c r="S661" s="163"/>
      <c r="T661" s="163"/>
      <c r="U661" s="163"/>
      <c r="V661" s="163"/>
      <c r="W661" s="163"/>
      <c r="X661" s="163"/>
      <c r="Y661" s="163"/>
      <c r="Z661" s="163"/>
    </row>
    <row r="662" spans="16:26" ht="10.199999999999999" customHeight="1">
      <c r="P662" s="163"/>
      <c r="Q662" s="163"/>
      <c r="R662" s="163"/>
      <c r="S662" s="163"/>
      <c r="T662" s="163"/>
      <c r="U662" s="163"/>
      <c r="V662" s="163"/>
      <c r="W662" s="163"/>
      <c r="X662" s="163"/>
      <c r="Y662" s="163"/>
      <c r="Z662" s="163"/>
    </row>
    <row r="663" spans="16:26" ht="10.199999999999999" customHeight="1">
      <c r="P663" s="163"/>
      <c r="Q663" s="163"/>
      <c r="R663" s="163"/>
      <c r="S663" s="163"/>
      <c r="T663" s="163"/>
      <c r="U663" s="163"/>
      <c r="V663" s="163"/>
      <c r="W663" s="163"/>
      <c r="X663" s="163"/>
      <c r="Y663" s="163"/>
      <c r="Z663" s="163"/>
    </row>
    <row r="664" spans="16:26" ht="10.199999999999999" customHeight="1">
      <c r="P664" s="163"/>
      <c r="Q664" s="163"/>
      <c r="R664" s="163"/>
      <c r="S664" s="163"/>
      <c r="T664" s="163"/>
      <c r="U664" s="163"/>
      <c r="V664" s="163"/>
      <c r="W664" s="163"/>
      <c r="X664" s="163"/>
      <c r="Y664" s="163"/>
      <c r="Z664" s="163"/>
    </row>
    <row r="665" spans="16:26" ht="10.199999999999999" customHeight="1">
      <c r="P665" s="163"/>
      <c r="Q665" s="163"/>
      <c r="R665" s="163"/>
      <c r="S665" s="163"/>
      <c r="T665" s="163"/>
      <c r="U665" s="163"/>
      <c r="V665" s="163"/>
      <c r="W665" s="163"/>
      <c r="X665" s="163"/>
      <c r="Y665" s="163"/>
      <c r="Z665" s="163"/>
    </row>
    <row r="666" spans="16:26" ht="10.199999999999999" customHeight="1">
      <c r="P666" s="163"/>
      <c r="Q666" s="163"/>
      <c r="R666" s="163"/>
      <c r="S666" s="163"/>
      <c r="T666" s="163"/>
      <c r="U666" s="163"/>
      <c r="V666" s="163"/>
      <c r="W666" s="163"/>
      <c r="X666" s="163"/>
      <c r="Y666" s="163"/>
      <c r="Z666" s="163"/>
    </row>
    <row r="667" spans="16:26" ht="10.199999999999999" customHeight="1">
      <c r="P667" s="163"/>
      <c r="Q667" s="163"/>
      <c r="R667" s="163"/>
      <c r="S667" s="163"/>
      <c r="T667" s="163"/>
      <c r="U667" s="163"/>
      <c r="V667" s="163"/>
      <c r="W667" s="163"/>
      <c r="X667" s="163"/>
      <c r="Y667" s="163"/>
      <c r="Z667" s="163"/>
    </row>
    <row r="668" spans="16:26" ht="10.199999999999999" customHeight="1">
      <c r="P668" s="163"/>
      <c r="Q668" s="163"/>
      <c r="R668" s="163"/>
      <c r="S668" s="163"/>
      <c r="T668" s="163"/>
      <c r="U668" s="163"/>
      <c r="V668" s="163"/>
      <c r="W668" s="163"/>
      <c r="X668" s="163"/>
      <c r="Y668" s="163"/>
      <c r="Z668" s="163"/>
    </row>
    <row r="669" spans="16:26" ht="10.199999999999999" customHeight="1">
      <c r="P669" s="163"/>
      <c r="Q669" s="163"/>
      <c r="R669" s="163"/>
      <c r="S669" s="163"/>
      <c r="T669" s="163"/>
      <c r="U669" s="163"/>
      <c r="V669" s="163"/>
      <c r="W669" s="163"/>
      <c r="X669" s="163"/>
      <c r="Y669" s="163"/>
      <c r="Z669" s="163"/>
    </row>
    <row r="670" spans="16:26" ht="10.199999999999999" customHeight="1">
      <c r="P670" s="163"/>
      <c r="Q670" s="163"/>
      <c r="R670" s="163"/>
      <c r="S670" s="163"/>
      <c r="T670" s="163"/>
      <c r="U670" s="163"/>
      <c r="V670" s="163"/>
      <c r="W670" s="163"/>
      <c r="X670" s="163"/>
      <c r="Y670" s="163"/>
      <c r="Z670" s="163"/>
    </row>
    <row r="671" spans="16:26" ht="10.199999999999999" customHeight="1">
      <c r="P671" s="163"/>
      <c r="Q671" s="163"/>
      <c r="R671" s="163"/>
      <c r="S671" s="163"/>
      <c r="T671" s="163"/>
      <c r="U671" s="163"/>
      <c r="V671" s="163"/>
      <c r="W671" s="163"/>
      <c r="X671" s="163"/>
      <c r="Y671" s="163"/>
      <c r="Z671" s="163"/>
    </row>
    <row r="672" spans="16:26" ht="10.199999999999999" customHeight="1">
      <c r="P672" s="163"/>
      <c r="Q672" s="163"/>
      <c r="R672" s="163"/>
      <c r="S672" s="163"/>
      <c r="T672" s="163"/>
      <c r="U672" s="163"/>
      <c r="V672" s="163"/>
      <c r="W672" s="163"/>
      <c r="X672" s="163"/>
      <c r="Y672" s="163"/>
      <c r="Z672" s="163"/>
    </row>
    <row r="673" spans="16:26" ht="10.199999999999999" customHeight="1">
      <c r="P673" s="163"/>
      <c r="Q673" s="163"/>
      <c r="R673" s="163"/>
      <c r="S673" s="163"/>
      <c r="T673" s="163"/>
      <c r="U673" s="163"/>
      <c r="V673" s="163"/>
      <c r="W673" s="163"/>
      <c r="X673" s="163"/>
      <c r="Y673" s="163"/>
      <c r="Z673" s="163"/>
    </row>
    <row r="674" spans="16:26" ht="10.199999999999999" customHeight="1">
      <c r="P674" s="163"/>
      <c r="Q674" s="163"/>
      <c r="R674" s="163"/>
      <c r="S674" s="163"/>
      <c r="T674" s="163"/>
      <c r="U674" s="163"/>
      <c r="V674" s="163"/>
      <c r="W674" s="163"/>
      <c r="X674" s="163"/>
      <c r="Y674" s="163"/>
      <c r="Z674" s="163"/>
    </row>
    <row r="675" spans="16:26" ht="10.199999999999999" customHeight="1">
      <c r="P675" s="163"/>
      <c r="Q675" s="163"/>
      <c r="R675" s="163"/>
      <c r="S675" s="163"/>
      <c r="T675" s="163"/>
      <c r="U675" s="163"/>
      <c r="V675" s="163"/>
      <c r="W675" s="163"/>
      <c r="X675" s="163"/>
      <c r="Y675" s="163"/>
      <c r="Z675" s="163"/>
    </row>
    <row r="676" spans="16:26" ht="10.199999999999999" customHeight="1">
      <c r="P676" s="163"/>
      <c r="Q676" s="163"/>
      <c r="R676" s="163"/>
      <c r="S676" s="163"/>
      <c r="T676" s="163"/>
      <c r="U676" s="163"/>
      <c r="V676" s="163"/>
      <c r="W676" s="163"/>
      <c r="X676" s="163"/>
      <c r="Y676" s="163"/>
      <c r="Z676" s="163"/>
    </row>
    <row r="677" spans="16:26" ht="10.199999999999999" customHeight="1">
      <c r="P677" s="163"/>
      <c r="Q677" s="163"/>
      <c r="R677" s="163"/>
      <c r="S677" s="163"/>
      <c r="T677" s="163"/>
      <c r="U677" s="163"/>
      <c r="V677" s="163"/>
      <c r="W677" s="163"/>
      <c r="X677" s="163"/>
      <c r="Y677" s="163"/>
      <c r="Z677" s="163"/>
    </row>
    <row r="678" spans="16:26" ht="10.199999999999999" customHeight="1">
      <c r="P678" s="163"/>
      <c r="Q678" s="163"/>
      <c r="R678" s="163"/>
      <c r="S678" s="163"/>
      <c r="T678" s="163"/>
      <c r="U678" s="163"/>
      <c r="V678" s="163"/>
      <c r="W678" s="163"/>
      <c r="X678" s="163"/>
      <c r="Y678" s="163"/>
      <c r="Z678" s="163"/>
    </row>
    <row r="679" spans="16:26" ht="10.199999999999999" customHeight="1">
      <c r="P679" s="163"/>
      <c r="Q679" s="163"/>
      <c r="R679" s="163"/>
      <c r="S679" s="163"/>
      <c r="T679" s="163"/>
      <c r="U679" s="163"/>
      <c r="V679" s="163"/>
      <c r="W679" s="163"/>
      <c r="X679" s="163"/>
      <c r="Y679" s="163"/>
      <c r="Z679" s="163"/>
    </row>
    <row r="680" spans="16:26" ht="10.199999999999999" customHeight="1">
      <c r="P680" s="163"/>
      <c r="Q680" s="163"/>
      <c r="R680" s="163"/>
      <c r="S680" s="163"/>
      <c r="T680" s="163"/>
      <c r="U680" s="163"/>
      <c r="V680" s="163"/>
      <c r="W680" s="163"/>
      <c r="X680" s="163"/>
      <c r="Y680" s="163"/>
      <c r="Z680" s="163"/>
    </row>
    <row r="681" spans="16:26" ht="10.199999999999999" customHeight="1">
      <c r="P681" s="163"/>
      <c r="Q681" s="163"/>
      <c r="R681" s="163"/>
      <c r="S681" s="163"/>
      <c r="T681" s="163"/>
      <c r="U681" s="163"/>
      <c r="V681" s="163"/>
      <c r="W681" s="163"/>
      <c r="X681" s="163"/>
      <c r="Y681" s="163"/>
      <c r="Z681" s="163"/>
    </row>
    <row r="682" spans="16:26" ht="10.199999999999999" customHeight="1">
      <c r="P682" s="163"/>
      <c r="Q682" s="163"/>
      <c r="R682" s="163"/>
      <c r="S682" s="163"/>
      <c r="T682" s="163"/>
      <c r="U682" s="163"/>
      <c r="V682" s="163"/>
      <c r="W682" s="163"/>
      <c r="X682" s="163"/>
      <c r="Y682" s="163"/>
      <c r="Z682" s="163"/>
    </row>
    <row r="683" spans="16:26" ht="10.199999999999999" customHeight="1">
      <c r="P683" s="163"/>
      <c r="Q683" s="163"/>
      <c r="R683" s="163"/>
      <c r="S683" s="163"/>
      <c r="T683" s="163"/>
      <c r="U683" s="163"/>
      <c r="V683" s="163"/>
      <c r="W683" s="163"/>
      <c r="X683" s="163"/>
      <c r="Y683" s="163"/>
      <c r="Z683" s="163"/>
    </row>
    <row r="684" spans="16:26" ht="10.199999999999999" customHeight="1">
      <c r="P684" s="163"/>
      <c r="Q684" s="163"/>
      <c r="R684" s="163"/>
      <c r="S684" s="163"/>
      <c r="T684" s="163"/>
      <c r="U684" s="163"/>
      <c r="V684" s="163"/>
      <c r="W684" s="163"/>
      <c r="X684" s="163"/>
      <c r="Y684" s="163"/>
      <c r="Z684" s="163"/>
    </row>
    <row r="685" spans="16:26" ht="10.199999999999999" customHeight="1">
      <c r="P685" s="163"/>
      <c r="Q685" s="163"/>
      <c r="R685" s="163"/>
      <c r="S685" s="163"/>
      <c r="T685" s="163"/>
      <c r="U685" s="163"/>
      <c r="V685" s="163"/>
      <c r="W685" s="163"/>
      <c r="X685" s="163"/>
      <c r="Y685" s="163"/>
      <c r="Z685" s="163"/>
    </row>
    <row r="686" spans="16:26" ht="10.199999999999999" customHeight="1">
      <c r="P686" s="163"/>
      <c r="Q686" s="163"/>
      <c r="R686" s="163"/>
      <c r="S686" s="163"/>
      <c r="T686" s="163"/>
      <c r="U686" s="163"/>
      <c r="V686" s="163"/>
      <c r="W686" s="163"/>
      <c r="X686" s="163"/>
      <c r="Y686" s="163"/>
      <c r="Z686" s="163"/>
    </row>
    <row r="687" spans="16:26" ht="10.199999999999999" customHeight="1">
      <c r="P687" s="163"/>
      <c r="Q687" s="163"/>
      <c r="R687" s="163"/>
      <c r="S687" s="163"/>
      <c r="T687" s="163"/>
      <c r="U687" s="163"/>
      <c r="V687" s="163"/>
      <c r="W687" s="163"/>
      <c r="X687" s="163"/>
      <c r="Y687" s="163"/>
      <c r="Z687" s="163"/>
    </row>
    <row r="688" spans="16:26" ht="10.199999999999999" customHeight="1">
      <c r="P688" s="163"/>
      <c r="Q688" s="163"/>
      <c r="R688" s="163"/>
      <c r="S688" s="163"/>
      <c r="T688" s="163"/>
      <c r="U688" s="163"/>
      <c r="V688" s="163"/>
      <c r="W688" s="163"/>
      <c r="X688" s="163"/>
      <c r="Y688" s="163"/>
      <c r="Z688" s="163"/>
    </row>
    <row r="689" spans="16:26" ht="10.199999999999999" customHeight="1">
      <c r="P689" s="163"/>
      <c r="Q689" s="163"/>
      <c r="R689" s="163"/>
      <c r="S689" s="163"/>
      <c r="T689" s="163"/>
      <c r="U689" s="163"/>
      <c r="V689" s="163"/>
      <c r="W689" s="163"/>
      <c r="X689" s="163"/>
      <c r="Y689" s="163"/>
      <c r="Z689" s="163"/>
    </row>
    <row r="690" spans="16:26" ht="10.199999999999999" customHeight="1">
      <c r="P690" s="163"/>
      <c r="Q690" s="163"/>
      <c r="R690" s="163"/>
      <c r="S690" s="163"/>
      <c r="T690" s="163"/>
      <c r="U690" s="163"/>
      <c r="V690" s="163"/>
      <c r="W690" s="163"/>
      <c r="X690" s="163"/>
      <c r="Y690" s="163"/>
      <c r="Z690" s="163"/>
    </row>
    <row r="691" spans="16:26" ht="10.199999999999999" customHeight="1">
      <c r="P691" s="163"/>
      <c r="Q691" s="163"/>
      <c r="R691" s="163"/>
      <c r="S691" s="163"/>
      <c r="T691" s="163"/>
      <c r="U691" s="163"/>
      <c r="V691" s="163"/>
      <c r="W691" s="163"/>
      <c r="X691" s="163"/>
      <c r="Y691" s="163"/>
      <c r="Z691" s="163"/>
    </row>
    <row r="692" spans="16:26" ht="10.199999999999999" customHeight="1">
      <c r="P692" s="163"/>
      <c r="Q692" s="163"/>
      <c r="R692" s="163"/>
      <c r="S692" s="163"/>
      <c r="T692" s="163"/>
      <c r="U692" s="163"/>
      <c r="V692" s="163"/>
      <c r="W692" s="163"/>
      <c r="X692" s="163"/>
      <c r="Y692" s="163"/>
      <c r="Z692" s="163"/>
    </row>
    <row r="693" spans="16:26" ht="10.199999999999999" customHeight="1">
      <c r="P693" s="163"/>
      <c r="Q693" s="163"/>
      <c r="R693" s="163"/>
      <c r="S693" s="163"/>
      <c r="T693" s="163"/>
      <c r="U693" s="163"/>
      <c r="V693" s="163"/>
      <c r="W693" s="163"/>
      <c r="X693" s="163"/>
      <c r="Y693" s="163"/>
      <c r="Z693" s="163"/>
    </row>
    <row r="694" spans="16:26" ht="10.199999999999999" customHeight="1">
      <c r="P694" s="163"/>
      <c r="Q694" s="163"/>
      <c r="R694" s="163"/>
      <c r="S694" s="163"/>
      <c r="T694" s="163"/>
      <c r="U694" s="163"/>
      <c r="V694" s="163"/>
      <c r="W694" s="163"/>
      <c r="X694" s="163"/>
      <c r="Y694" s="163"/>
      <c r="Z694" s="163"/>
    </row>
    <row r="695" spans="16:26" ht="10.199999999999999" customHeight="1">
      <c r="P695" s="163"/>
      <c r="Q695" s="163"/>
      <c r="R695" s="163"/>
      <c r="S695" s="163"/>
      <c r="T695" s="163"/>
      <c r="U695" s="163"/>
      <c r="V695" s="163"/>
      <c r="W695" s="163"/>
      <c r="X695" s="163"/>
      <c r="Y695" s="163"/>
      <c r="Z695" s="163"/>
    </row>
    <row r="696" spans="16:26" ht="10.199999999999999" customHeight="1">
      <c r="P696" s="163"/>
      <c r="Q696" s="163"/>
      <c r="R696" s="163"/>
      <c r="S696" s="163"/>
      <c r="T696" s="163"/>
      <c r="U696" s="163"/>
      <c r="V696" s="163"/>
      <c r="W696" s="163"/>
      <c r="X696" s="163"/>
      <c r="Y696" s="163"/>
      <c r="Z696" s="163"/>
    </row>
    <row r="697" spans="16:26" ht="10.199999999999999" customHeight="1">
      <c r="P697" s="163"/>
      <c r="Q697" s="163"/>
      <c r="R697" s="163"/>
      <c r="S697" s="163"/>
      <c r="T697" s="163"/>
      <c r="U697" s="163"/>
      <c r="V697" s="163"/>
      <c r="W697" s="163"/>
      <c r="X697" s="163"/>
      <c r="Y697" s="163"/>
      <c r="Z697" s="163"/>
    </row>
    <row r="698" spans="16:26" ht="10.199999999999999" customHeight="1">
      <c r="P698" s="163"/>
      <c r="Q698" s="163"/>
      <c r="R698" s="163"/>
      <c r="S698" s="163"/>
      <c r="T698" s="163"/>
      <c r="U698" s="163"/>
      <c r="V698" s="163"/>
      <c r="W698" s="163"/>
      <c r="X698" s="163"/>
      <c r="Y698" s="163"/>
      <c r="Z698" s="163"/>
    </row>
    <row r="699" spans="16:26" ht="10.199999999999999" customHeight="1">
      <c r="P699" s="163"/>
      <c r="Q699" s="163"/>
      <c r="R699" s="163"/>
      <c r="S699" s="163"/>
      <c r="T699" s="163"/>
      <c r="U699" s="163"/>
      <c r="V699" s="163"/>
      <c r="W699" s="163"/>
      <c r="X699" s="163"/>
      <c r="Y699" s="163"/>
      <c r="Z699" s="163"/>
    </row>
    <row r="700" spans="16:26" ht="10.199999999999999" customHeight="1">
      <c r="P700" s="163"/>
      <c r="Q700" s="163"/>
      <c r="R700" s="163"/>
      <c r="S700" s="163"/>
      <c r="T700" s="163"/>
      <c r="U700" s="163"/>
      <c r="V700" s="163"/>
      <c r="W700" s="163"/>
      <c r="X700" s="163"/>
      <c r="Y700" s="163"/>
      <c r="Z700" s="163"/>
    </row>
    <row r="701" spans="16:26" ht="10.199999999999999" customHeight="1">
      <c r="P701" s="163"/>
      <c r="Q701" s="163"/>
      <c r="R701" s="163"/>
      <c r="S701" s="163"/>
      <c r="T701" s="163"/>
      <c r="U701" s="163"/>
      <c r="V701" s="163"/>
      <c r="W701" s="163"/>
      <c r="X701" s="163"/>
      <c r="Y701" s="163"/>
      <c r="Z701" s="163"/>
    </row>
    <row r="702" spans="16:26" ht="10.199999999999999" customHeight="1">
      <c r="P702" s="163"/>
      <c r="Q702" s="163"/>
      <c r="R702" s="163"/>
      <c r="S702" s="163"/>
      <c r="T702" s="163"/>
      <c r="U702" s="163"/>
      <c r="V702" s="163"/>
      <c r="W702" s="163"/>
      <c r="X702" s="163"/>
      <c r="Y702" s="163"/>
      <c r="Z702" s="163"/>
    </row>
    <row r="703" spans="16:26" ht="10.199999999999999" customHeight="1">
      <c r="P703" s="163"/>
      <c r="Q703" s="163"/>
      <c r="R703" s="163"/>
      <c r="S703" s="163"/>
      <c r="T703" s="163"/>
      <c r="U703" s="163"/>
      <c r="V703" s="163"/>
      <c r="W703" s="163"/>
      <c r="X703" s="163"/>
      <c r="Y703" s="163"/>
      <c r="Z703" s="163"/>
    </row>
    <row r="704" spans="16:26" ht="10.199999999999999" customHeight="1">
      <c r="P704" s="163"/>
      <c r="Q704" s="163"/>
      <c r="R704" s="163"/>
      <c r="S704" s="163"/>
      <c r="T704" s="163"/>
      <c r="U704" s="163"/>
      <c r="V704" s="163"/>
      <c r="W704" s="163"/>
      <c r="X704" s="163"/>
      <c r="Y704" s="163"/>
      <c r="Z704" s="163"/>
    </row>
    <row r="705" spans="16:26" ht="10.199999999999999" customHeight="1">
      <c r="P705" s="163"/>
      <c r="Q705" s="163"/>
      <c r="R705" s="163"/>
      <c r="S705" s="163"/>
      <c r="T705" s="163"/>
      <c r="U705" s="163"/>
      <c r="V705" s="163"/>
      <c r="W705" s="163"/>
      <c r="X705" s="163"/>
      <c r="Y705" s="163"/>
      <c r="Z705" s="163"/>
    </row>
    <row r="706" spans="16:26" ht="10.199999999999999" customHeight="1">
      <c r="P706" s="163"/>
      <c r="Q706" s="163"/>
      <c r="R706" s="163"/>
      <c r="S706" s="163"/>
      <c r="T706" s="163"/>
      <c r="U706" s="163"/>
      <c r="V706" s="163"/>
      <c r="W706" s="163"/>
      <c r="X706" s="163"/>
      <c r="Y706" s="163"/>
      <c r="Z706" s="163"/>
    </row>
    <row r="707" spans="16:26" ht="10.199999999999999" customHeight="1">
      <c r="P707" s="163"/>
      <c r="Q707" s="163"/>
      <c r="R707" s="163"/>
      <c r="S707" s="163"/>
      <c r="T707" s="163"/>
      <c r="U707" s="163"/>
      <c r="V707" s="163"/>
      <c r="W707" s="163"/>
      <c r="X707" s="163"/>
      <c r="Y707" s="163"/>
      <c r="Z707" s="163"/>
    </row>
    <row r="708" spans="16:26" ht="10.199999999999999" customHeight="1">
      <c r="P708" s="163"/>
      <c r="Q708" s="163"/>
      <c r="R708" s="163"/>
      <c r="S708" s="163"/>
      <c r="T708" s="163"/>
      <c r="U708" s="163"/>
      <c r="V708" s="163"/>
      <c r="W708" s="163"/>
      <c r="X708" s="163"/>
      <c r="Y708" s="163"/>
      <c r="Z708" s="163"/>
    </row>
    <row r="709" spans="16:26" ht="10.199999999999999" customHeight="1">
      <c r="P709" s="163"/>
      <c r="Q709" s="163"/>
      <c r="R709" s="163"/>
      <c r="S709" s="163"/>
      <c r="T709" s="163"/>
      <c r="U709" s="163"/>
      <c r="V709" s="163"/>
      <c r="W709" s="163"/>
      <c r="X709" s="163"/>
      <c r="Y709" s="163"/>
      <c r="Z709" s="163"/>
    </row>
    <row r="710" spans="16:26" ht="10.199999999999999" customHeight="1">
      <c r="P710" s="163"/>
      <c r="Q710" s="163"/>
      <c r="R710" s="163"/>
      <c r="S710" s="163"/>
      <c r="T710" s="163"/>
      <c r="U710" s="163"/>
      <c r="V710" s="163"/>
      <c r="W710" s="163"/>
      <c r="X710" s="163"/>
      <c r="Y710" s="163"/>
      <c r="Z710" s="163"/>
    </row>
    <row r="711" spans="16:26" ht="10.199999999999999" customHeight="1">
      <c r="P711" s="163"/>
      <c r="Q711" s="163"/>
      <c r="R711" s="163"/>
      <c r="S711" s="163"/>
      <c r="T711" s="163"/>
      <c r="U711" s="163"/>
      <c r="V711" s="163"/>
      <c r="W711" s="163"/>
      <c r="X711" s="163"/>
      <c r="Y711" s="163"/>
      <c r="Z711" s="163"/>
    </row>
    <row r="712" spans="16:26" ht="10.199999999999999" customHeight="1">
      <c r="P712" s="163"/>
      <c r="Q712" s="163"/>
      <c r="R712" s="163"/>
      <c r="S712" s="163"/>
      <c r="T712" s="163"/>
      <c r="U712" s="163"/>
      <c r="V712" s="163"/>
      <c r="W712" s="163"/>
      <c r="X712" s="163"/>
      <c r="Y712" s="163"/>
      <c r="Z712" s="163"/>
    </row>
    <row r="713" spans="16:26" ht="10.199999999999999" customHeight="1">
      <c r="P713" s="163"/>
      <c r="Q713" s="163"/>
      <c r="R713" s="163"/>
      <c r="S713" s="163"/>
      <c r="T713" s="163"/>
      <c r="U713" s="163"/>
      <c r="V713" s="163"/>
      <c r="W713" s="163"/>
      <c r="X713" s="163"/>
      <c r="Y713" s="163"/>
      <c r="Z713" s="163"/>
    </row>
    <row r="714" spans="16:26" ht="10.199999999999999" customHeight="1">
      <c r="P714" s="163"/>
      <c r="Q714" s="163"/>
      <c r="R714" s="163"/>
      <c r="S714" s="163"/>
      <c r="T714" s="163"/>
      <c r="U714" s="163"/>
      <c r="V714" s="163"/>
      <c r="W714" s="163"/>
      <c r="X714" s="163"/>
      <c r="Y714" s="163"/>
      <c r="Z714" s="163"/>
    </row>
    <row r="715" spans="16:26" ht="10.199999999999999" customHeight="1">
      <c r="P715" s="163"/>
      <c r="Q715" s="163"/>
      <c r="R715" s="163"/>
      <c r="S715" s="163"/>
      <c r="T715" s="163"/>
      <c r="U715" s="163"/>
      <c r="V715" s="163"/>
      <c r="W715" s="163"/>
      <c r="X715" s="163"/>
      <c r="Y715" s="163"/>
      <c r="Z715" s="163"/>
    </row>
    <row r="716" spans="16:26" ht="10.199999999999999" customHeight="1">
      <c r="P716" s="163"/>
      <c r="Q716" s="163"/>
      <c r="R716" s="163"/>
      <c r="S716" s="163"/>
      <c r="T716" s="163"/>
      <c r="U716" s="163"/>
      <c r="V716" s="163"/>
      <c r="W716" s="163"/>
      <c r="X716" s="163"/>
      <c r="Y716" s="163"/>
      <c r="Z716" s="163"/>
    </row>
    <row r="717" spans="16:26" ht="10.199999999999999" customHeight="1">
      <c r="P717" s="163"/>
      <c r="Q717" s="163"/>
      <c r="R717" s="163"/>
      <c r="S717" s="163"/>
      <c r="T717" s="163"/>
      <c r="U717" s="163"/>
      <c r="V717" s="163"/>
      <c r="W717" s="163"/>
      <c r="X717" s="163"/>
      <c r="Y717" s="163"/>
      <c r="Z717" s="163"/>
    </row>
    <row r="718" spans="16:26" ht="10.199999999999999" customHeight="1">
      <c r="P718" s="163"/>
      <c r="Q718" s="163"/>
      <c r="R718" s="163"/>
      <c r="S718" s="163"/>
      <c r="T718" s="163"/>
      <c r="U718" s="163"/>
      <c r="V718" s="163"/>
      <c r="W718" s="163"/>
      <c r="X718" s="163"/>
      <c r="Y718" s="163"/>
      <c r="Z718" s="163"/>
    </row>
    <row r="719" spans="16:26" ht="10.199999999999999" customHeight="1">
      <c r="P719" s="163"/>
      <c r="Q719" s="163"/>
      <c r="R719" s="163"/>
      <c r="S719" s="163"/>
      <c r="T719" s="163"/>
      <c r="U719" s="163"/>
      <c r="V719" s="163"/>
      <c r="W719" s="163"/>
      <c r="X719" s="163"/>
      <c r="Y719" s="163"/>
      <c r="Z719" s="163"/>
    </row>
    <row r="720" spans="16:26" ht="10.199999999999999" customHeight="1">
      <c r="P720" s="163"/>
      <c r="Q720" s="163"/>
      <c r="R720" s="163"/>
      <c r="S720" s="163"/>
      <c r="T720" s="163"/>
      <c r="U720" s="163"/>
      <c r="V720" s="163"/>
      <c r="W720" s="163"/>
      <c r="X720" s="163"/>
      <c r="Y720" s="163"/>
      <c r="Z720" s="163"/>
    </row>
    <row r="721" spans="16:26" ht="10.199999999999999" customHeight="1">
      <c r="P721" s="163"/>
      <c r="Q721" s="163"/>
      <c r="R721" s="163"/>
      <c r="S721" s="163"/>
      <c r="T721" s="163"/>
      <c r="U721" s="163"/>
      <c r="V721" s="163"/>
      <c r="W721" s="163"/>
      <c r="X721" s="163"/>
      <c r="Y721" s="163"/>
      <c r="Z721" s="163"/>
    </row>
    <row r="722" spans="16:26" ht="10.199999999999999" customHeight="1">
      <c r="P722" s="163"/>
      <c r="Q722" s="163"/>
      <c r="R722" s="163"/>
      <c r="S722" s="163"/>
      <c r="T722" s="163"/>
      <c r="U722" s="163"/>
      <c r="V722" s="163"/>
      <c r="W722" s="163"/>
      <c r="X722" s="163"/>
      <c r="Y722" s="163"/>
      <c r="Z722" s="163"/>
    </row>
    <row r="723" spans="16:26" ht="10.199999999999999" customHeight="1">
      <c r="P723" s="163"/>
      <c r="Q723" s="163"/>
      <c r="R723" s="163"/>
      <c r="S723" s="163"/>
      <c r="T723" s="163"/>
      <c r="U723" s="163"/>
      <c r="V723" s="163"/>
      <c r="W723" s="163"/>
      <c r="X723" s="163"/>
      <c r="Y723" s="163"/>
      <c r="Z723" s="163"/>
    </row>
    <row r="724" spans="16:26" ht="10.199999999999999" customHeight="1">
      <c r="P724" s="163"/>
      <c r="Q724" s="163"/>
      <c r="R724" s="163"/>
      <c r="S724" s="163"/>
      <c r="T724" s="163"/>
      <c r="U724" s="163"/>
      <c r="V724" s="163"/>
      <c r="W724" s="163"/>
      <c r="X724" s="163"/>
      <c r="Y724" s="163"/>
      <c r="Z724" s="163"/>
    </row>
    <row r="725" spans="16:26" ht="10.199999999999999" customHeight="1">
      <c r="P725" s="163"/>
      <c r="Q725" s="163"/>
      <c r="R725" s="163"/>
      <c r="S725" s="163"/>
      <c r="T725" s="163"/>
      <c r="U725" s="163"/>
      <c r="V725" s="163"/>
      <c r="W725" s="163"/>
      <c r="X725" s="163"/>
      <c r="Y725" s="163"/>
      <c r="Z725" s="163"/>
    </row>
    <row r="726" spans="16:26" ht="10.199999999999999" customHeight="1">
      <c r="P726" s="163"/>
      <c r="Q726" s="163"/>
      <c r="R726" s="163"/>
      <c r="S726" s="163"/>
      <c r="T726" s="163"/>
      <c r="U726" s="163"/>
      <c r="V726" s="163"/>
      <c r="W726" s="163"/>
      <c r="X726" s="163"/>
      <c r="Y726" s="163"/>
      <c r="Z726" s="163"/>
    </row>
    <row r="727" spans="16:26" ht="10.199999999999999" customHeight="1">
      <c r="P727" s="163"/>
      <c r="Q727" s="163"/>
      <c r="R727" s="163"/>
      <c r="S727" s="163"/>
      <c r="T727" s="163"/>
      <c r="U727" s="163"/>
      <c r="V727" s="163"/>
      <c r="W727" s="163"/>
      <c r="X727" s="163"/>
      <c r="Y727" s="163"/>
      <c r="Z727" s="163"/>
    </row>
    <row r="728" spans="16:26" ht="10.199999999999999" customHeight="1">
      <c r="P728" s="163"/>
      <c r="Q728" s="163"/>
      <c r="R728" s="163"/>
      <c r="S728" s="163"/>
      <c r="T728" s="163"/>
      <c r="U728" s="163"/>
      <c r="V728" s="163"/>
      <c r="W728" s="163"/>
      <c r="X728" s="163"/>
      <c r="Y728" s="163"/>
      <c r="Z728" s="163"/>
    </row>
    <row r="729" spans="16:26" ht="10.199999999999999" customHeight="1">
      <c r="P729" s="163"/>
      <c r="Q729" s="163"/>
      <c r="R729" s="163"/>
      <c r="S729" s="163"/>
      <c r="T729" s="163"/>
      <c r="U729" s="163"/>
      <c r="V729" s="163"/>
      <c r="W729" s="163"/>
      <c r="X729" s="163"/>
      <c r="Y729" s="163"/>
      <c r="Z729" s="163"/>
    </row>
    <row r="730" spans="16:26" ht="10.199999999999999" customHeight="1">
      <c r="P730" s="163"/>
      <c r="Q730" s="163"/>
      <c r="R730" s="163"/>
      <c r="S730" s="163"/>
      <c r="T730" s="163"/>
      <c r="U730" s="163"/>
      <c r="V730" s="163"/>
      <c r="W730" s="163"/>
      <c r="X730" s="163"/>
      <c r="Y730" s="163"/>
      <c r="Z730" s="163"/>
    </row>
    <row r="731" spans="16:26" ht="10.199999999999999" customHeight="1">
      <c r="P731" s="163"/>
      <c r="Q731" s="163"/>
      <c r="R731" s="163"/>
      <c r="S731" s="163"/>
      <c r="T731" s="163"/>
      <c r="U731" s="163"/>
      <c r="V731" s="163"/>
      <c r="W731" s="163"/>
      <c r="X731" s="163"/>
      <c r="Y731" s="163"/>
      <c r="Z731" s="163"/>
    </row>
    <row r="732" spans="16:26" ht="10.199999999999999" customHeight="1">
      <c r="P732" s="163"/>
      <c r="Q732" s="163"/>
      <c r="R732" s="163"/>
      <c r="S732" s="163"/>
      <c r="T732" s="163"/>
      <c r="U732" s="163"/>
      <c r="V732" s="163"/>
      <c r="W732" s="163"/>
      <c r="X732" s="163"/>
      <c r="Y732" s="163"/>
      <c r="Z732" s="163"/>
    </row>
    <row r="733" spans="16:26" ht="10.199999999999999" customHeight="1">
      <c r="P733" s="163"/>
      <c r="Q733" s="163"/>
      <c r="R733" s="163"/>
      <c r="S733" s="163"/>
      <c r="T733" s="163"/>
      <c r="U733" s="163"/>
      <c r="V733" s="163"/>
      <c r="W733" s="163"/>
      <c r="X733" s="163"/>
      <c r="Y733" s="163"/>
      <c r="Z733" s="163"/>
    </row>
    <row r="734" spans="16:26" ht="10.199999999999999" customHeight="1">
      <c r="P734" s="163"/>
      <c r="Q734" s="163"/>
      <c r="R734" s="163"/>
      <c r="S734" s="163"/>
      <c r="T734" s="163"/>
      <c r="U734" s="163"/>
      <c r="V734" s="163"/>
      <c r="W734" s="163"/>
      <c r="X734" s="163"/>
      <c r="Y734" s="163"/>
      <c r="Z734" s="163"/>
    </row>
    <row r="735" spans="16:26" ht="10.199999999999999" customHeight="1">
      <c r="P735" s="163"/>
      <c r="Q735" s="163"/>
      <c r="R735" s="163"/>
      <c r="S735" s="163"/>
      <c r="T735" s="163"/>
      <c r="U735" s="163"/>
      <c r="V735" s="163"/>
      <c r="W735" s="163"/>
      <c r="X735" s="163"/>
      <c r="Y735" s="163"/>
      <c r="Z735" s="163"/>
    </row>
    <row r="736" spans="16:26" ht="10.199999999999999" customHeight="1">
      <c r="P736" s="163"/>
      <c r="Q736" s="163"/>
      <c r="R736" s="163"/>
      <c r="S736" s="163"/>
      <c r="T736" s="163"/>
      <c r="U736" s="163"/>
      <c r="V736" s="163"/>
      <c r="W736" s="163"/>
      <c r="X736" s="163"/>
      <c r="Y736" s="163"/>
      <c r="Z736" s="163"/>
    </row>
    <row r="737" spans="16:26" ht="10.199999999999999" customHeight="1">
      <c r="P737" s="163"/>
      <c r="Q737" s="163"/>
      <c r="R737" s="163"/>
      <c r="S737" s="163"/>
      <c r="T737" s="163"/>
      <c r="U737" s="163"/>
      <c r="V737" s="163"/>
      <c r="W737" s="163"/>
      <c r="X737" s="163"/>
      <c r="Y737" s="163"/>
      <c r="Z737" s="163"/>
    </row>
    <row r="738" spans="16:26" ht="10.199999999999999" customHeight="1">
      <c r="P738" s="163"/>
      <c r="Q738" s="163"/>
      <c r="R738" s="163"/>
      <c r="S738" s="163"/>
      <c r="T738" s="163"/>
      <c r="U738" s="163"/>
      <c r="V738" s="163"/>
      <c r="W738" s="163"/>
      <c r="X738" s="163"/>
      <c r="Y738" s="163"/>
      <c r="Z738" s="163"/>
    </row>
    <row r="739" spans="16:26" ht="10.199999999999999" customHeight="1">
      <c r="P739" s="163"/>
      <c r="Q739" s="163"/>
      <c r="R739" s="163"/>
      <c r="S739" s="163"/>
      <c r="T739" s="163"/>
      <c r="U739" s="163"/>
      <c r="V739" s="163"/>
      <c r="W739" s="163"/>
      <c r="X739" s="163"/>
      <c r="Y739" s="163"/>
      <c r="Z739" s="163"/>
    </row>
    <row r="740" spans="16:26" ht="10.199999999999999" customHeight="1">
      <c r="P740" s="163"/>
      <c r="Q740" s="163"/>
      <c r="R740" s="163"/>
      <c r="S740" s="163"/>
      <c r="T740" s="163"/>
      <c r="U740" s="163"/>
      <c r="V740" s="163"/>
      <c r="W740" s="163"/>
      <c r="X740" s="163"/>
      <c r="Y740" s="163"/>
      <c r="Z740" s="163"/>
    </row>
    <row r="741" spans="16:26" ht="10.199999999999999" customHeight="1">
      <c r="P741" s="163"/>
      <c r="Q741" s="163"/>
      <c r="R741" s="163"/>
      <c r="S741" s="163"/>
      <c r="T741" s="163"/>
      <c r="U741" s="163"/>
      <c r="V741" s="163"/>
      <c r="W741" s="163"/>
      <c r="X741" s="163"/>
      <c r="Y741" s="163"/>
      <c r="Z741" s="163"/>
    </row>
    <row r="742" spans="16:26" ht="10.199999999999999" customHeight="1">
      <c r="P742" s="163"/>
      <c r="Q742" s="163"/>
      <c r="R742" s="163"/>
      <c r="S742" s="163"/>
      <c r="T742" s="163"/>
      <c r="U742" s="163"/>
      <c r="V742" s="163"/>
      <c r="W742" s="163"/>
      <c r="X742" s="163"/>
      <c r="Y742" s="163"/>
      <c r="Z742" s="163"/>
    </row>
    <row r="743" spans="16:26" ht="10.199999999999999" customHeight="1">
      <c r="P743" s="163"/>
      <c r="Q743" s="163"/>
      <c r="R743" s="163"/>
      <c r="S743" s="163"/>
      <c r="T743" s="163"/>
      <c r="U743" s="163"/>
      <c r="V743" s="163"/>
      <c r="W743" s="163"/>
      <c r="X743" s="163"/>
      <c r="Y743" s="163"/>
      <c r="Z743" s="163"/>
    </row>
    <row r="744" spans="16:26" ht="10.199999999999999" customHeight="1">
      <c r="P744" s="163"/>
      <c r="Q744" s="163"/>
      <c r="R744" s="163"/>
      <c r="S744" s="163"/>
      <c r="T744" s="163"/>
      <c r="U744" s="163"/>
      <c r="V744" s="163"/>
      <c r="W744" s="163"/>
      <c r="X744" s="163"/>
      <c r="Y744" s="163"/>
      <c r="Z744" s="163"/>
    </row>
    <row r="745" spans="16:26" ht="10.199999999999999" customHeight="1">
      <c r="P745" s="163"/>
      <c r="Q745" s="163"/>
      <c r="R745" s="163"/>
      <c r="S745" s="163"/>
      <c r="T745" s="163"/>
      <c r="U745" s="163"/>
      <c r="V745" s="163"/>
      <c r="W745" s="163"/>
      <c r="X745" s="163"/>
      <c r="Y745" s="163"/>
      <c r="Z745" s="163"/>
    </row>
    <row r="746" spans="16:26" ht="10.199999999999999" customHeight="1">
      <c r="P746" s="163"/>
      <c r="Q746" s="163"/>
      <c r="R746" s="163"/>
      <c r="S746" s="163"/>
      <c r="T746" s="163"/>
      <c r="U746" s="163"/>
      <c r="V746" s="163"/>
      <c r="W746" s="163"/>
      <c r="X746" s="163"/>
      <c r="Y746" s="163"/>
      <c r="Z746" s="163"/>
    </row>
    <row r="747" spans="16:26" ht="10.199999999999999" customHeight="1">
      <c r="P747" s="163"/>
      <c r="Q747" s="163"/>
      <c r="R747" s="163"/>
      <c r="S747" s="163"/>
      <c r="T747" s="163"/>
      <c r="U747" s="163"/>
      <c r="V747" s="163"/>
      <c r="W747" s="163"/>
      <c r="X747" s="163"/>
      <c r="Y747" s="163"/>
      <c r="Z747" s="163"/>
    </row>
    <row r="748" spans="16:26" ht="10.199999999999999" customHeight="1">
      <c r="P748" s="163"/>
      <c r="Q748" s="163"/>
      <c r="R748" s="163"/>
      <c r="S748" s="163"/>
      <c r="T748" s="163"/>
      <c r="U748" s="163"/>
      <c r="V748" s="163"/>
      <c r="W748" s="163"/>
      <c r="X748" s="163"/>
      <c r="Y748" s="163"/>
      <c r="Z748" s="163"/>
    </row>
    <row r="749" spans="16:26" ht="10.199999999999999" customHeight="1">
      <c r="P749" s="163"/>
      <c r="Q749" s="163"/>
      <c r="R749" s="163"/>
      <c r="S749" s="163"/>
      <c r="T749" s="163"/>
      <c r="U749" s="163"/>
      <c r="V749" s="163"/>
      <c r="W749" s="163"/>
      <c r="X749" s="163"/>
      <c r="Y749" s="163"/>
      <c r="Z749" s="163"/>
    </row>
    <row r="750" spans="16:26" ht="10.199999999999999" customHeight="1">
      <c r="P750" s="163"/>
      <c r="Q750" s="163"/>
      <c r="R750" s="163"/>
      <c r="S750" s="163"/>
      <c r="T750" s="163"/>
      <c r="U750" s="163"/>
      <c r="V750" s="163"/>
      <c r="W750" s="163"/>
      <c r="X750" s="163"/>
      <c r="Y750" s="163"/>
      <c r="Z750" s="163"/>
    </row>
    <row r="751" spans="16:26" ht="10.199999999999999" customHeight="1">
      <c r="P751" s="163"/>
      <c r="Q751" s="163"/>
      <c r="R751" s="163"/>
      <c r="S751" s="163"/>
      <c r="T751" s="163"/>
      <c r="U751" s="163"/>
      <c r="V751" s="163"/>
      <c r="W751" s="163"/>
      <c r="X751" s="163"/>
      <c r="Y751" s="163"/>
      <c r="Z751" s="163"/>
    </row>
    <row r="752" spans="16:26" ht="10.199999999999999" customHeight="1">
      <c r="P752" s="163"/>
      <c r="Q752" s="163"/>
      <c r="R752" s="163"/>
      <c r="S752" s="163"/>
      <c r="T752" s="163"/>
      <c r="U752" s="163"/>
      <c r="V752" s="163"/>
      <c r="W752" s="163"/>
      <c r="X752" s="163"/>
      <c r="Y752" s="163"/>
      <c r="Z752" s="163"/>
    </row>
    <row r="753" spans="16:26" ht="10.199999999999999" customHeight="1">
      <c r="P753" s="163"/>
      <c r="Q753" s="163"/>
      <c r="R753" s="163"/>
      <c r="S753" s="163"/>
      <c r="T753" s="163"/>
      <c r="U753" s="163"/>
      <c r="V753" s="163"/>
      <c r="W753" s="163"/>
      <c r="X753" s="163"/>
      <c r="Y753" s="163"/>
      <c r="Z753" s="163"/>
    </row>
    <row r="754" spans="16:26" ht="10.199999999999999" customHeight="1">
      <c r="P754" s="163"/>
      <c r="Q754" s="163"/>
      <c r="R754" s="163"/>
      <c r="S754" s="163"/>
      <c r="T754" s="163"/>
      <c r="U754" s="163"/>
      <c r="V754" s="163"/>
      <c r="W754" s="163"/>
      <c r="X754" s="163"/>
      <c r="Y754" s="163"/>
      <c r="Z754" s="163"/>
    </row>
    <row r="755" spans="16:26" ht="10.199999999999999" customHeight="1">
      <c r="P755" s="163"/>
      <c r="Q755" s="163"/>
      <c r="R755" s="163"/>
      <c r="S755" s="163"/>
      <c r="T755" s="163"/>
      <c r="U755" s="163"/>
      <c r="V755" s="163"/>
      <c r="W755" s="163"/>
      <c r="X755" s="163"/>
      <c r="Y755" s="163"/>
      <c r="Z755" s="163"/>
    </row>
    <row r="756" spans="16:26" ht="10.199999999999999" customHeight="1">
      <c r="P756" s="163"/>
      <c r="Q756" s="163"/>
      <c r="R756" s="163"/>
      <c r="S756" s="163"/>
      <c r="T756" s="163"/>
      <c r="U756" s="163"/>
      <c r="V756" s="163"/>
      <c r="W756" s="163"/>
      <c r="X756" s="163"/>
      <c r="Y756" s="163"/>
      <c r="Z756" s="163"/>
    </row>
    <row r="757" spans="16:26" ht="10.199999999999999" customHeight="1">
      <c r="P757" s="163"/>
      <c r="Q757" s="163"/>
      <c r="R757" s="163"/>
      <c r="S757" s="163"/>
      <c r="T757" s="163"/>
      <c r="U757" s="163"/>
      <c r="V757" s="163"/>
      <c r="W757" s="163"/>
      <c r="X757" s="163"/>
      <c r="Y757" s="163"/>
      <c r="Z757" s="163"/>
    </row>
    <row r="758" spans="16:26" ht="10.199999999999999" customHeight="1">
      <c r="P758" s="163"/>
      <c r="Q758" s="163"/>
      <c r="R758" s="163"/>
      <c r="S758" s="163"/>
      <c r="T758" s="163"/>
      <c r="U758" s="163"/>
      <c r="V758" s="163"/>
      <c r="W758" s="163"/>
      <c r="X758" s="163"/>
      <c r="Y758" s="163"/>
      <c r="Z758" s="163"/>
    </row>
    <row r="759" spans="16:26" ht="10.199999999999999" customHeight="1">
      <c r="P759" s="163"/>
      <c r="Q759" s="163"/>
      <c r="R759" s="163"/>
      <c r="S759" s="163"/>
      <c r="T759" s="163"/>
      <c r="U759" s="163"/>
      <c r="V759" s="163"/>
      <c r="W759" s="163"/>
      <c r="X759" s="163"/>
      <c r="Y759" s="163"/>
      <c r="Z759" s="163"/>
    </row>
    <row r="760" spans="16:26" ht="10.199999999999999" customHeight="1">
      <c r="P760" s="163"/>
      <c r="Q760" s="163"/>
      <c r="R760" s="163"/>
      <c r="S760" s="163"/>
      <c r="T760" s="163"/>
      <c r="U760" s="163"/>
      <c r="V760" s="163"/>
      <c r="W760" s="163"/>
      <c r="X760" s="163"/>
      <c r="Y760" s="163"/>
      <c r="Z760" s="163"/>
    </row>
    <row r="761" spans="16:26" ht="10.199999999999999" customHeight="1">
      <c r="P761" s="163"/>
      <c r="Q761" s="163"/>
      <c r="R761" s="163"/>
      <c r="S761" s="163"/>
      <c r="T761" s="163"/>
      <c r="U761" s="163"/>
      <c r="V761" s="163"/>
      <c r="W761" s="163"/>
      <c r="X761" s="163"/>
      <c r="Y761" s="163"/>
      <c r="Z761" s="163"/>
    </row>
    <row r="762" spans="16:26" ht="10.199999999999999" customHeight="1">
      <c r="P762" s="163"/>
      <c r="Q762" s="163"/>
      <c r="R762" s="163"/>
      <c r="S762" s="163"/>
      <c r="T762" s="163"/>
      <c r="U762" s="163"/>
      <c r="V762" s="163"/>
      <c r="W762" s="163"/>
      <c r="X762" s="163"/>
      <c r="Y762" s="163"/>
      <c r="Z762" s="163"/>
    </row>
    <row r="763" spans="16:26" ht="10.199999999999999" customHeight="1">
      <c r="P763" s="163"/>
      <c r="Q763" s="163"/>
      <c r="R763" s="163"/>
      <c r="S763" s="163"/>
      <c r="T763" s="163"/>
      <c r="U763" s="163"/>
      <c r="V763" s="163"/>
      <c r="W763" s="163"/>
      <c r="X763" s="163"/>
      <c r="Y763" s="163"/>
      <c r="Z763" s="163"/>
    </row>
    <row r="764" spans="16:26" ht="10.199999999999999" customHeight="1">
      <c r="P764" s="163"/>
      <c r="Q764" s="163"/>
      <c r="R764" s="163"/>
      <c r="S764" s="163"/>
      <c r="T764" s="163"/>
      <c r="U764" s="163"/>
      <c r="V764" s="163"/>
      <c r="W764" s="163"/>
      <c r="X764" s="163"/>
      <c r="Y764" s="163"/>
      <c r="Z764" s="163"/>
    </row>
    <row r="765" spans="16:26" ht="10.199999999999999" customHeight="1">
      <c r="P765" s="163"/>
      <c r="Q765" s="163"/>
      <c r="R765" s="163"/>
      <c r="S765" s="163"/>
      <c r="T765" s="163"/>
      <c r="U765" s="163"/>
      <c r="V765" s="163"/>
      <c r="W765" s="163"/>
      <c r="X765" s="163"/>
      <c r="Y765" s="163"/>
      <c r="Z765" s="163"/>
    </row>
    <row r="766" spans="16:26" ht="10.199999999999999" customHeight="1">
      <c r="P766" s="163"/>
      <c r="Q766" s="163"/>
      <c r="R766" s="163"/>
      <c r="S766" s="163"/>
      <c r="T766" s="163"/>
      <c r="U766" s="163"/>
      <c r="V766" s="163"/>
      <c r="W766" s="163"/>
      <c r="X766" s="163"/>
      <c r="Y766" s="163"/>
      <c r="Z766" s="163"/>
    </row>
    <row r="767" spans="16:26" ht="10.199999999999999" customHeight="1">
      <c r="P767" s="163"/>
      <c r="Q767" s="163"/>
      <c r="R767" s="163"/>
      <c r="S767" s="163"/>
      <c r="T767" s="163"/>
      <c r="U767" s="163"/>
      <c r="V767" s="163"/>
      <c r="W767" s="163"/>
      <c r="X767" s="163"/>
      <c r="Y767" s="163"/>
      <c r="Z767" s="163"/>
    </row>
    <row r="768" spans="16:26" ht="10.199999999999999" customHeight="1">
      <c r="P768" s="163"/>
      <c r="Q768" s="163"/>
      <c r="R768" s="163"/>
      <c r="S768" s="163"/>
      <c r="T768" s="163"/>
      <c r="U768" s="163"/>
      <c r="V768" s="163"/>
      <c r="W768" s="163"/>
      <c r="X768" s="163"/>
      <c r="Y768" s="163"/>
      <c r="Z768" s="163"/>
    </row>
    <row r="769" spans="16:26" ht="10.199999999999999" customHeight="1">
      <c r="P769" s="163"/>
      <c r="Q769" s="163"/>
      <c r="R769" s="163"/>
      <c r="S769" s="163"/>
      <c r="T769" s="163"/>
      <c r="U769" s="163"/>
      <c r="V769" s="163"/>
      <c r="W769" s="163"/>
      <c r="X769" s="163"/>
      <c r="Y769" s="163"/>
      <c r="Z769" s="163"/>
    </row>
    <row r="770" spans="16:26" ht="10.199999999999999" customHeight="1">
      <c r="P770" s="163"/>
      <c r="Q770" s="163"/>
      <c r="R770" s="163"/>
      <c r="S770" s="163"/>
      <c r="T770" s="163"/>
      <c r="U770" s="163"/>
      <c r="V770" s="163"/>
      <c r="W770" s="163"/>
      <c r="X770" s="163"/>
      <c r="Y770" s="163"/>
      <c r="Z770" s="163"/>
    </row>
    <row r="771" spans="16:26" ht="10.199999999999999" customHeight="1">
      <c r="P771" s="163"/>
      <c r="Q771" s="163"/>
      <c r="R771" s="163"/>
      <c r="S771" s="163"/>
      <c r="T771" s="163"/>
      <c r="U771" s="163"/>
      <c r="V771" s="163"/>
      <c r="W771" s="163"/>
      <c r="X771" s="163"/>
      <c r="Y771" s="163"/>
      <c r="Z771" s="163"/>
    </row>
    <row r="772" spans="16:26" ht="10.199999999999999" customHeight="1">
      <c r="P772" s="163"/>
      <c r="Q772" s="163"/>
      <c r="R772" s="163"/>
      <c r="S772" s="163"/>
      <c r="T772" s="163"/>
      <c r="U772" s="163"/>
      <c r="V772" s="163"/>
      <c r="W772" s="163"/>
      <c r="X772" s="163"/>
      <c r="Y772" s="163"/>
      <c r="Z772" s="163"/>
    </row>
    <row r="773" spans="16:26" ht="10.199999999999999" customHeight="1">
      <c r="P773" s="163"/>
      <c r="Q773" s="163"/>
      <c r="R773" s="163"/>
      <c r="S773" s="163"/>
      <c r="T773" s="163"/>
      <c r="U773" s="163"/>
      <c r="V773" s="163"/>
      <c r="W773" s="163"/>
      <c r="X773" s="163"/>
      <c r="Y773" s="163"/>
      <c r="Z773" s="163"/>
    </row>
    <row r="774" spans="16:26" ht="10.199999999999999" customHeight="1">
      <c r="P774" s="163"/>
      <c r="Q774" s="163"/>
      <c r="R774" s="163"/>
      <c r="S774" s="163"/>
      <c r="T774" s="163"/>
      <c r="U774" s="163"/>
      <c r="V774" s="163"/>
      <c r="W774" s="163"/>
      <c r="X774" s="163"/>
      <c r="Y774" s="163"/>
      <c r="Z774" s="163"/>
    </row>
    <row r="775" spans="16:26" ht="10.199999999999999" customHeight="1">
      <c r="P775" s="163"/>
      <c r="Q775" s="163"/>
      <c r="R775" s="163"/>
      <c r="S775" s="163"/>
      <c r="T775" s="163"/>
      <c r="U775" s="163"/>
      <c r="V775" s="163"/>
      <c r="W775" s="163"/>
      <c r="X775" s="163"/>
      <c r="Y775" s="163"/>
      <c r="Z775" s="163"/>
    </row>
    <row r="776" spans="16:26" ht="10.199999999999999" customHeight="1">
      <c r="P776" s="163"/>
      <c r="Q776" s="163"/>
      <c r="R776" s="163"/>
      <c r="S776" s="163"/>
      <c r="T776" s="163"/>
      <c r="U776" s="163"/>
      <c r="V776" s="163"/>
      <c r="W776" s="163"/>
      <c r="X776" s="163"/>
      <c r="Y776" s="163"/>
      <c r="Z776" s="163"/>
    </row>
    <row r="777" spans="16:26" ht="10.199999999999999" customHeight="1">
      <c r="P777" s="163"/>
      <c r="Q777" s="163"/>
      <c r="R777" s="163"/>
      <c r="S777" s="163"/>
      <c r="T777" s="163"/>
      <c r="U777" s="163"/>
      <c r="V777" s="163"/>
      <c r="W777" s="163"/>
      <c r="X777" s="163"/>
      <c r="Y777" s="163"/>
      <c r="Z777" s="163"/>
    </row>
    <row r="778" spans="16:26" ht="10.199999999999999" customHeight="1">
      <c r="P778" s="163"/>
      <c r="Q778" s="163"/>
      <c r="R778" s="163"/>
      <c r="S778" s="163"/>
      <c r="T778" s="163"/>
      <c r="U778" s="163"/>
      <c r="V778" s="163"/>
      <c r="W778" s="163"/>
      <c r="X778" s="163"/>
      <c r="Y778" s="163"/>
      <c r="Z778" s="163"/>
    </row>
    <row r="779" spans="16:26" ht="10.199999999999999" customHeight="1">
      <c r="P779" s="163"/>
      <c r="Q779" s="163"/>
      <c r="R779" s="163"/>
      <c r="S779" s="163"/>
      <c r="T779" s="163"/>
      <c r="U779" s="163"/>
      <c r="V779" s="163"/>
      <c r="W779" s="163"/>
      <c r="X779" s="163"/>
      <c r="Y779" s="163"/>
      <c r="Z779" s="163"/>
    </row>
    <row r="780" spans="16:26" ht="10.199999999999999" customHeight="1">
      <c r="P780" s="163"/>
      <c r="Q780" s="163"/>
      <c r="R780" s="163"/>
      <c r="S780" s="163"/>
      <c r="T780" s="163"/>
      <c r="U780" s="163"/>
      <c r="V780" s="163"/>
      <c r="W780" s="163"/>
      <c r="X780" s="163"/>
      <c r="Y780" s="163"/>
      <c r="Z780" s="163"/>
    </row>
    <row r="781" spans="16:26" ht="10.199999999999999" customHeight="1">
      <c r="P781" s="163"/>
      <c r="Q781" s="163"/>
      <c r="R781" s="163"/>
      <c r="S781" s="163"/>
      <c r="T781" s="163"/>
      <c r="U781" s="163"/>
      <c r="V781" s="163"/>
      <c r="W781" s="163"/>
      <c r="X781" s="163"/>
      <c r="Y781" s="163"/>
      <c r="Z781" s="163"/>
    </row>
    <row r="782" spans="16:26" ht="10.199999999999999" customHeight="1">
      <c r="P782" s="163"/>
      <c r="Q782" s="163"/>
      <c r="R782" s="163"/>
      <c r="S782" s="163"/>
      <c r="T782" s="163"/>
      <c r="U782" s="163"/>
      <c r="V782" s="163"/>
      <c r="W782" s="163"/>
      <c r="X782" s="163"/>
      <c r="Y782" s="163"/>
      <c r="Z782" s="163"/>
    </row>
    <row r="783" spans="16:26" ht="10.199999999999999" customHeight="1">
      <c r="P783" s="163"/>
      <c r="Q783" s="163"/>
      <c r="R783" s="163"/>
      <c r="S783" s="163"/>
      <c r="T783" s="163"/>
      <c r="U783" s="163"/>
      <c r="V783" s="163"/>
      <c r="W783" s="163"/>
      <c r="X783" s="163"/>
      <c r="Y783" s="163"/>
      <c r="Z783" s="163"/>
    </row>
    <row r="784" spans="16:26" ht="10.199999999999999" customHeight="1">
      <c r="P784" s="163"/>
      <c r="Q784" s="163"/>
      <c r="R784" s="163"/>
      <c r="S784" s="163"/>
      <c r="T784" s="163"/>
      <c r="U784" s="163"/>
      <c r="V784" s="163"/>
      <c r="W784" s="163"/>
      <c r="X784" s="163"/>
      <c r="Y784" s="163"/>
      <c r="Z784" s="163"/>
    </row>
    <row r="785" spans="16:26" ht="10.199999999999999" customHeight="1">
      <c r="P785" s="163"/>
      <c r="Q785" s="163"/>
      <c r="R785" s="163"/>
      <c r="S785" s="163"/>
      <c r="T785" s="163"/>
      <c r="U785" s="163"/>
      <c r="V785" s="163"/>
      <c r="W785" s="163"/>
      <c r="X785" s="163"/>
      <c r="Y785" s="163"/>
      <c r="Z785" s="163"/>
    </row>
    <row r="786" spans="16:26" ht="10.199999999999999" customHeight="1">
      <c r="P786" s="163"/>
      <c r="Q786" s="163"/>
      <c r="R786" s="163"/>
      <c r="S786" s="163"/>
      <c r="T786" s="163"/>
      <c r="U786" s="163"/>
      <c r="V786" s="163"/>
      <c r="W786" s="163"/>
      <c r="X786" s="163"/>
      <c r="Y786" s="163"/>
      <c r="Z786" s="163"/>
    </row>
    <row r="787" spans="16:26" ht="10.199999999999999" customHeight="1">
      <c r="P787" s="163"/>
      <c r="Q787" s="163"/>
      <c r="R787" s="163"/>
      <c r="S787" s="163"/>
      <c r="T787" s="163"/>
      <c r="U787" s="163"/>
      <c r="V787" s="163"/>
      <c r="W787" s="163"/>
      <c r="X787" s="163"/>
      <c r="Y787" s="163"/>
      <c r="Z787" s="163"/>
    </row>
    <row r="788" spans="16:26" ht="10.199999999999999" customHeight="1">
      <c r="P788" s="163"/>
      <c r="Q788" s="163"/>
      <c r="R788" s="163"/>
      <c r="S788" s="163"/>
      <c r="T788" s="163"/>
      <c r="U788" s="163"/>
      <c r="V788" s="163"/>
      <c r="W788" s="163"/>
      <c r="X788" s="163"/>
      <c r="Y788" s="163"/>
      <c r="Z788" s="163"/>
    </row>
    <row r="789" spans="16:26" ht="10.199999999999999" customHeight="1">
      <c r="P789" s="163"/>
      <c r="Q789" s="163"/>
      <c r="R789" s="163"/>
      <c r="S789" s="163"/>
      <c r="T789" s="163"/>
      <c r="U789" s="163"/>
      <c r="V789" s="163"/>
      <c r="W789" s="163"/>
      <c r="X789" s="163"/>
      <c r="Y789" s="163"/>
      <c r="Z789" s="163"/>
    </row>
    <row r="790" spans="16:26" ht="10.199999999999999" customHeight="1">
      <c r="P790" s="163"/>
      <c r="Q790" s="163"/>
      <c r="R790" s="163"/>
      <c r="S790" s="163"/>
      <c r="T790" s="163"/>
      <c r="U790" s="163"/>
      <c r="V790" s="163"/>
      <c r="W790" s="163"/>
      <c r="X790" s="163"/>
      <c r="Y790" s="163"/>
      <c r="Z790" s="163"/>
    </row>
    <row r="791" spans="16:26" ht="10.199999999999999" customHeight="1">
      <c r="P791" s="163"/>
      <c r="Q791" s="163"/>
      <c r="R791" s="163"/>
      <c r="S791" s="163"/>
      <c r="T791" s="163"/>
      <c r="U791" s="163"/>
      <c r="V791" s="163"/>
      <c r="W791" s="163"/>
      <c r="X791" s="163"/>
      <c r="Y791" s="163"/>
      <c r="Z791" s="163"/>
    </row>
    <row r="792" spans="16:26" ht="10.199999999999999" customHeight="1">
      <c r="P792" s="163"/>
      <c r="Q792" s="163"/>
      <c r="R792" s="163"/>
      <c r="S792" s="163"/>
      <c r="T792" s="163"/>
      <c r="U792" s="163"/>
      <c r="V792" s="163"/>
      <c r="W792" s="163"/>
      <c r="X792" s="163"/>
      <c r="Y792" s="163"/>
      <c r="Z792" s="163"/>
    </row>
    <row r="793" spans="16:26" ht="10.199999999999999" customHeight="1">
      <c r="P793" s="163"/>
      <c r="Q793" s="163"/>
      <c r="R793" s="163"/>
      <c r="S793" s="163"/>
      <c r="T793" s="163"/>
      <c r="U793" s="163"/>
      <c r="V793" s="163"/>
      <c r="W793" s="163"/>
      <c r="X793" s="163"/>
      <c r="Y793" s="163"/>
      <c r="Z793" s="163"/>
    </row>
    <row r="794" spans="16:26" ht="10.199999999999999" customHeight="1">
      <c r="P794" s="163"/>
      <c r="Q794" s="163"/>
      <c r="R794" s="163"/>
      <c r="S794" s="163"/>
      <c r="T794" s="163"/>
      <c r="U794" s="163"/>
      <c r="V794" s="163"/>
      <c r="W794" s="163"/>
      <c r="X794" s="163"/>
      <c r="Y794" s="163"/>
      <c r="Z794" s="163"/>
    </row>
    <row r="795" spans="16:26" ht="10.199999999999999" customHeight="1">
      <c r="P795" s="163"/>
      <c r="Q795" s="163"/>
      <c r="R795" s="163"/>
      <c r="S795" s="163"/>
      <c r="T795" s="163"/>
      <c r="U795" s="163"/>
      <c r="V795" s="163"/>
      <c r="W795" s="163"/>
      <c r="X795" s="163"/>
      <c r="Y795" s="163"/>
      <c r="Z795" s="163"/>
    </row>
    <row r="796" spans="16:26" ht="10.199999999999999" customHeight="1">
      <c r="P796" s="163"/>
      <c r="Q796" s="163"/>
      <c r="R796" s="163"/>
      <c r="S796" s="163"/>
      <c r="T796" s="163"/>
      <c r="U796" s="163"/>
      <c r="V796" s="163"/>
      <c r="W796" s="163"/>
      <c r="X796" s="163"/>
      <c r="Y796" s="163"/>
      <c r="Z796" s="163"/>
    </row>
    <row r="797" spans="16:26" ht="10.199999999999999" customHeight="1">
      <c r="P797" s="163"/>
      <c r="Q797" s="163"/>
      <c r="R797" s="163"/>
      <c r="S797" s="163"/>
      <c r="T797" s="163"/>
      <c r="U797" s="163"/>
      <c r="V797" s="163"/>
      <c r="W797" s="163"/>
      <c r="X797" s="163"/>
      <c r="Y797" s="163"/>
      <c r="Z797" s="163"/>
    </row>
    <row r="798" spans="16:26" ht="10.199999999999999" customHeight="1">
      <c r="P798" s="163"/>
      <c r="Q798" s="163"/>
      <c r="R798" s="163"/>
      <c r="S798" s="163"/>
      <c r="T798" s="163"/>
      <c r="U798" s="163"/>
      <c r="V798" s="163"/>
      <c r="W798" s="163"/>
      <c r="X798" s="163"/>
      <c r="Y798" s="163"/>
      <c r="Z798" s="163"/>
    </row>
    <row r="799" spans="16:26" ht="10.199999999999999" customHeight="1">
      <c r="P799" s="163"/>
      <c r="Q799" s="163"/>
      <c r="R799" s="163"/>
      <c r="S799" s="163"/>
      <c r="T799" s="163"/>
      <c r="U799" s="163"/>
      <c r="V799" s="163"/>
      <c r="W799" s="163"/>
      <c r="X799" s="163"/>
      <c r="Y799" s="163"/>
      <c r="Z799" s="163"/>
    </row>
    <row r="800" spans="16:26" ht="10.199999999999999" customHeight="1">
      <c r="P800" s="163"/>
      <c r="Q800" s="163"/>
      <c r="R800" s="163"/>
      <c r="S800" s="163"/>
      <c r="T800" s="163"/>
      <c r="U800" s="163"/>
      <c r="V800" s="163"/>
      <c r="W800" s="163"/>
      <c r="X800" s="163"/>
      <c r="Y800" s="163"/>
      <c r="Z800" s="163"/>
    </row>
    <row r="801" spans="16:26" ht="10.199999999999999" customHeight="1">
      <c r="P801" s="163"/>
      <c r="Q801" s="163"/>
      <c r="R801" s="163"/>
      <c r="S801" s="163"/>
      <c r="T801" s="163"/>
      <c r="U801" s="163"/>
      <c r="V801" s="163"/>
      <c r="W801" s="163"/>
      <c r="X801" s="163"/>
      <c r="Y801" s="163"/>
      <c r="Z801" s="163"/>
    </row>
    <row r="802" spans="16:26" ht="10.199999999999999" customHeight="1">
      <c r="P802" s="163"/>
      <c r="Q802" s="163"/>
      <c r="R802" s="163"/>
      <c r="S802" s="163"/>
      <c r="T802" s="163"/>
      <c r="U802" s="163"/>
      <c r="V802" s="163"/>
      <c r="W802" s="163"/>
      <c r="X802" s="163"/>
      <c r="Y802" s="163"/>
      <c r="Z802" s="163"/>
    </row>
    <row r="803" spans="16:26" ht="10.199999999999999" customHeight="1">
      <c r="P803" s="163"/>
      <c r="Q803" s="163"/>
      <c r="R803" s="163"/>
      <c r="S803" s="163"/>
      <c r="T803" s="163"/>
      <c r="U803" s="163"/>
      <c r="V803" s="163"/>
      <c r="W803" s="163"/>
      <c r="X803" s="163"/>
      <c r="Y803" s="163"/>
      <c r="Z803" s="163"/>
    </row>
    <row r="804" spans="16:26" ht="10.199999999999999" customHeight="1">
      <c r="P804" s="163"/>
      <c r="Q804" s="163"/>
      <c r="R804" s="163"/>
      <c r="S804" s="163"/>
      <c r="T804" s="163"/>
      <c r="U804" s="163"/>
      <c r="V804" s="163"/>
      <c r="W804" s="163"/>
      <c r="X804" s="163"/>
      <c r="Y804" s="163"/>
      <c r="Z804" s="163"/>
    </row>
    <row r="805" spans="16:26" ht="10.199999999999999" customHeight="1">
      <c r="P805" s="163"/>
      <c r="Q805" s="163"/>
      <c r="R805" s="163"/>
      <c r="S805" s="163"/>
      <c r="T805" s="163"/>
      <c r="U805" s="163"/>
      <c r="V805" s="163"/>
      <c r="W805" s="163"/>
      <c r="X805" s="163"/>
      <c r="Y805" s="163"/>
      <c r="Z805" s="163"/>
    </row>
    <row r="806" spans="16:26" ht="10.199999999999999" customHeight="1">
      <c r="P806" s="163"/>
      <c r="Q806" s="163"/>
      <c r="R806" s="163"/>
      <c r="S806" s="163"/>
      <c r="T806" s="163"/>
      <c r="U806" s="163"/>
      <c r="V806" s="163"/>
      <c r="W806" s="163"/>
      <c r="X806" s="163"/>
      <c r="Y806" s="163"/>
      <c r="Z806" s="163"/>
    </row>
    <row r="807" spans="16:26" ht="10.199999999999999" customHeight="1">
      <c r="P807" s="163"/>
      <c r="Q807" s="163"/>
      <c r="R807" s="163"/>
      <c r="S807" s="163"/>
      <c r="T807" s="163"/>
      <c r="U807" s="163"/>
      <c r="V807" s="163"/>
      <c r="W807" s="163"/>
      <c r="X807" s="163"/>
      <c r="Y807" s="163"/>
      <c r="Z807" s="163"/>
    </row>
    <row r="808" spans="16:26" ht="10.199999999999999" customHeight="1">
      <c r="P808" s="163"/>
      <c r="Q808" s="163"/>
      <c r="R808" s="163"/>
      <c r="S808" s="163"/>
      <c r="T808" s="163"/>
      <c r="U808" s="163"/>
      <c r="V808" s="163"/>
      <c r="W808" s="163"/>
      <c r="X808" s="163"/>
      <c r="Y808" s="163"/>
      <c r="Z808" s="163"/>
    </row>
    <row r="809" spans="16:26" ht="10.199999999999999" customHeight="1">
      <c r="P809" s="163"/>
      <c r="Q809" s="163"/>
      <c r="R809" s="163"/>
      <c r="S809" s="163"/>
      <c r="T809" s="163"/>
      <c r="U809" s="163"/>
      <c r="V809" s="163"/>
      <c r="W809" s="163"/>
      <c r="X809" s="163"/>
      <c r="Y809" s="163"/>
      <c r="Z809" s="163"/>
    </row>
    <row r="810" spans="16:26" ht="10.199999999999999" customHeight="1">
      <c r="P810" s="163"/>
      <c r="Q810" s="163"/>
      <c r="R810" s="163"/>
      <c r="S810" s="163"/>
      <c r="T810" s="163"/>
      <c r="U810" s="163"/>
      <c r="V810" s="163"/>
      <c r="W810" s="163"/>
      <c r="X810" s="163"/>
      <c r="Y810" s="163"/>
      <c r="Z810" s="163"/>
    </row>
    <row r="811" spans="16:26" ht="10.199999999999999" customHeight="1">
      <c r="P811" s="163"/>
      <c r="Q811" s="163"/>
      <c r="R811" s="163"/>
      <c r="S811" s="163"/>
      <c r="T811" s="163"/>
      <c r="U811" s="163"/>
      <c r="V811" s="163"/>
      <c r="W811" s="163"/>
      <c r="X811" s="163"/>
      <c r="Y811" s="163"/>
      <c r="Z811" s="163"/>
    </row>
    <row r="812" spans="16:26" ht="10.199999999999999" customHeight="1">
      <c r="P812" s="163"/>
      <c r="Q812" s="163"/>
      <c r="R812" s="163"/>
      <c r="S812" s="163"/>
      <c r="T812" s="163"/>
      <c r="U812" s="163"/>
      <c r="V812" s="163"/>
      <c r="W812" s="163"/>
      <c r="X812" s="163"/>
      <c r="Y812" s="163"/>
      <c r="Z812" s="163"/>
    </row>
    <row r="813" spans="16:26" ht="10.199999999999999" customHeight="1">
      <c r="P813" s="163"/>
      <c r="Q813" s="163"/>
      <c r="R813" s="163"/>
      <c r="S813" s="163"/>
      <c r="T813" s="163"/>
      <c r="U813" s="163"/>
      <c r="V813" s="163"/>
      <c r="W813" s="163"/>
      <c r="X813" s="163"/>
      <c r="Y813" s="163"/>
      <c r="Z813" s="163"/>
    </row>
    <row r="814" spans="16:26" ht="10.199999999999999" customHeight="1">
      <c r="P814" s="163"/>
      <c r="Q814" s="163"/>
      <c r="R814" s="163"/>
      <c r="S814" s="163"/>
      <c r="T814" s="163"/>
      <c r="U814" s="163"/>
      <c r="V814" s="163"/>
      <c r="W814" s="163"/>
      <c r="X814" s="163"/>
      <c r="Y814" s="163"/>
      <c r="Z814" s="163"/>
    </row>
    <row r="815" spans="16:26" ht="10.199999999999999" customHeight="1">
      <c r="P815" s="163"/>
      <c r="Q815" s="163"/>
      <c r="R815" s="163"/>
      <c r="S815" s="163"/>
      <c r="T815" s="163"/>
      <c r="U815" s="163"/>
      <c r="V815" s="163"/>
      <c r="W815" s="163"/>
      <c r="X815" s="163"/>
      <c r="Y815" s="163"/>
      <c r="Z815" s="163"/>
    </row>
    <row r="816" spans="16:26" ht="10.199999999999999" customHeight="1">
      <c r="P816" s="163"/>
      <c r="Q816" s="163"/>
      <c r="R816" s="163"/>
      <c r="S816" s="163"/>
      <c r="T816" s="163"/>
      <c r="U816" s="163"/>
      <c r="V816" s="163"/>
      <c r="W816" s="163"/>
      <c r="X816" s="163"/>
      <c r="Y816" s="163"/>
      <c r="Z816" s="163"/>
    </row>
    <row r="817" spans="16:26" ht="10.199999999999999" customHeight="1">
      <c r="P817" s="163"/>
      <c r="Q817" s="163"/>
      <c r="R817" s="163"/>
      <c r="S817" s="163"/>
      <c r="T817" s="163"/>
      <c r="U817" s="163"/>
      <c r="V817" s="163"/>
      <c r="W817" s="163"/>
      <c r="X817" s="163"/>
      <c r="Y817" s="163"/>
      <c r="Z817" s="163"/>
    </row>
    <row r="818" spans="16:26" ht="10.199999999999999" customHeight="1">
      <c r="P818" s="163"/>
      <c r="Q818" s="163"/>
      <c r="R818" s="163"/>
      <c r="S818" s="163"/>
      <c r="T818" s="163"/>
      <c r="U818" s="163"/>
      <c r="V818" s="163"/>
      <c r="W818" s="163"/>
      <c r="X818" s="163"/>
      <c r="Y818" s="163"/>
      <c r="Z818" s="163"/>
    </row>
    <row r="819" spans="16:26" ht="10.199999999999999" customHeight="1">
      <c r="P819" s="163"/>
      <c r="Q819" s="163"/>
      <c r="R819" s="163"/>
      <c r="S819" s="163"/>
      <c r="T819" s="163"/>
      <c r="U819" s="163"/>
      <c r="V819" s="163"/>
      <c r="W819" s="163"/>
      <c r="X819" s="163"/>
      <c r="Y819" s="163"/>
      <c r="Z819" s="163"/>
    </row>
    <row r="820" spans="16:26" ht="10.199999999999999" customHeight="1">
      <c r="P820" s="163"/>
      <c r="Q820" s="163"/>
      <c r="R820" s="163"/>
      <c r="S820" s="163"/>
      <c r="T820" s="163"/>
      <c r="U820" s="163"/>
      <c r="V820" s="163"/>
      <c r="W820" s="163"/>
      <c r="X820" s="163"/>
      <c r="Y820" s="163"/>
      <c r="Z820" s="163"/>
    </row>
    <row r="821" spans="16:26" ht="10.199999999999999" customHeight="1">
      <c r="P821" s="163"/>
      <c r="Q821" s="163"/>
      <c r="R821" s="163"/>
      <c r="S821" s="163"/>
      <c r="T821" s="163"/>
      <c r="U821" s="163"/>
      <c r="V821" s="163"/>
      <c r="W821" s="163"/>
      <c r="X821" s="163"/>
      <c r="Y821" s="163"/>
      <c r="Z821" s="163"/>
    </row>
    <row r="822" spans="16:26" ht="10.199999999999999" customHeight="1">
      <c r="P822" s="163"/>
      <c r="Q822" s="163"/>
      <c r="R822" s="163"/>
      <c r="S822" s="163"/>
      <c r="T822" s="163"/>
      <c r="U822" s="163"/>
      <c r="V822" s="163"/>
      <c r="W822" s="163"/>
      <c r="X822" s="163"/>
      <c r="Y822" s="163"/>
      <c r="Z822" s="163"/>
    </row>
    <row r="823" spans="16:26" ht="10.199999999999999" customHeight="1">
      <c r="P823" s="163"/>
      <c r="Q823" s="163"/>
      <c r="R823" s="163"/>
      <c r="S823" s="163"/>
      <c r="T823" s="163"/>
      <c r="U823" s="163"/>
      <c r="V823" s="163"/>
      <c r="W823" s="163"/>
      <c r="X823" s="163"/>
      <c r="Y823" s="163"/>
      <c r="Z823" s="163"/>
    </row>
    <row r="824" spans="16:26" ht="10.199999999999999" customHeight="1">
      <c r="P824" s="163"/>
      <c r="Q824" s="163"/>
      <c r="R824" s="163"/>
      <c r="S824" s="163"/>
      <c r="T824" s="163"/>
      <c r="U824" s="163"/>
      <c r="V824" s="163"/>
      <c r="W824" s="163"/>
      <c r="X824" s="163"/>
      <c r="Y824" s="163"/>
      <c r="Z824" s="163"/>
    </row>
    <row r="825" spans="16:26" ht="10.199999999999999" customHeight="1">
      <c r="P825" s="163"/>
      <c r="Q825" s="163"/>
      <c r="R825" s="163"/>
      <c r="S825" s="163"/>
      <c r="T825" s="163"/>
      <c r="U825" s="163"/>
      <c r="V825" s="163"/>
      <c r="W825" s="163"/>
      <c r="X825" s="163"/>
      <c r="Y825" s="163"/>
      <c r="Z825" s="163"/>
    </row>
    <row r="826" spans="16:26" ht="10.199999999999999" customHeight="1">
      <c r="P826" s="163"/>
      <c r="Q826" s="163"/>
      <c r="R826" s="163"/>
      <c r="S826" s="163"/>
      <c r="T826" s="163"/>
      <c r="U826" s="163"/>
      <c r="V826" s="163"/>
      <c r="W826" s="163"/>
      <c r="X826" s="163"/>
      <c r="Y826" s="163"/>
      <c r="Z826" s="163"/>
    </row>
    <row r="827" spans="16:26" ht="10.199999999999999" customHeight="1">
      <c r="P827" s="163"/>
      <c r="Q827" s="163"/>
      <c r="R827" s="163"/>
      <c r="S827" s="163"/>
      <c r="T827" s="163"/>
      <c r="U827" s="163"/>
      <c r="V827" s="163"/>
      <c r="W827" s="163"/>
      <c r="X827" s="163"/>
      <c r="Y827" s="163"/>
      <c r="Z827" s="163"/>
    </row>
    <row r="828" spans="16:26" ht="10.199999999999999" customHeight="1">
      <c r="P828" s="163"/>
      <c r="Q828" s="163"/>
      <c r="R828" s="163"/>
      <c r="S828" s="163"/>
      <c r="T828" s="163"/>
      <c r="U828" s="163"/>
      <c r="V828" s="163"/>
      <c r="W828" s="163"/>
      <c r="X828" s="163"/>
      <c r="Y828" s="163"/>
      <c r="Z828" s="163"/>
    </row>
    <row r="829" spans="16:26" ht="10.199999999999999" customHeight="1">
      <c r="P829" s="163"/>
      <c r="Q829" s="163"/>
      <c r="R829" s="163"/>
      <c r="S829" s="163"/>
      <c r="T829" s="163"/>
      <c r="U829" s="163"/>
      <c r="V829" s="163"/>
      <c r="W829" s="163"/>
      <c r="X829" s="163"/>
      <c r="Y829" s="163"/>
      <c r="Z829" s="163"/>
    </row>
    <row r="830" spans="16:26" ht="10.199999999999999" customHeight="1">
      <c r="P830" s="163"/>
      <c r="Q830" s="163"/>
      <c r="R830" s="163"/>
      <c r="S830" s="163"/>
      <c r="T830" s="163"/>
      <c r="U830" s="163"/>
      <c r="V830" s="163"/>
      <c r="W830" s="163"/>
      <c r="X830" s="163"/>
      <c r="Y830" s="163"/>
      <c r="Z830" s="163"/>
    </row>
    <row r="831" spans="16:26" ht="10.199999999999999" customHeight="1">
      <c r="P831" s="163"/>
      <c r="Q831" s="163"/>
      <c r="R831" s="163"/>
      <c r="S831" s="163"/>
      <c r="T831" s="163"/>
      <c r="U831" s="163"/>
      <c r="V831" s="163"/>
      <c r="W831" s="163"/>
      <c r="X831" s="163"/>
      <c r="Y831" s="163"/>
      <c r="Z831" s="163"/>
    </row>
    <row r="832" spans="16:26" ht="10.199999999999999" customHeight="1">
      <c r="P832" s="163"/>
      <c r="Q832" s="163"/>
      <c r="R832" s="163"/>
      <c r="S832" s="163"/>
      <c r="T832" s="163"/>
      <c r="U832" s="163"/>
      <c r="V832" s="163"/>
      <c r="W832" s="163"/>
      <c r="X832" s="163"/>
      <c r="Y832" s="163"/>
      <c r="Z832" s="163"/>
    </row>
    <row r="833" spans="16:26" ht="10.199999999999999" customHeight="1">
      <c r="P833" s="163"/>
      <c r="Q833" s="163"/>
      <c r="R833" s="163"/>
      <c r="S833" s="163"/>
      <c r="T833" s="163"/>
      <c r="U833" s="163"/>
      <c r="V833" s="163"/>
      <c r="W833" s="163"/>
      <c r="X833" s="163"/>
      <c r="Y833" s="163"/>
      <c r="Z833" s="163"/>
    </row>
    <row r="834" spans="16:26" ht="10.199999999999999" customHeight="1">
      <c r="P834" s="163"/>
      <c r="Q834" s="163"/>
      <c r="R834" s="163"/>
      <c r="S834" s="163"/>
      <c r="T834" s="163"/>
      <c r="U834" s="163"/>
      <c r="V834" s="163"/>
      <c r="W834" s="163"/>
      <c r="X834" s="163"/>
      <c r="Y834" s="163"/>
      <c r="Z834" s="163"/>
    </row>
    <row r="835" spans="16:26" ht="10.199999999999999" customHeight="1">
      <c r="P835" s="163"/>
      <c r="Q835" s="163"/>
      <c r="R835" s="163"/>
      <c r="S835" s="163"/>
      <c r="T835" s="163"/>
      <c r="U835" s="163"/>
      <c r="V835" s="163"/>
      <c r="W835" s="163"/>
      <c r="X835" s="163"/>
      <c r="Y835" s="163"/>
      <c r="Z835" s="163"/>
    </row>
    <row r="836" spans="16:26" ht="10.199999999999999" customHeight="1">
      <c r="P836" s="163"/>
      <c r="Q836" s="163"/>
      <c r="R836" s="163"/>
      <c r="S836" s="163"/>
      <c r="T836" s="163"/>
      <c r="U836" s="163"/>
      <c r="V836" s="163"/>
      <c r="W836" s="163"/>
      <c r="X836" s="163"/>
      <c r="Y836" s="163"/>
      <c r="Z836" s="163"/>
    </row>
    <row r="837" spans="16:26" ht="10.199999999999999" customHeight="1">
      <c r="P837" s="163"/>
      <c r="Q837" s="163"/>
      <c r="R837" s="163"/>
      <c r="S837" s="163"/>
      <c r="T837" s="163"/>
      <c r="U837" s="163"/>
      <c r="V837" s="163"/>
      <c r="W837" s="163"/>
      <c r="X837" s="163"/>
      <c r="Y837" s="163"/>
      <c r="Z837" s="163"/>
    </row>
    <row r="838" spans="16:26" ht="10.199999999999999" customHeight="1">
      <c r="P838" s="163"/>
      <c r="Q838" s="163"/>
      <c r="R838" s="163"/>
      <c r="S838" s="163"/>
      <c r="T838" s="163"/>
      <c r="U838" s="163"/>
      <c r="V838" s="163"/>
      <c r="W838" s="163"/>
      <c r="X838" s="163"/>
      <c r="Y838" s="163"/>
      <c r="Z838" s="163"/>
    </row>
    <row r="839" spans="16:26" ht="10.199999999999999" customHeight="1">
      <c r="P839" s="163"/>
      <c r="Q839" s="163"/>
      <c r="R839" s="163"/>
      <c r="S839" s="163"/>
      <c r="T839" s="163"/>
      <c r="U839" s="163"/>
      <c r="V839" s="163"/>
      <c r="W839" s="163"/>
      <c r="X839" s="163"/>
      <c r="Y839" s="163"/>
      <c r="Z839" s="163"/>
    </row>
    <row r="840" spans="16:26" ht="10.199999999999999" customHeight="1">
      <c r="P840" s="163"/>
      <c r="Q840" s="163"/>
      <c r="R840" s="163"/>
      <c r="S840" s="163"/>
      <c r="T840" s="163"/>
      <c r="U840" s="163"/>
      <c r="V840" s="163"/>
      <c r="W840" s="163"/>
      <c r="X840" s="163"/>
      <c r="Y840" s="163"/>
      <c r="Z840" s="163"/>
    </row>
    <row r="841" spans="16:26" ht="10.199999999999999" customHeight="1">
      <c r="P841" s="163"/>
      <c r="Q841" s="163"/>
      <c r="R841" s="163"/>
      <c r="S841" s="163"/>
      <c r="T841" s="163"/>
      <c r="U841" s="163"/>
      <c r="V841" s="163"/>
      <c r="W841" s="163"/>
      <c r="X841" s="163"/>
      <c r="Y841" s="163"/>
      <c r="Z841" s="163"/>
    </row>
    <row r="842" spans="16:26" ht="10.199999999999999" customHeight="1">
      <c r="P842" s="163"/>
      <c r="Q842" s="163"/>
      <c r="R842" s="163"/>
      <c r="S842" s="163"/>
      <c r="T842" s="163"/>
      <c r="U842" s="163"/>
      <c r="V842" s="163"/>
      <c r="W842" s="163"/>
      <c r="X842" s="163"/>
      <c r="Y842" s="163"/>
      <c r="Z842" s="163"/>
    </row>
    <row r="843" spans="16:26" ht="10.199999999999999" customHeight="1">
      <c r="P843" s="163"/>
      <c r="Q843" s="163"/>
      <c r="R843" s="163"/>
      <c r="S843" s="163"/>
      <c r="T843" s="163"/>
      <c r="U843" s="163"/>
      <c r="V843" s="163"/>
      <c r="W843" s="163"/>
      <c r="X843" s="163"/>
      <c r="Y843" s="163"/>
      <c r="Z843" s="163"/>
    </row>
    <row r="844" spans="16:26" ht="10.199999999999999" customHeight="1">
      <c r="P844" s="163"/>
      <c r="Q844" s="163"/>
      <c r="R844" s="163"/>
      <c r="S844" s="163"/>
      <c r="T844" s="163"/>
      <c r="U844" s="163"/>
      <c r="V844" s="163"/>
      <c r="W844" s="163"/>
      <c r="X844" s="163"/>
      <c r="Y844" s="163"/>
      <c r="Z844" s="163"/>
    </row>
    <row r="845" spans="16:26" ht="10.199999999999999" customHeight="1">
      <c r="P845" s="163"/>
      <c r="Q845" s="163"/>
      <c r="R845" s="163"/>
      <c r="S845" s="163"/>
      <c r="T845" s="163"/>
      <c r="U845" s="163"/>
      <c r="V845" s="163"/>
      <c r="W845" s="163"/>
      <c r="X845" s="163"/>
      <c r="Y845" s="163"/>
      <c r="Z845" s="163"/>
    </row>
    <row r="846" spans="16:26" ht="10.199999999999999" customHeight="1">
      <c r="P846" s="163"/>
      <c r="Q846" s="163"/>
      <c r="R846" s="163"/>
      <c r="S846" s="163"/>
      <c r="T846" s="163"/>
      <c r="U846" s="163"/>
      <c r="V846" s="163"/>
      <c r="W846" s="163"/>
      <c r="X846" s="163"/>
      <c r="Y846" s="163"/>
      <c r="Z846" s="163"/>
    </row>
    <row r="847" spans="16:26" ht="10.199999999999999" customHeight="1">
      <c r="P847" s="163"/>
      <c r="Q847" s="163"/>
      <c r="R847" s="163"/>
      <c r="S847" s="163"/>
      <c r="T847" s="163"/>
      <c r="U847" s="163"/>
      <c r="V847" s="163"/>
      <c r="W847" s="163"/>
      <c r="X847" s="163"/>
      <c r="Y847" s="163"/>
      <c r="Z847" s="163"/>
    </row>
    <row r="848" spans="16:26" ht="10.199999999999999" customHeight="1">
      <c r="P848" s="163"/>
      <c r="Q848" s="163"/>
      <c r="R848" s="163"/>
      <c r="S848" s="163"/>
      <c r="T848" s="163"/>
      <c r="U848" s="163"/>
      <c r="V848" s="163"/>
      <c r="W848" s="163"/>
      <c r="X848" s="163"/>
      <c r="Y848" s="163"/>
      <c r="Z848" s="163"/>
    </row>
    <row r="849" spans="16:26" ht="10.199999999999999" customHeight="1">
      <c r="P849" s="163"/>
      <c r="Q849" s="163"/>
      <c r="R849" s="163"/>
      <c r="S849" s="163"/>
      <c r="T849" s="163"/>
      <c r="U849" s="163"/>
      <c r="V849" s="163"/>
      <c r="W849" s="163"/>
      <c r="X849" s="163"/>
      <c r="Y849" s="163"/>
      <c r="Z849" s="163"/>
    </row>
    <row r="850" spans="16:26" ht="10.199999999999999" customHeight="1">
      <c r="P850" s="163"/>
      <c r="Q850" s="163"/>
      <c r="R850" s="163"/>
      <c r="S850" s="163"/>
      <c r="T850" s="163"/>
      <c r="U850" s="163"/>
      <c r="V850" s="163"/>
      <c r="W850" s="163"/>
      <c r="X850" s="163"/>
      <c r="Y850" s="163"/>
      <c r="Z850" s="163"/>
    </row>
    <row r="851" spans="16:26" ht="10.199999999999999" customHeight="1">
      <c r="P851" s="163"/>
      <c r="Q851" s="163"/>
      <c r="R851" s="163"/>
      <c r="S851" s="163"/>
      <c r="T851" s="163"/>
      <c r="U851" s="163"/>
      <c r="V851" s="163"/>
      <c r="W851" s="163"/>
      <c r="X851" s="163"/>
      <c r="Y851" s="163"/>
      <c r="Z851" s="163"/>
    </row>
    <row r="852" spans="16:26" ht="10.199999999999999" customHeight="1">
      <c r="P852" s="163"/>
      <c r="Q852" s="163"/>
      <c r="R852" s="163"/>
      <c r="S852" s="163"/>
      <c r="T852" s="163"/>
      <c r="U852" s="163"/>
      <c r="V852" s="163"/>
      <c r="W852" s="163"/>
      <c r="X852" s="163"/>
      <c r="Y852" s="163"/>
      <c r="Z852" s="163"/>
    </row>
    <row r="853" spans="16:26" ht="10.199999999999999" customHeight="1">
      <c r="P853" s="163"/>
      <c r="Q853" s="163"/>
      <c r="R853" s="163"/>
      <c r="S853" s="163"/>
      <c r="T853" s="163"/>
      <c r="U853" s="163"/>
      <c r="V853" s="163"/>
      <c r="W853" s="163"/>
      <c r="X853" s="163"/>
      <c r="Y853" s="163"/>
      <c r="Z853" s="163"/>
    </row>
    <row r="854" spans="16:26" ht="10.199999999999999" customHeight="1">
      <c r="P854" s="163"/>
      <c r="Q854" s="163"/>
      <c r="R854" s="163"/>
      <c r="S854" s="163"/>
      <c r="T854" s="163"/>
      <c r="U854" s="163"/>
      <c r="V854" s="163"/>
      <c r="W854" s="163"/>
      <c r="X854" s="163"/>
      <c r="Y854" s="163"/>
      <c r="Z854" s="163"/>
    </row>
    <row r="855" spans="16:26" ht="10.199999999999999" customHeight="1">
      <c r="P855" s="163"/>
      <c r="Q855" s="163"/>
      <c r="R855" s="163"/>
      <c r="S855" s="163"/>
      <c r="T855" s="163"/>
      <c r="U855" s="163"/>
      <c r="V855" s="163"/>
      <c r="W855" s="163"/>
      <c r="X855" s="163"/>
      <c r="Y855" s="163"/>
      <c r="Z855" s="163"/>
    </row>
    <row r="856" spans="16:26" ht="10.199999999999999" customHeight="1">
      <c r="P856" s="163"/>
      <c r="Q856" s="163"/>
      <c r="R856" s="163"/>
      <c r="S856" s="163"/>
      <c r="T856" s="163"/>
      <c r="U856" s="163"/>
      <c r="V856" s="163"/>
      <c r="W856" s="163"/>
      <c r="X856" s="163"/>
      <c r="Y856" s="163"/>
      <c r="Z856" s="163"/>
    </row>
    <row r="857" spans="16:26" ht="10.199999999999999" customHeight="1">
      <c r="P857" s="163"/>
      <c r="Q857" s="163"/>
      <c r="R857" s="163"/>
      <c r="S857" s="163"/>
      <c r="T857" s="163"/>
      <c r="U857" s="163"/>
      <c r="V857" s="163"/>
      <c r="W857" s="163"/>
      <c r="X857" s="163"/>
      <c r="Y857" s="163"/>
      <c r="Z857" s="163"/>
    </row>
    <row r="858" spans="16:26" ht="10.199999999999999" customHeight="1">
      <c r="P858" s="163"/>
      <c r="Q858" s="163"/>
      <c r="R858" s="163"/>
      <c r="S858" s="163"/>
      <c r="T858" s="163"/>
      <c r="U858" s="163"/>
      <c r="V858" s="163"/>
      <c r="W858" s="163"/>
      <c r="X858" s="163"/>
      <c r="Y858" s="163"/>
      <c r="Z858" s="163"/>
    </row>
    <row r="859" spans="16:26" ht="10.199999999999999" customHeight="1">
      <c r="P859" s="163"/>
      <c r="Q859" s="163"/>
      <c r="R859" s="163"/>
      <c r="S859" s="163"/>
      <c r="T859" s="163"/>
      <c r="U859" s="163"/>
      <c r="V859" s="163"/>
      <c r="W859" s="163"/>
      <c r="X859" s="163"/>
      <c r="Y859" s="163"/>
      <c r="Z859" s="163"/>
    </row>
    <row r="860" spans="16:26" ht="10.199999999999999" customHeight="1">
      <c r="P860" s="163"/>
      <c r="Q860" s="163"/>
      <c r="R860" s="163"/>
      <c r="S860" s="163"/>
      <c r="T860" s="163"/>
      <c r="U860" s="163"/>
      <c r="V860" s="163"/>
      <c r="W860" s="163"/>
      <c r="X860" s="163"/>
      <c r="Y860" s="163"/>
      <c r="Z860" s="163"/>
    </row>
    <row r="861" spans="16:26" ht="10.199999999999999" customHeight="1">
      <c r="P861" s="163"/>
      <c r="Q861" s="163"/>
      <c r="R861" s="163"/>
      <c r="S861" s="163"/>
      <c r="T861" s="163"/>
      <c r="U861" s="163"/>
      <c r="V861" s="163"/>
      <c r="W861" s="163"/>
      <c r="X861" s="163"/>
      <c r="Y861" s="163"/>
      <c r="Z861" s="163"/>
    </row>
    <row r="862" spans="16:26" ht="10.199999999999999" customHeight="1">
      <c r="P862" s="163"/>
      <c r="Q862" s="163"/>
      <c r="R862" s="163"/>
      <c r="S862" s="163"/>
      <c r="T862" s="163"/>
      <c r="U862" s="163"/>
      <c r="V862" s="163"/>
      <c r="W862" s="163"/>
      <c r="X862" s="163"/>
      <c r="Y862" s="163"/>
      <c r="Z862" s="163"/>
    </row>
    <row r="863" spans="16:26" ht="10.199999999999999" customHeight="1">
      <c r="P863" s="163"/>
      <c r="Q863" s="163"/>
      <c r="R863" s="163"/>
      <c r="S863" s="163"/>
      <c r="T863" s="163"/>
      <c r="U863" s="163"/>
      <c r="V863" s="163"/>
      <c r="W863" s="163"/>
      <c r="X863" s="163"/>
      <c r="Y863" s="163"/>
      <c r="Z863" s="163"/>
    </row>
    <row r="864" spans="16:26" ht="10.199999999999999" customHeight="1">
      <c r="P864" s="163"/>
      <c r="Q864" s="163"/>
      <c r="R864" s="163"/>
      <c r="S864" s="163"/>
      <c r="T864" s="163"/>
      <c r="U864" s="163"/>
      <c r="V864" s="163"/>
      <c r="W864" s="163"/>
      <c r="X864" s="163"/>
      <c r="Y864" s="163"/>
      <c r="Z864" s="163"/>
    </row>
    <row r="865" spans="16:26" ht="10.199999999999999" customHeight="1">
      <c r="P865" s="163"/>
      <c r="Q865" s="163"/>
      <c r="R865" s="163"/>
      <c r="S865" s="163"/>
      <c r="T865" s="163"/>
      <c r="U865" s="163"/>
      <c r="V865" s="163"/>
      <c r="W865" s="163"/>
      <c r="X865" s="163"/>
      <c r="Y865" s="163"/>
      <c r="Z865" s="163"/>
    </row>
    <row r="866" spans="16:26" ht="10.199999999999999" customHeight="1">
      <c r="P866" s="163"/>
      <c r="Q866" s="163"/>
      <c r="R866" s="163"/>
      <c r="S866" s="163"/>
      <c r="T866" s="163"/>
      <c r="U866" s="163"/>
      <c r="V866" s="163"/>
      <c r="W866" s="163"/>
      <c r="X866" s="163"/>
      <c r="Y866" s="163"/>
      <c r="Z866" s="163"/>
    </row>
    <row r="867" spans="16:26" ht="10.199999999999999" customHeight="1">
      <c r="P867" s="163"/>
      <c r="Q867" s="163"/>
      <c r="R867" s="163"/>
      <c r="S867" s="163"/>
      <c r="T867" s="163"/>
      <c r="U867" s="163"/>
      <c r="V867" s="163"/>
      <c r="W867" s="163"/>
      <c r="X867" s="163"/>
      <c r="Y867" s="163"/>
      <c r="Z867" s="163"/>
    </row>
    <row r="868" spans="16:26" ht="10.199999999999999" customHeight="1">
      <c r="P868" s="163"/>
      <c r="Q868" s="163"/>
      <c r="R868" s="163"/>
      <c r="S868" s="163"/>
      <c r="T868" s="163"/>
      <c r="U868" s="163"/>
      <c r="V868" s="163"/>
      <c r="W868" s="163"/>
      <c r="X868" s="163"/>
      <c r="Y868" s="163"/>
      <c r="Z868" s="163"/>
    </row>
    <row r="869" spans="16:26" ht="10.199999999999999" customHeight="1">
      <c r="P869" s="163"/>
      <c r="Q869" s="163"/>
      <c r="R869" s="163"/>
      <c r="S869" s="163"/>
      <c r="T869" s="163"/>
      <c r="U869" s="163"/>
      <c r="V869" s="163"/>
      <c r="W869" s="163"/>
      <c r="X869" s="163"/>
      <c r="Y869" s="163"/>
      <c r="Z869" s="163"/>
    </row>
    <row r="870" spans="16:26" ht="10.199999999999999" customHeight="1">
      <c r="P870" s="163"/>
      <c r="Q870" s="163"/>
      <c r="R870" s="163"/>
      <c r="S870" s="163"/>
      <c r="T870" s="163"/>
      <c r="U870" s="163"/>
      <c r="V870" s="163"/>
      <c r="W870" s="163"/>
      <c r="X870" s="163"/>
      <c r="Y870" s="163"/>
      <c r="Z870" s="163"/>
    </row>
    <row r="871" spans="16:26" ht="10.199999999999999" customHeight="1">
      <c r="P871" s="163"/>
      <c r="Q871" s="163"/>
      <c r="R871" s="163"/>
      <c r="S871" s="163"/>
      <c r="T871" s="163"/>
      <c r="U871" s="163"/>
      <c r="V871" s="163"/>
      <c r="W871" s="163"/>
      <c r="X871" s="163"/>
      <c r="Y871" s="163"/>
      <c r="Z871" s="163"/>
    </row>
    <row r="872" spans="16:26" ht="10.199999999999999" customHeight="1">
      <c r="P872" s="163"/>
      <c r="Q872" s="163"/>
      <c r="R872" s="163"/>
      <c r="S872" s="163"/>
      <c r="T872" s="163"/>
      <c r="U872" s="163"/>
      <c r="V872" s="163"/>
      <c r="W872" s="163"/>
      <c r="X872" s="163"/>
      <c r="Y872" s="163"/>
      <c r="Z872" s="163"/>
    </row>
    <row r="873" spans="16:26" ht="10.199999999999999" customHeight="1">
      <c r="P873" s="163"/>
      <c r="Q873" s="163"/>
      <c r="R873" s="163"/>
      <c r="S873" s="163"/>
      <c r="T873" s="163"/>
      <c r="U873" s="163"/>
      <c r="V873" s="163"/>
      <c r="W873" s="163"/>
      <c r="X873" s="163"/>
      <c r="Y873" s="163"/>
      <c r="Z873" s="163"/>
    </row>
    <row r="874" spans="16:26" ht="10.199999999999999" customHeight="1">
      <c r="P874" s="163"/>
      <c r="Q874" s="163"/>
      <c r="R874" s="163"/>
      <c r="S874" s="163"/>
      <c r="T874" s="163"/>
      <c r="U874" s="163"/>
      <c r="V874" s="163"/>
      <c r="W874" s="163"/>
      <c r="X874" s="163"/>
      <c r="Y874" s="163"/>
      <c r="Z874" s="163"/>
    </row>
    <row r="875" spans="16:26" ht="10.199999999999999" customHeight="1">
      <c r="P875" s="163"/>
      <c r="Q875" s="163"/>
      <c r="R875" s="163"/>
      <c r="S875" s="163"/>
      <c r="T875" s="163"/>
      <c r="U875" s="163"/>
      <c r="V875" s="163"/>
      <c r="W875" s="163"/>
      <c r="X875" s="163"/>
      <c r="Y875" s="163"/>
      <c r="Z875" s="163"/>
    </row>
    <row r="876" spans="16:26" ht="10.199999999999999" customHeight="1">
      <c r="P876" s="163"/>
      <c r="Q876" s="163"/>
      <c r="R876" s="163"/>
      <c r="S876" s="163"/>
      <c r="T876" s="163"/>
      <c r="U876" s="163"/>
      <c r="V876" s="163"/>
      <c r="W876" s="163"/>
      <c r="X876" s="163"/>
      <c r="Y876" s="163"/>
      <c r="Z876" s="163"/>
    </row>
    <row r="877" spans="16:26" ht="10.199999999999999" customHeight="1">
      <c r="P877" s="163"/>
      <c r="Q877" s="163"/>
      <c r="R877" s="163"/>
      <c r="S877" s="163"/>
      <c r="T877" s="163"/>
      <c r="U877" s="163"/>
      <c r="V877" s="163"/>
      <c r="W877" s="163"/>
      <c r="X877" s="163"/>
      <c r="Y877" s="163"/>
      <c r="Z877" s="163"/>
    </row>
    <row r="878" spans="16:26" ht="10.199999999999999" customHeight="1">
      <c r="P878" s="163"/>
      <c r="Q878" s="163"/>
      <c r="R878" s="163"/>
      <c r="S878" s="163"/>
      <c r="T878" s="163"/>
      <c r="U878" s="163"/>
      <c r="V878" s="163"/>
      <c r="W878" s="163"/>
      <c r="X878" s="163"/>
      <c r="Y878" s="163"/>
      <c r="Z878" s="163"/>
    </row>
    <row r="879" spans="16:26" ht="10.199999999999999" customHeight="1">
      <c r="P879" s="163"/>
      <c r="Q879" s="163"/>
      <c r="R879" s="163"/>
      <c r="S879" s="163"/>
      <c r="T879" s="163"/>
      <c r="U879" s="163"/>
      <c r="V879" s="163"/>
      <c r="W879" s="163"/>
      <c r="X879" s="163"/>
      <c r="Y879" s="163"/>
      <c r="Z879" s="163"/>
    </row>
    <row r="880" spans="16:26" ht="10.199999999999999" customHeight="1">
      <c r="P880" s="163"/>
      <c r="Q880" s="163"/>
      <c r="R880" s="163"/>
      <c r="S880" s="163"/>
      <c r="T880" s="163"/>
      <c r="U880" s="163"/>
      <c r="V880" s="163"/>
      <c r="W880" s="163"/>
      <c r="X880" s="163"/>
      <c r="Y880" s="163"/>
      <c r="Z880" s="163"/>
    </row>
    <row r="881" spans="16:26" ht="10.199999999999999" customHeight="1">
      <c r="P881" s="163"/>
      <c r="Q881" s="163"/>
      <c r="R881" s="163"/>
      <c r="S881" s="163"/>
      <c r="T881" s="163"/>
      <c r="U881" s="163"/>
      <c r="V881" s="163"/>
      <c r="W881" s="163"/>
      <c r="X881" s="163"/>
      <c r="Y881" s="163"/>
      <c r="Z881" s="163"/>
    </row>
    <row r="882" spans="16:26" ht="10.199999999999999" customHeight="1">
      <c r="P882" s="163"/>
      <c r="Q882" s="163"/>
      <c r="R882" s="163"/>
      <c r="S882" s="163"/>
      <c r="T882" s="163"/>
      <c r="U882" s="163"/>
      <c r="V882" s="163"/>
      <c r="W882" s="163"/>
      <c r="X882" s="163"/>
      <c r="Y882" s="163"/>
      <c r="Z882" s="163"/>
    </row>
    <row r="883" spans="16:26" ht="10.199999999999999" customHeight="1">
      <c r="P883" s="163"/>
      <c r="Q883" s="163"/>
      <c r="R883" s="163"/>
      <c r="S883" s="163"/>
      <c r="T883" s="163"/>
      <c r="U883" s="163"/>
      <c r="V883" s="163"/>
      <c r="W883" s="163"/>
      <c r="X883" s="163"/>
      <c r="Y883" s="163"/>
      <c r="Z883" s="163"/>
    </row>
    <row r="884" spans="16:26" ht="10.199999999999999" customHeight="1">
      <c r="P884" s="163"/>
      <c r="Q884" s="163"/>
      <c r="R884" s="163"/>
      <c r="S884" s="163"/>
      <c r="T884" s="163"/>
      <c r="U884" s="163"/>
      <c r="V884" s="163"/>
      <c r="W884" s="163"/>
      <c r="X884" s="163"/>
      <c r="Y884" s="163"/>
      <c r="Z884" s="163"/>
    </row>
  </sheetData>
  <sheetProtection password="83B1" sheet="1" objects="1" scenarios="1" selectLockedCells="1"/>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Z884"/>
  <sheetViews>
    <sheetView workbookViewId="0">
      <selection activeCell="P1" sqref="P1"/>
    </sheetView>
  </sheetViews>
  <sheetFormatPr defaultRowHeight="10.199999999999999" customHeight="1"/>
  <cols>
    <col min="1" max="15" width="8.88671875" style="98"/>
    <col min="16" max="26" width="8.88671875" style="164"/>
    <col min="27" max="16384" width="8.88671875" style="98"/>
  </cols>
  <sheetData>
    <row r="1" spans="2:26" ht="10.199999999999999" customHeight="1">
      <c r="B1" s="98" t="s">
        <v>144</v>
      </c>
      <c r="C1" s="98" t="s">
        <v>145</v>
      </c>
      <c r="D1" s="98" t="s">
        <v>146</v>
      </c>
      <c r="E1" s="98" t="s">
        <v>147</v>
      </c>
      <c r="F1" s="98" t="s">
        <v>148</v>
      </c>
      <c r="G1" s="98" t="s">
        <v>149</v>
      </c>
      <c r="H1" s="98" t="s">
        <v>150</v>
      </c>
      <c r="I1" s="98" t="s">
        <v>151</v>
      </c>
      <c r="J1" s="98" t="s">
        <v>152</v>
      </c>
      <c r="P1" s="167"/>
      <c r="Q1" s="167"/>
      <c r="R1" s="167"/>
      <c r="S1" s="167"/>
      <c r="T1" s="167"/>
      <c r="U1" s="167"/>
      <c r="V1" s="167"/>
      <c r="W1" s="167"/>
      <c r="X1" s="167"/>
      <c r="Y1" s="167"/>
      <c r="Z1" s="167"/>
    </row>
    <row r="2" spans="2:26" ht="10.199999999999999" customHeight="1">
      <c r="B2" s="98" t="s">
        <v>153</v>
      </c>
      <c r="C2" s="98" t="s">
        <v>154</v>
      </c>
      <c r="D2" s="98" t="s">
        <v>154</v>
      </c>
      <c r="E2" s="98" t="s">
        <v>155</v>
      </c>
      <c r="F2" s="98" t="s">
        <v>155</v>
      </c>
      <c r="G2" s="98" t="s">
        <v>156</v>
      </c>
      <c r="H2" s="98" t="s">
        <v>157</v>
      </c>
      <c r="I2" s="98" t="s">
        <v>158</v>
      </c>
      <c r="J2" s="98" t="s">
        <v>159</v>
      </c>
      <c r="K2" s="98" t="s">
        <v>160</v>
      </c>
      <c r="L2" s="98" t="s">
        <v>161</v>
      </c>
      <c r="P2" s="167"/>
      <c r="Q2" s="167"/>
      <c r="R2" s="167"/>
      <c r="S2" s="167"/>
      <c r="T2" s="167"/>
      <c r="U2" s="167"/>
      <c r="V2" s="167"/>
      <c r="W2" s="167"/>
      <c r="X2" s="167"/>
      <c r="Y2" s="167"/>
      <c r="Z2" s="167"/>
    </row>
    <row r="3" spans="2:26" ht="10.199999999999999" customHeight="1">
      <c r="P3" s="167"/>
      <c r="Q3" s="167"/>
      <c r="R3" s="167"/>
      <c r="S3" s="167"/>
      <c r="T3" s="167"/>
      <c r="U3" s="167"/>
      <c r="V3" s="167"/>
      <c r="W3" s="167"/>
      <c r="X3" s="167"/>
      <c r="Y3" s="167"/>
      <c r="Z3" s="167"/>
    </row>
    <row r="4" spans="2:26" ht="10.199999999999999" customHeight="1">
      <c r="B4" s="98" t="s">
        <v>162</v>
      </c>
      <c r="C4" s="95" t="str">
        <f ca="1">IF(P1="","","L"&amp;MID(INDIRECT("P"&amp;L4),6,2))</f>
        <v/>
      </c>
      <c r="D4" s="95" t="str">
        <f ca="1">IF(P1="","",MID(INDIRECT("P"&amp;L4),SEARCH("(",INDIRECT("P"&amp;L4),1)+1,3))</f>
        <v/>
      </c>
      <c r="E4" s="95" t="str">
        <f ca="1">IF(P1="","",MID(INDIRECT("P"&amp;L4),SEARCH(")",INDIRECT("P"&amp;L4),1)+2,LEN(INDIRECT("P"&amp;L4))))</f>
        <v/>
      </c>
      <c r="F4" s="95"/>
      <c r="G4" s="95"/>
      <c r="H4" s="95"/>
      <c r="I4" s="95"/>
      <c r="J4" s="95"/>
      <c r="K4" s="95"/>
      <c r="L4" s="95" t="str">
        <f>IF(P1="","",MATCH("CASE*",P1:P10,0))</f>
        <v/>
      </c>
      <c r="M4" s="99">
        <f>ROUND(COUNT(P:P)*1.6,0)</f>
        <v>0</v>
      </c>
      <c r="P4" s="167"/>
      <c r="Q4" s="167"/>
      <c r="R4" s="167"/>
      <c r="S4" s="167"/>
      <c r="T4" s="167"/>
      <c r="U4" s="167"/>
      <c r="V4" s="167"/>
      <c r="W4" s="167"/>
      <c r="X4" s="167"/>
      <c r="Y4" s="167"/>
      <c r="Z4" s="167"/>
    </row>
    <row r="5" spans="2:26" ht="10.199999999999999" customHeight="1">
      <c r="P5" s="167"/>
      <c r="Q5" s="167"/>
      <c r="R5" s="167"/>
      <c r="S5" s="167"/>
      <c r="T5" s="167"/>
      <c r="U5" s="167"/>
      <c r="V5" s="167"/>
      <c r="W5" s="167"/>
      <c r="X5" s="167"/>
      <c r="Y5" s="167"/>
      <c r="Z5" s="167"/>
    </row>
    <row r="6" spans="2:26" ht="10.199999999999999" customHeight="1">
      <c r="B6" s="97" t="str">
        <f>IF(Calculation!BE11="","",Calculation!BE11)</f>
        <v/>
      </c>
      <c r="C6" s="99" t="str">
        <f t="shared" ref="C6:L21" ca="1" si="0">IF($M$4=0,"",VLOOKUP($B6,INDIRECT("$P$1:$Z$"&amp;$M$4),COLUMN()-1,0))</f>
        <v/>
      </c>
      <c r="D6" s="99" t="str">
        <f t="shared" ca="1" si="0"/>
        <v/>
      </c>
      <c r="E6" s="99" t="str">
        <f t="shared" ca="1" si="0"/>
        <v/>
      </c>
      <c r="F6" s="99" t="str">
        <f t="shared" ca="1" si="0"/>
        <v/>
      </c>
      <c r="G6" s="99" t="str">
        <f t="shared" ca="1" si="0"/>
        <v/>
      </c>
      <c r="H6" s="99" t="str">
        <f t="shared" ca="1" si="0"/>
        <v/>
      </c>
      <c r="I6" s="99" t="str">
        <f t="shared" ca="1" si="0"/>
        <v/>
      </c>
      <c r="J6" s="99" t="str">
        <f t="shared" ca="1" si="0"/>
        <v/>
      </c>
      <c r="K6" s="99" t="str">
        <f t="shared" ca="1" si="0"/>
        <v/>
      </c>
      <c r="L6" s="99" t="str">
        <f t="shared" ca="1" si="0"/>
        <v/>
      </c>
      <c r="P6" s="167"/>
      <c r="Q6" s="167"/>
      <c r="R6" s="167"/>
      <c r="S6" s="167"/>
      <c r="T6" s="167"/>
      <c r="U6" s="167"/>
      <c r="V6" s="167"/>
      <c r="W6" s="167"/>
      <c r="X6" s="167"/>
      <c r="Y6" s="167"/>
      <c r="Z6" s="167"/>
    </row>
    <row r="7" spans="2:26" ht="10.199999999999999" customHeight="1">
      <c r="B7" s="97" t="str">
        <f>IF(Calculation!BE12="","",Calculation!BE12)</f>
        <v/>
      </c>
      <c r="C7" s="99" t="str">
        <f t="shared" ca="1" si="0"/>
        <v/>
      </c>
      <c r="D7" s="99" t="str">
        <f t="shared" ca="1" si="0"/>
        <v/>
      </c>
      <c r="E7" s="99" t="str">
        <f t="shared" ca="1" si="0"/>
        <v/>
      </c>
      <c r="F7" s="99" t="str">
        <f t="shared" ca="1" si="0"/>
        <v/>
      </c>
      <c r="G7" s="99" t="str">
        <f t="shared" ca="1" si="0"/>
        <v/>
      </c>
      <c r="H7" s="99" t="str">
        <f t="shared" ca="1" si="0"/>
        <v/>
      </c>
      <c r="I7" s="99" t="str">
        <f t="shared" ca="1" si="0"/>
        <v/>
      </c>
      <c r="J7" s="99" t="str">
        <f t="shared" ca="1" si="0"/>
        <v/>
      </c>
      <c r="K7" s="99" t="str">
        <f t="shared" ca="1" si="0"/>
        <v/>
      </c>
      <c r="L7" s="99" t="str">
        <f t="shared" ca="1" si="0"/>
        <v/>
      </c>
      <c r="P7" s="167"/>
      <c r="Q7" s="167"/>
      <c r="R7" s="167"/>
      <c r="S7" s="167"/>
      <c r="T7" s="167"/>
      <c r="U7" s="167"/>
      <c r="V7" s="167"/>
      <c r="W7" s="167"/>
      <c r="X7" s="167"/>
      <c r="Y7" s="167"/>
      <c r="Z7" s="167"/>
    </row>
    <row r="8" spans="2:26" ht="10.199999999999999" customHeight="1">
      <c r="B8" s="97" t="str">
        <f>IF(Calculation!BE13="","",Calculation!BE13)</f>
        <v/>
      </c>
      <c r="C8" s="99" t="str">
        <f t="shared" ca="1" si="0"/>
        <v/>
      </c>
      <c r="D8" s="99" t="str">
        <f t="shared" ca="1" si="0"/>
        <v/>
      </c>
      <c r="E8" s="99" t="str">
        <f t="shared" ca="1" si="0"/>
        <v/>
      </c>
      <c r="F8" s="99" t="str">
        <f t="shared" ca="1" si="0"/>
        <v/>
      </c>
      <c r="G8" s="99" t="str">
        <f t="shared" ca="1" si="0"/>
        <v/>
      </c>
      <c r="H8" s="99" t="str">
        <f t="shared" ca="1" si="0"/>
        <v/>
      </c>
      <c r="I8" s="99" t="str">
        <f t="shared" ca="1" si="0"/>
        <v/>
      </c>
      <c r="J8" s="99" t="str">
        <f t="shared" ca="1" si="0"/>
        <v/>
      </c>
      <c r="K8" s="99" t="str">
        <f t="shared" ca="1" si="0"/>
        <v/>
      </c>
      <c r="L8" s="99" t="str">
        <f t="shared" ca="1" si="0"/>
        <v/>
      </c>
      <c r="P8" s="168"/>
      <c r="Q8" s="168"/>
      <c r="R8" s="168"/>
      <c r="S8" s="168"/>
      <c r="T8" s="168"/>
      <c r="U8" s="168"/>
      <c r="V8" s="168"/>
      <c r="W8" s="168"/>
      <c r="X8" s="168"/>
      <c r="Y8" s="168"/>
      <c r="Z8" s="168"/>
    </row>
    <row r="9" spans="2:26" ht="10.199999999999999" customHeight="1">
      <c r="B9" s="97" t="str">
        <f>IF(Calculation!BE14="","",Calculation!BE14)</f>
        <v/>
      </c>
      <c r="C9" s="99" t="str">
        <f t="shared" ca="1" si="0"/>
        <v/>
      </c>
      <c r="D9" s="99" t="str">
        <f t="shared" ca="1" si="0"/>
        <v/>
      </c>
      <c r="E9" s="99" t="str">
        <f t="shared" ca="1" si="0"/>
        <v/>
      </c>
      <c r="F9" s="99" t="str">
        <f t="shared" ca="1" si="0"/>
        <v/>
      </c>
      <c r="G9" s="99" t="str">
        <f t="shared" ca="1" si="0"/>
        <v/>
      </c>
      <c r="H9" s="99" t="str">
        <f t="shared" ca="1" si="0"/>
        <v/>
      </c>
      <c r="I9" s="99" t="str">
        <f t="shared" ca="1" si="0"/>
        <v/>
      </c>
      <c r="J9" s="99" t="str">
        <f t="shared" ca="1" si="0"/>
        <v/>
      </c>
      <c r="K9" s="99" t="str">
        <f t="shared" ca="1" si="0"/>
        <v/>
      </c>
      <c r="L9" s="99" t="str">
        <f t="shared" ca="1" si="0"/>
        <v/>
      </c>
      <c r="P9" s="167"/>
      <c r="Q9" s="167"/>
      <c r="R9" s="167"/>
      <c r="S9" s="167"/>
      <c r="T9" s="167"/>
      <c r="U9" s="167"/>
      <c r="V9" s="167"/>
      <c r="W9" s="167"/>
      <c r="X9" s="167"/>
      <c r="Y9" s="167"/>
      <c r="Z9" s="167"/>
    </row>
    <row r="10" spans="2:26" ht="10.199999999999999" customHeight="1">
      <c r="B10" s="97" t="str">
        <f>IF(Calculation!BE15="","",Calculation!BE15)</f>
        <v/>
      </c>
      <c r="C10" s="99" t="str">
        <f t="shared" ca="1" si="0"/>
        <v/>
      </c>
      <c r="D10" s="99" t="str">
        <f t="shared" ca="1" si="0"/>
        <v/>
      </c>
      <c r="E10" s="99" t="str">
        <f t="shared" ca="1" si="0"/>
        <v/>
      </c>
      <c r="F10" s="99" t="str">
        <f t="shared" ca="1" si="0"/>
        <v/>
      </c>
      <c r="G10" s="99" t="str">
        <f t="shared" ca="1" si="0"/>
        <v/>
      </c>
      <c r="H10" s="99" t="str">
        <f t="shared" ca="1" si="0"/>
        <v/>
      </c>
      <c r="I10" s="99" t="str">
        <f t="shared" ca="1" si="0"/>
        <v/>
      </c>
      <c r="J10" s="99" t="str">
        <f t="shared" ca="1" si="0"/>
        <v/>
      </c>
      <c r="K10" s="99" t="str">
        <f t="shared" ca="1" si="0"/>
        <v/>
      </c>
      <c r="L10" s="99" t="str">
        <f t="shared" ca="1" si="0"/>
        <v/>
      </c>
      <c r="P10" s="167"/>
      <c r="Q10" s="167"/>
      <c r="R10" s="167"/>
      <c r="S10" s="167"/>
      <c r="T10" s="167"/>
      <c r="U10" s="167"/>
      <c r="V10" s="167"/>
      <c r="W10" s="167"/>
      <c r="X10" s="167"/>
      <c r="Y10" s="167"/>
      <c r="Z10" s="167"/>
    </row>
    <row r="11" spans="2:26" ht="10.199999999999999" customHeight="1">
      <c r="B11" s="97" t="str">
        <f>IF(Calculation!BE16="","",Calculation!BE16)</f>
        <v/>
      </c>
      <c r="C11" s="99" t="str">
        <f t="shared" ca="1" si="0"/>
        <v/>
      </c>
      <c r="D11" s="99" t="str">
        <f t="shared" ca="1" si="0"/>
        <v/>
      </c>
      <c r="E11" s="99" t="str">
        <f t="shared" ca="1" si="0"/>
        <v/>
      </c>
      <c r="F11" s="99" t="str">
        <f t="shared" ca="1" si="0"/>
        <v/>
      </c>
      <c r="G11" s="99" t="str">
        <f t="shared" ca="1" si="0"/>
        <v/>
      </c>
      <c r="H11" s="99" t="str">
        <f t="shared" ca="1" si="0"/>
        <v/>
      </c>
      <c r="I11" s="99" t="str">
        <f t="shared" ca="1" si="0"/>
        <v/>
      </c>
      <c r="J11" s="99" t="str">
        <f t="shared" ca="1" si="0"/>
        <v/>
      </c>
      <c r="K11" s="99" t="str">
        <f t="shared" ca="1" si="0"/>
        <v/>
      </c>
      <c r="L11" s="99" t="str">
        <f t="shared" ca="1" si="0"/>
        <v/>
      </c>
      <c r="P11" s="167"/>
      <c r="Q11" s="167"/>
      <c r="R11" s="167"/>
      <c r="S11" s="167"/>
      <c r="T11" s="167"/>
      <c r="U11" s="167"/>
      <c r="V11" s="167"/>
      <c r="W11" s="167"/>
      <c r="X11" s="167"/>
      <c r="Y11" s="167"/>
      <c r="Z11" s="167"/>
    </row>
    <row r="12" spans="2:26" ht="10.199999999999999" customHeight="1">
      <c r="B12" s="97" t="str">
        <f>IF(Calculation!BE17="","",Calculation!BE17)</f>
        <v/>
      </c>
      <c r="C12" s="99" t="str">
        <f t="shared" ca="1" si="0"/>
        <v/>
      </c>
      <c r="D12" s="99" t="str">
        <f t="shared" ca="1" si="0"/>
        <v/>
      </c>
      <c r="E12" s="99" t="str">
        <f t="shared" ca="1" si="0"/>
        <v/>
      </c>
      <c r="F12" s="99" t="str">
        <f t="shared" ca="1" si="0"/>
        <v/>
      </c>
      <c r="G12" s="99" t="str">
        <f t="shared" ca="1" si="0"/>
        <v/>
      </c>
      <c r="H12" s="99" t="str">
        <f t="shared" ca="1" si="0"/>
        <v/>
      </c>
      <c r="I12" s="99" t="str">
        <f t="shared" ca="1" si="0"/>
        <v/>
      </c>
      <c r="J12" s="99" t="str">
        <f t="shared" ca="1" si="0"/>
        <v/>
      </c>
      <c r="K12" s="99" t="str">
        <f t="shared" ca="1" si="0"/>
        <v/>
      </c>
      <c r="L12" s="99" t="str">
        <f t="shared" ca="1" si="0"/>
        <v/>
      </c>
      <c r="P12" s="168"/>
      <c r="Q12" s="168"/>
      <c r="R12" s="168"/>
      <c r="S12" s="168"/>
      <c r="T12" s="168"/>
      <c r="U12" s="168"/>
      <c r="V12" s="168"/>
      <c r="W12" s="168"/>
      <c r="X12" s="168"/>
      <c r="Y12" s="168"/>
      <c r="Z12" s="168"/>
    </row>
    <row r="13" spans="2:26" ht="10.199999999999999" customHeight="1">
      <c r="B13" s="97" t="str">
        <f>IF(Calculation!BE18="","",Calculation!BE18)</f>
        <v/>
      </c>
      <c r="C13" s="99" t="str">
        <f t="shared" ca="1" si="0"/>
        <v/>
      </c>
      <c r="D13" s="99" t="str">
        <f t="shared" ca="1" si="0"/>
        <v/>
      </c>
      <c r="E13" s="99" t="str">
        <f t="shared" ca="1" si="0"/>
        <v/>
      </c>
      <c r="F13" s="99" t="str">
        <f t="shared" ca="1" si="0"/>
        <v/>
      </c>
      <c r="G13" s="99" t="str">
        <f t="shared" ca="1" si="0"/>
        <v/>
      </c>
      <c r="H13" s="99" t="str">
        <f t="shared" ca="1" si="0"/>
        <v/>
      </c>
      <c r="I13" s="99" t="str">
        <f t="shared" ca="1" si="0"/>
        <v/>
      </c>
      <c r="J13" s="99" t="str">
        <f t="shared" ca="1" si="0"/>
        <v/>
      </c>
      <c r="K13" s="99" t="str">
        <f t="shared" ca="1" si="0"/>
        <v/>
      </c>
      <c r="L13" s="99" t="str">
        <f t="shared" ca="1" si="0"/>
        <v/>
      </c>
      <c r="P13" s="167"/>
      <c r="Q13" s="167"/>
      <c r="R13" s="167"/>
      <c r="S13" s="167"/>
      <c r="T13" s="167"/>
      <c r="U13" s="167"/>
      <c r="V13" s="167"/>
      <c r="W13" s="167"/>
      <c r="X13" s="167"/>
      <c r="Y13" s="167"/>
      <c r="Z13" s="167"/>
    </row>
    <row r="14" spans="2:26" ht="10.199999999999999" customHeight="1">
      <c r="B14" s="97" t="str">
        <f>IF(Calculation!BE19="","",Calculation!BE19)</f>
        <v/>
      </c>
      <c r="C14" s="99" t="str">
        <f t="shared" ca="1" si="0"/>
        <v/>
      </c>
      <c r="D14" s="99" t="str">
        <f t="shared" ca="1" si="0"/>
        <v/>
      </c>
      <c r="E14" s="99" t="str">
        <f t="shared" ca="1" si="0"/>
        <v/>
      </c>
      <c r="F14" s="99" t="str">
        <f t="shared" ca="1" si="0"/>
        <v/>
      </c>
      <c r="G14" s="99" t="str">
        <f t="shared" ca="1" si="0"/>
        <v/>
      </c>
      <c r="H14" s="99" t="str">
        <f t="shared" ca="1" si="0"/>
        <v/>
      </c>
      <c r="I14" s="99" t="str">
        <f t="shared" ca="1" si="0"/>
        <v/>
      </c>
      <c r="J14" s="99" t="str">
        <f t="shared" ca="1" si="0"/>
        <v/>
      </c>
      <c r="K14" s="99" t="str">
        <f t="shared" ca="1" si="0"/>
        <v/>
      </c>
      <c r="L14" s="99" t="str">
        <f t="shared" ca="1" si="0"/>
        <v/>
      </c>
      <c r="P14" s="167"/>
      <c r="Q14" s="167"/>
      <c r="R14" s="167"/>
      <c r="S14" s="167"/>
      <c r="T14" s="167"/>
      <c r="U14" s="167"/>
      <c r="V14" s="167"/>
      <c r="W14" s="167"/>
      <c r="X14" s="167"/>
      <c r="Y14" s="167"/>
      <c r="Z14" s="167"/>
    </row>
    <row r="15" spans="2:26" ht="10.199999999999999" customHeight="1">
      <c r="B15" s="97" t="str">
        <f>IF(Calculation!BE20="","",Calculation!BE20)</f>
        <v/>
      </c>
      <c r="C15" s="99" t="str">
        <f t="shared" ca="1" si="0"/>
        <v/>
      </c>
      <c r="D15" s="99" t="str">
        <f t="shared" ca="1" si="0"/>
        <v/>
      </c>
      <c r="E15" s="99" t="str">
        <f t="shared" ca="1" si="0"/>
        <v/>
      </c>
      <c r="F15" s="99" t="str">
        <f t="shared" ca="1" si="0"/>
        <v/>
      </c>
      <c r="G15" s="99" t="str">
        <f t="shared" ca="1" si="0"/>
        <v/>
      </c>
      <c r="H15" s="99" t="str">
        <f t="shared" ca="1" si="0"/>
        <v/>
      </c>
      <c r="I15" s="99" t="str">
        <f t="shared" ca="1" si="0"/>
        <v/>
      </c>
      <c r="J15" s="99" t="str">
        <f t="shared" ca="1" si="0"/>
        <v/>
      </c>
      <c r="K15" s="99" t="str">
        <f t="shared" ca="1" si="0"/>
        <v/>
      </c>
      <c r="L15" s="99" t="str">
        <f t="shared" ca="1" si="0"/>
        <v/>
      </c>
      <c r="P15" s="168"/>
      <c r="Q15" s="168"/>
      <c r="R15" s="168"/>
      <c r="S15" s="168"/>
      <c r="T15" s="168"/>
      <c r="U15" s="168"/>
      <c r="V15" s="168"/>
      <c r="W15" s="168"/>
      <c r="X15" s="168"/>
      <c r="Y15" s="168"/>
      <c r="Z15" s="168"/>
    </row>
    <row r="16" spans="2:26" ht="10.199999999999999" customHeight="1">
      <c r="B16" s="97" t="str">
        <f>IF(Calculation!BE21="","",Calculation!BE21)</f>
        <v/>
      </c>
      <c r="C16" s="99" t="str">
        <f t="shared" ca="1" si="0"/>
        <v/>
      </c>
      <c r="D16" s="99" t="str">
        <f t="shared" ca="1" si="0"/>
        <v/>
      </c>
      <c r="E16" s="99" t="str">
        <f t="shared" ca="1" si="0"/>
        <v/>
      </c>
      <c r="F16" s="99" t="str">
        <f t="shared" ca="1" si="0"/>
        <v/>
      </c>
      <c r="G16" s="99" t="str">
        <f t="shared" ca="1" si="0"/>
        <v/>
      </c>
      <c r="H16" s="99" t="str">
        <f t="shared" ca="1" si="0"/>
        <v/>
      </c>
      <c r="I16" s="99" t="str">
        <f t="shared" ca="1" si="0"/>
        <v/>
      </c>
      <c r="J16" s="99" t="str">
        <f t="shared" ca="1" si="0"/>
        <v/>
      </c>
      <c r="K16" s="99" t="str">
        <f t="shared" ca="1" si="0"/>
        <v/>
      </c>
      <c r="L16" s="99" t="str">
        <f t="shared" ca="1" si="0"/>
        <v/>
      </c>
      <c r="P16" s="167"/>
      <c r="Q16" s="167"/>
      <c r="R16" s="167"/>
      <c r="S16" s="167"/>
      <c r="T16" s="167"/>
      <c r="U16" s="167"/>
      <c r="V16" s="167"/>
      <c r="W16" s="167"/>
      <c r="X16" s="167"/>
      <c r="Y16" s="167"/>
      <c r="Z16" s="167"/>
    </row>
    <row r="17" spans="2:26" ht="10.199999999999999" customHeight="1">
      <c r="B17" s="97" t="str">
        <f>IF(Calculation!BE22="","",Calculation!BE22)</f>
        <v/>
      </c>
      <c r="C17" s="99" t="str">
        <f t="shared" ca="1" si="0"/>
        <v/>
      </c>
      <c r="D17" s="99" t="str">
        <f t="shared" ca="1" si="0"/>
        <v/>
      </c>
      <c r="E17" s="99" t="str">
        <f t="shared" ca="1" si="0"/>
        <v/>
      </c>
      <c r="F17" s="99" t="str">
        <f t="shared" ca="1" si="0"/>
        <v/>
      </c>
      <c r="G17" s="99" t="str">
        <f t="shared" ca="1" si="0"/>
        <v/>
      </c>
      <c r="H17" s="99" t="str">
        <f t="shared" ca="1" si="0"/>
        <v/>
      </c>
      <c r="I17" s="99" t="str">
        <f t="shared" ca="1" si="0"/>
        <v/>
      </c>
      <c r="J17" s="99" t="str">
        <f t="shared" ca="1" si="0"/>
        <v/>
      </c>
      <c r="K17" s="99" t="str">
        <f t="shared" ca="1" si="0"/>
        <v/>
      </c>
      <c r="L17" s="99" t="str">
        <f t="shared" ca="1" si="0"/>
        <v/>
      </c>
      <c r="P17" s="167"/>
      <c r="Q17" s="167"/>
      <c r="R17" s="167"/>
      <c r="S17" s="167"/>
      <c r="T17" s="167"/>
      <c r="U17" s="167"/>
      <c r="V17" s="167"/>
      <c r="W17" s="167"/>
      <c r="X17" s="167"/>
      <c r="Y17" s="167"/>
      <c r="Z17" s="167"/>
    </row>
    <row r="18" spans="2:26" ht="10.199999999999999" customHeight="1">
      <c r="B18" s="97" t="str">
        <f>IF(Calculation!BE23="","",Calculation!BE23)</f>
        <v/>
      </c>
      <c r="C18" s="99" t="str">
        <f t="shared" ca="1" si="0"/>
        <v/>
      </c>
      <c r="D18" s="99" t="str">
        <f t="shared" ca="1" si="0"/>
        <v/>
      </c>
      <c r="E18" s="99" t="str">
        <f t="shared" ca="1" si="0"/>
        <v/>
      </c>
      <c r="F18" s="99" t="str">
        <f t="shared" ca="1" si="0"/>
        <v/>
      </c>
      <c r="G18" s="99" t="str">
        <f t="shared" ca="1" si="0"/>
        <v/>
      </c>
      <c r="H18" s="99" t="str">
        <f t="shared" ca="1" si="0"/>
        <v/>
      </c>
      <c r="I18" s="99" t="str">
        <f t="shared" ca="1" si="0"/>
        <v/>
      </c>
      <c r="J18" s="99" t="str">
        <f t="shared" ca="1" si="0"/>
        <v/>
      </c>
      <c r="K18" s="99" t="str">
        <f t="shared" ca="1" si="0"/>
        <v/>
      </c>
      <c r="L18" s="99" t="str">
        <f t="shared" ca="1" si="0"/>
        <v/>
      </c>
      <c r="P18" s="168"/>
      <c r="Q18" s="168"/>
      <c r="R18" s="168"/>
      <c r="S18" s="168"/>
      <c r="T18" s="168"/>
      <c r="U18" s="168"/>
      <c r="V18" s="168"/>
      <c r="W18" s="168"/>
      <c r="X18" s="168"/>
      <c r="Y18" s="168"/>
      <c r="Z18" s="168"/>
    </row>
    <row r="19" spans="2:26" ht="10.199999999999999" customHeight="1">
      <c r="B19" s="97" t="str">
        <f>IF(Calculation!BE24="","",Calculation!BE24)</f>
        <v/>
      </c>
      <c r="C19" s="99" t="str">
        <f t="shared" ca="1" si="0"/>
        <v/>
      </c>
      <c r="D19" s="99" t="str">
        <f t="shared" ca="1" si="0"/>
        <v/>
      </c>
      <c r="E19" s="99" t="str">
        <f t="shared" ca="1" si="0"/>
        <v/>
      </c>
      <c r="F19" s="99" t="str">
        <f t="shared" ca="1" si="0"/>
        <v/>
      </c>
      <c r="G19" s="99" t="str">
        <f t="shared" ca="1" si="0"/>
        <v/>
      </c>
      <c r="H19" s="99" t="str">
        <f t="shared" ca="1" si="0"/>
        <v/>
      </c>
      <c r="I19" s="99" t="str">
        <f t="shared" ca="1" si="0"/>
        <v/>
      </c>
      <c r="J19" s="99" t="str">
        <f t="shared" ca="1" si="0"/>
        <v/>
      </c>
      <c r="K19" s="99" t="str">
        <f t="shared" ca="1" si="0"/>
        <v/>
      </c>
      <c r="L19" s="99" t="str">
        <f t="shared" ca="1" si="0"/>
        <v/>
      </c>
      <c r="P19" s="167"/>
      <c r="Q19" s="167"/>
      <c r="R19" s="167"/>
      <c r="S19" s="167"/>
      <c r="T19" s="167"/>
      <c r="U19" s="167"/>
      <c r="V19" s="167"/>
      <c r="W19" s="167"/>
      <c r="X19" s="167"/>
      <c r="Y19" s="167"/>
      <c r="Z19" s="167"/>
    </row>
    <row r="20" spans="2:26" ht="10.199999999999999" customHeight="1">
      <c r="B20" s="97" t="str">
        <f>IF(Calculation!BE25="","",Calculation!BE25)</f>
        <v/>
      </c>
      <c r="C20" s="99" t="str">
        <f t="shared" ca="1" si="0"/>
        <v/>
      </c>
      <c r="D20" s="99" t="str">
        <f t="shared" ca="1" si="0"/>
        <v/>
      </c>
      <c r="E20" s="99" t="str">
        <f t="shared" ca="1" si="0"/>
        <v/>
      </c>
      <c r="F20" s="99" t="str">
        <f t="shared" ca="1" si="0"/>
        <v/>
      </c>
      <c r="G20" s="99" t="str">
        <f t="shared" ca="1" si="0"/>
        <v/>
      </c>
      <c r="H20" s="99" t="str">
        <f t="shared" ca="1" si="0"/>
        <v/>
      </c>
      <c r="I20" s="99" t="str">
        <f t="shared" ca="1" si="0"/>
        <v/>
      </c>
      <c r="J20" s="99" t="str">
        <f t="shared" ca="1" si="0"/>
        <v/>
      </c>
      <c r="K20" s="99" t="str">
        <f t="shared" ca="1" si="0"/>
        <v/>
      </c>
      <c r="L20" s="99" t="str">
        <f t="shared" ca="1" si="0"/>
        <v/>
      </c>
      <c r="P20" s="167"/>
      <c r="Q20" s="167"/>
      <c r="R20" s="167"/>
      <c r="S20" s="167"/>
      <c r="T20" s="167"/>
      <c r="U20" s="167"/>
      <c r="V20" s="167"/>
      <c r="W20" s="167"/>
      <c r="X20" s="167"/>
      <c r="Y20" s="167"/>
      <c r="Z20" s="167"/>
    </row>
    <row r="21" spans="2:26" ht="10.199999999999999" customHeight="1">
      <c r="B21" s="97" t="str">
        <f>IF(Calculation!BE26="","",Calculation!BE26)</f>
        <v/>
      </c>
      <c r="C21" s="99" t="str">
        <f t="shared" ca="1" si="0"/>
        <v/>
      </c>
      <c r="D21" s="99" t="str">
        <f t="shared" ca="1" si="0"/>
        <v/>
      </c>
      <c r="E21" s="99" t="str">
        <f t="shared" ca="1" si="0"/>
        <v/>
      </c>
      <c r="F21" s="99" t="str">
        <f t="shared" ca="1" si="0"/>
        <v/>
      </c>
      <c r="G21" s="99" t="str">
        <f t="shared" ca="1" si="0"/>
        <v/>
      </c>
      <c r="H21" s="99" t="str">
        <f t="shared" ca="1" si="0"/>
        <v/>
      </c>
      <c r="I21" s="99" t="str">
        <f t="shared" ca="1" si="0"/>
        <v/>
      </c>
      <c r="J21" s="99" t="str">
        <f t="shared" ca="1" si="0"/>
        <v/>
      </c>
      <c r="K21" s="99" t="str">
        <f t="shared" ca="1" si="0"/>
        <v/>
      </c>
      <c r="L21" s="99" t="str">
        <f t="shared" ca="1" si="0"/>
        <v/>
      </c>
      <c r="P21" s="168"/>
      <c r="Q21" s="168"/>
      <c r="R21" s="168"/>
      <c r="S21" s="168"/>
      <c r="T21" s="168"/>
      <c r="U21" s="168"/>
      <c r="V21" s="168"/>
      <c r="W21" s="168"/>
      <c r="X21" s="168"/>
      <c r="Y21" s="168"/>
      <c r="Z21" s="168"/>
    </row>
    <row r="22" spans="2:26" ht="10.199999999999999" customHeight="1">
      <c r="B22" s="97" t="str">
        <f>IF(Calculation!BE27="","",Calculation!BE27)</f>
        <v/>
      </c>
      <c r="C22" s="99" t="str">
        <f t="shared" ref="C22:L37" ca="1" si="1">IF($M$4=0,"",VLOOKUP($B22,INDIRECT("$P$1:$Z$"&amp;$M$4),COLUMN()-1,0))</f>
        <v/>
      </c>
      <c r="D22" s="99" t="str">
        <f t="shared" ca="1" si="1"/>
        <v/>
      </c>
      <c r="E22" s="99" t="str">
        <f t="shared" ca="1" si="1"/>
        <v/>
      </c>
      <c r="F22" s="99" t="str">
        <f t="shared" ca="1" si="1"/>
        <v/>
      </c>
      <c r="G22" s="99" t="str">
        <f t="shared" ca="1" si="1"/>
        <v/>
      </c>
      <c r="H22" s="99" t="str">
        <f t="shared" ca="1" si="1"/>
        <v/>
      </c>
      <c r="I22" s="99" t="str">
        <f t="shared" ca="1" si="1"/>
        <v/>
      </c>
      <c r="J22" s="99" t="str">
        <f t="shared" ca="1" si="1"/>
        <v/>
      </c>
      <c r="K22" s="99" t="str">
        <f t="shared" ca="1" si="1"/>
        <v/>
      </c>
      <c r="L22" s="99" t="str">
        <f t="shared" ca="1" si="1"/>
        <v/>
      </c>
      <c r="P22" s="167"/>
      <c r="Q22" s="167"/>
      <c r="R22" s="167"/>
      <c r="S22" s="167"/>
      <c r="T22" s="167"/>
      <c r="U22" s="167"/>
      <c r="V22" s="167"/>
      <c r="W22" s="167"/>
      <c r="X22" s="167"/>
      <c r="Y22" s="167"/>
      <c r="Z22" s="167"/>
    </row>
    <row r="23" spans="2:26" ht="10.199999999999999" customHeight="1">
      <c r="B23" s="97" t="str">
        <f>IF(Calculation!BE28="","",Calculation!BE28)</f>
        <v/>
      </c>
      <c r="C23" s="99" t="str">
        <f t="shared" ca="1" si="1"/>
        <v/>
      </c>
      <c r="D23" s="99" t="str">
        <f t="shared" ca="1" si="1"/>
        <v/>
      </c>
      <c r="E23" s="99" t="str">
        <f t="shared" ca="1" si="1"/>
        <v/>
      </c>
      <c r="F23" s="99" t="str">
        <f t="shared" ca="1" si="1"/>
        <v/>
      </c>
      <c r="G23" s="99" t="str">
        <f t="shared" ca="1" si="1"/>
        <v/>
      </c>
      <c r="H23" s="99" t="str">
        <f t="shared" ca="1" si="1"/>
        <v/>
      </c>
      <c r="I23" s="99" t="str">
        <f t="shared" ca="1" si="1"/>
        <v/>
      </c>
      <c r="J23" s="99" t="str">
        <f t="shared" ca="1" si="1"/>
        <v/>
      </c>
      <c r="K23" s="99" t="str">
        <f t="shared" ca="1" si="1"/>
        <v/>
      </c>
      <c r="L23" s="99" t="str">
        <f t="shared" ca="1" si="1"/>
        <v/>
      </c>
      <c r="P23" s="167"/>
      <c r="Q23" s="167"/>
      <c r="R23" s="167"/>
      <c r="S23" s="167"/>
      <c r="T23" s="167"/>
      <c r="U23" s="167"/>
      <c r="V23" s="167"/>
      <c r="W23" s="167"/>
      <c r="X23" s="167"/>
      <c r="Y23" s="167"/>
      <c r="Z23" s="167"/>
    </row>
    <row r="24" spans="2:26" ht="10.199999999999999" customHeight="1">
      <c r="B24" s="97" t="str">
        <f>IF(Calculation!BE29="","",Calculation!BE29)</f>
        <v/>
      </c>
      <c r="C24" s="99" t="str">
        <f t="shared" ca="1" si="1"/>
        <v/>
      </c>
      <c r="D24" s="99" t="str">
        <f t="shared" ca="1" si="1"/>
        <v/>
      </c>
      <c r="E24" s="99" t="str">
        <f t="shared" ca="1" si="1"/>
        <v/>
      </c>
      <c r="F24" s="99" t="str">
        <f t="shared" ca="1" si="1"/>
        <v/>
      </c>
      <c r="G24" s="99" t="str">
        <f t="shared" ca="1" si="1"/>
        <v/>
      </c>
      <c r="H24" s="99" t="str">
        <f t="shared" ca="1" si="1"/>
        <v/>
      </c>
      <c r="I24" s="99" t="str">
        <f t="shared" ca="1" si="1"/>
        <v/>
      </c>
      <c r="J24" s="99" t="str">
        <f t="shared" ca="1" si="1"/>
        <v/>
      </c>
      <c r="K24" s="99" t="str">
        <f t="shared" ca="1" si="1"/>
        <v/>
      </c>
      <c r="L24" s="99" t="str">
        <f t="shared" ca="1" si="1"/>
        <v/>
      </c>
      <c r="P24" s="168"/>
      <c r="Q24" s="168"/>
      <c r="R24" s="168"/>
      <c r="S24" s="168"/>
      <c r="T24" s="168"/>
      <c r="U24" s="168"/>
      <c r="V24" s="168"/>
      <c r="W24" s="168"/>
      <c r="X24" s="168"/>
      <c r="Y24" s="168"/>
      <c r="Z24" s="168"/>
    </row>
    <row r="25" spans="2:26" ht="10.199999999999999" customHeight="1">
      <c r="B25" s="97" t="str">
        <f>IF(Calculation!BE30="","",Calculation!BE30)</f>
        <v/>
      </c>
      <c r="C25" s="99" t="str">
        <f t="shared" ca="1" si="1"/>
        <v/>
      </c>
      <c r="D25" s="99" t="str">
        <f t="shared" ca="1" si="1"/>
        <v/>
      </c>
      <c r="E25" s="99" t="str">
        <f t="shared" ca="1" si="1"/>
        <v/>
      </c>
      <c r="F25" s="99" t="str">
        <f t="shared" ca="1" si="1"/>
        <v/>
      </c>
      <c r="G25" s="99" t="str">
        <f t="shared" ca="1" si="1"/>
        <v/>
      </c>
      <c r="H25" s="99" t="str">
        <f t="shared" ca="1" si="1"/>
        <v/>
      </c>
      <c r="I25" s="99" t="str">
        <f t="shared" ca="1" si="1"/>
        <v/>
      </c>
      <c r="J25" s="99" t="str">
        <f t="shared" ca="1" si="1"/>
        <v/>
      </c>
      <c r="K25" s="99" t="str">
        <f t="shared" ca="1" si="1"/>
        <v/>
      </c>
      <c r="L25" s="99" t="str">
        <f t="shared" ca="1" si="1"/>
        <v/>
      </c>
      <c r="P25" s="167"/>
      <c r="Q25" s="167"/>
      <c r="R25" s="167"/>
      <c r="S25" s="167"/>
      <c r="T25" s="167"/>
      <c r="U25" s="167"/>
      <c r="V25" s="167"/>
      <c r="W25" s="167"/>
      <c r="X25" s="167"/>
      <c r="Y25" s="167"/>
      <c r="Z25" s="167"/>
    </row>
    <row r="26" spans="2:26" ht="10.199999999999999" customHeight="1">
      <c r="B26" s="97" t="str">
        <f>IF(Calculation!BE31="","",Calculation!BE31)</f>
        <v/>
      </c>
      <c r="C26" s="99" t="str">
        <f t="shared" ca="1" si="1"/>
        <v/>
      </c>
      <c r="D26" s="99" t="str">
        <f t="shared" ca="1" si="1"/>
        <v/>
      </c>
      <c r="E26" s="99" t="str">
        <f t="shared" ca="1" si="1"/>
        <v/>
      </c>
      <c r="F26" s="99" t="str">
        <f t="shared" ca="1" si="1"/>
        <v/>
      </c>
      <c r="G26" s="99" t="str">
        <f t="shared" ca="1" si="1"/>
        <v/>
      </c>
      <c r="H26" s="99" t="str">
        <f t="shared" ca="1" si="1"/>
        <v/>
      </c>
      <c r="I26" s="99" t="str">
        <f t="shared" ca="1" si="1"/>
        <v/>
      </c>
      <c r="J26" s="99" t="str">
        <f t="shared" ca="1" si="1"/>
        <v/>
      </c>
      <c r="K26" s="99" t="str">
        <f t="shared" ca="1" si="1"/>
        <v/>
      </c>
      <c r="L26" s="99" t="str">
        <f t="shared" ca="1" si="1"/>
        <v/>
      </c>
      <c r="P26" s="167"/>
      <c r="Q26" s="167"/>
      <c r="R26" s="167"/>
      <c r="S26" s="167"/>
      <c r="T26" s="167"/>
      <c r="U26" s="167"/>
      <c r="V26" s="167"/>
      <c r="W26" s="167"/>
      <c r="X26" s="167"/>
      <c r="Y26" s="167"/>
      <c r="Z26" s="167"/>
    </row>
    <row r="27" spans="2:26" ht="10.199999999999999" customHeight="1">
      <c r="B27" s="97" t="str">
        <f>IF(Calculation!BE32="","",Calculation!BE32)</f>
        <v/>
      </c>
      <c r="C27" s="99" t="str">
        <f t="shared" ca="1" si="1"/>
        <v/>
      </c>
      <c r="D27" s="99" t="str">
        <f t="shared" ca="1" si="1"/>
        <v/>
      </c>
      <c r="E27" s="99" t="str">
        <f t="shared" ca="1" si="1"/>
        <v/>
      </c>
      <c r="F27" s="99" t="str">
        <f t="shared" ca="1" si="1"/>
        <v/>
      </c>
      <c r="G27" s="99" t="str">
        <f t="shared" ca="1" si="1"/>
        <v/>
      </c>
      <c r="H27" s="99" t="str">
        <f t="shared" ca="1" si="1"/>
        <v/>
      </c>
      <c r="I27" s="99" t="str">
        <f t="shared" ca="1" si="1"/>
        <v/>
      </c>
      <c r="J27" s="99" t="str">
        <f t="shared" ca="1" si="1"/>
        <v/>
      </c>
      <c r="K27" s="99" t="str">
        <f t="shared" ca="1" si="1"/>
        <v/>
      </c>
      <c r="L27" s="99" t="str">
        <f t="shared" ca="1" si="1"/>
        <v/>
      </c>
      <c r="P27" s="168"/>
      <c r="Q27" s="168"/>
      <c r="R27" s="168"/>
      <c r="S27" s="168"/>
      <c r="T27" s="168"/>
      <c r="U27" s="168"/>
      <c r="V27" s="168"/>
      <c r="W27" s="168"/>
      <c r="X27" s="168"/>
      <c r="Y27" s="168"/>
      <c r="Z27" s="168"/>
    </row>
    <row r="28" spans="2:26" ht="10.199999999999999" customHeight="1">
      <c r="B28" s="97" t="str">
        <f>IF(Calculation!BE33="","",Calculation!BE33)</f>
        <v/>
      </c>
      <c r="C28" s="99" t="str">
        <f t="shared" ca="1" si="1"/>
        <v/>
      </c>
      <c r="D28" s="99" t="str">
        <f t="shared" ca="1" si="1"/>
        <v/>
      </c>
      <c r="E28" s="99" t="str">
        <f t="shared" ca="1" si="1"/>
        <v/>
      </c>
      <c r="F28" s="99" t="str">
        <f t="shared" ca="1" si="1"/>
        <v/>
      </c>
      <c r="G28" s="99" t="str">
        <f t="shared" ca="1" si="1"/>
        <v/>
      </c>
      <c r="H28" s="99" t="str">
        <f t="shared" ca="1" si="1"/>
        <v/>
      </c>
      <c r="I28" s="99" t="str">
        <f t="shared" ca="1" si="1"/>
        <v/>
      </c>
      <c r="J28" s="99" t="str">
        <f t="shared" ca="1" si="1"/>
        <v/>
      </c>
      <c r="K28" s="99" t="str">
        <f t="shared" ca="1" si="1"/>
        <v/>
      </c>
      <c r="L28" s="99" t="str">
        <f t="shared" ca="1" si="1"/>
        <v/>
      </c>
      <c r="P28" s="167"/>
      <c r="Q28" s="167"/>
      <c r="R28" s="167"/>
      <c r="S28" s="167"/>
      <c r="T28" s="167"/>
      <c r="U28" s="167"/>
      <c r="V28" s="167"/>
      <c r="W28" s="167"/>
      <c r="X28" s="167"/>
      <c r="Y28" s="167"/>
      <c r="Z28" s="167"/>
    </row>
    <row r="29" spans="2:26" ht="10.199999999999999" customHeight="1">
      <c r="B29" s="97" t="str">
        <f>IF(Calculation!BE34="","",Calculation!BE34)</f>
        <v/>
      </c>
      <c r="C29" s="99" t="str">
        <f t="shared" ca="1" si="1"/>
        <v/>
      </c>
      <c r="D29" s="99" t="str">
        <f t="shared" ca="1" si="1"/>
        <v/>
      </c>
      <c r="E29" s="99" t="str">
        <f t="shared" ca="1" si="1"/>
        <v/>
      </c>
      <c r="F29" s="99" t="str">
        <f t="shared" ca="1" si="1"/>
        <v/>
      </c>
      <c r="G29" s="99" t="str">
        <f t="shared" ca="1" si="1"/>
        <v/>
      </c>
      <c r="H29" s="99" t="str">
        <f t="shared" ca="1" si="1"/>
        <v/>
      </c>
      <c r="I29" s="99" t="str">
        <f t="shared" ca="1" si="1"/>
        <v/>
      </c>
      <c r="J29" s="99" t="str">
        <f t="shared" ca="1" si="1"/>
        <v/>
      </c>
      <c r="K29" s="99" t="str">
        <f t="shared" ca="1" si="1"/>
        <v/>
      </c>
      <c r="L29" s="99" t="str">
        <f t="shared" ca="1" si="1"/>
        <v/>
      </c>
      <c r="P29" s="167"/>
      <c r="Q29" s="167"/>
      <c r="R29" s="167"/>
      <c r="S29" s="167"/>
      <c r="T29" s="167"/>
      <c r="U29" s="167"/>
      <c r="V29" s="167"/>
      <c r="W29" s="167"/>
      <c r="X29" s="167"/>
      <c r="Y29" s="167"/>
      <c r="Z29" s="167"/>
    </row>
    <row r="30" spans="2:26" ht="10.199999999999999" customHeight="1">
      <c r="B30" s="97" t="str">
        <f>IF(Calculation!BE35="","",Calculation!BE35)</f>
        <v/>
      </c>
      <c r="C30" s="99" t="str">
        <f t="shared" ca="1" si="1"/>
        <v/>
      </c>
      <c r="D30" s="99" t="str">
        <f t="shared" ca="1" si="1"/>
        <v/>
      </c>
      <c r="E30" s="99" t="str">
        <f t="shared" ca="1" si="1"/>
        <v/>
      </c>
      <c r="F30" s="99" t="str">
        <f t="shared" ca="1" si="1"/>
        <v/>
      </c>
      <c r="G30" s="99" t="str">
        <f t="shared" ca="1" si="1"/>
        <v/>
      </c>
      <c r="H30" s="99" t="str">
        <f t="shared" ca="1" si="1"/>
        <v/>
      </c>
      <c r="I30" s="99" t="str">
        <f t="shared" ca="1" si="1"/>
        <v/>
      </c>
      <c r="J30" s="99" t="str">
        <f t="shared" ca="1" si="1"/>
        <v/>
      </c>
      <c r="K30" s="99" t="str">
        <f t="shared" ca="1" si="1"/>
        <v/>
      </c>
      <c r="L30" s="99" t="str">
        <f t="shared" ca="1" si="1"/>
        <v/>
      </c>
      <c r="P30" s="168"/>
      <c r="Q30" s="168"/>
      <c r="R30" s="168"/>
      <c r="S30" s="168"/>
      <c r="T30" s="168"/>
      <c r="U30" s="168"/>
      <c r="V30" s="168"/>
      <c r="W30" s="168"/>
      <c r="X30" s="168"/>
      <c r="Y30" s="168"/>
      <c r="Z30" s="168"/>
    </row>
    <row r="31" spans="2:26" ht="10.199999999999999" customHeight="1">
      <c r="B31" s="97" t="str">
        <f>IF(Calculation!BE36="","",Calculation!BE36)</f>
        <v/>
      </c>
      <c r="C31" s="99" t="str">
        <f t="shared" ca="1" si="1"/>
        <v/>
      </c>
      <c r="D31" s="99" t="str">
        <f t="shared" ca="1" si="1"/>
        <v/>
      </c>
      <c r="E31" s="99" t="str">
        <f t="shared" ca="1" si="1"/>
        <v/>
      </c>
      <c r="F31" s="99" t="str">
        <f t="shared" ca="1" si="1"/>
        <v/>
      </c>
      <c r="G31" s="99" t="str">
        <f t="shared" ca="1" si="1"/>
        <v/>
      </c>
      <c r="H31" s="99" t="str">
        <f t="shared" ca="1" si="1"/>
        <v/>
      </c>
      <c r="I31" s="99" t="str">
        <f t="shared" ca="1" si="1"/>
        <v/>
      </c>
      <c r="J31" s="99" t="str">
        <f t="shared" ca="1" si="1"/>
        <v/>
      </c>
      <c r="K31" s="99" t="str">
        <f t="shared" ca="1" si="1"/>
        <v/>
      </c>
      <c r="L31" s="99" t="str">
        <f t="shared" ca="1" si="1"/>
        <v/>
      </c>
      <c r="P31" s="167"/>
      <c r="Q31" s="167"/>
      <c r="R31" s="167"/>
      <c r="S31" s="167"/>
      <c r="T31" s="167"/>
      <c r="U31" s="167"/>
      <c r="V31" s="167"/>
      <c r="W31" s="167"/>
      <c r="X31" s="167"/>
      <c r="Y31" s="167"/>
      <c r="Z31" s="167"/>
    </row>
    <row r="32" spans="2:26" ht="10.199999999999999" customHeight="1">
      <c r="B32" s="97" t="str">
        <f>IF(Calculation!BE37="","",Calculation!BE37)</f>
        <v/>
      </c>
      <c r="C32" s="99" t="str">
        <f t="shared" ca="1" si="1"/>
        <v/>
      </c>
      <c r="D32" s="99" t="str">
        <f t="shared" ca="1" si="1"/>
        <v/>
      </c>
      <c r="E32" s="99" t="str">
        <f t="shared" ca="1" si="1"/>
        <v/>
      </c>
      <c r="F32" s="99" t="str">
        <f t="shared" ca="1" si="1"/>
        <v/>
      </c>
      <c r="G32" s="99" t="str">
        <f t="shared" ca="1" si="1"/>
        <v/>
      </c>
      <c r="H32" s="99" t="str">
        <f t="shared" ca="1" si="1"/>
        <v/>
      </c>
      <c r="I32" s="99" t="str">
        <f t="shared" ca="1" si="1"/>
        <v/>
      </c>
      <c r="J32" s="99" t="str">
        <f t="shared" ca="1" si="1"/>
        <v/>
      </c>
      <c r="K32" s="99" t="str">
        <f t="shared" ca="1" si="1"/>
        <v/>
      </c>
      <c r="L32" s="99" t="str">
        <f t="shared" ca="1" si="1"/>
        <v/>
      </c>
      <c r="P32" s="167"/>
      <c r="Q32" s="167"/>
      <c r="R32" s="167"/>
      <c r="S32" s="167"/>
      <c r="T32" s="167"/>
      <c r="U32" s="167"/>
      <c r="V32" s="167"/>
      <c r="W32" s="167"/>
      <c r="X32" s="167"/>
      <c r="Y32" s="167"/>
      <c r="Z32" s="167"/>
    </row>
    <row r="33" spans="2:26" ht="10.199999999999999" customHeight="1">
      <c r="B33" s="97" t="str">
        <f>IF(Calculation!BE38="","",Calculation!BE38)</f>
        <v/>
      </c>
      <c r="C33" s="99" t="str">
        <f t="shared" ca="1" si="1"/>
        <v/>
      </c>
      <c r="D33" s="99" t="str">
        <f t="shared" ca="1" si="1"/>
        <v/>
      </c>
      <c r="E33" s="99" t="str">
        <f t="shared" ca="1" si="1"/>
        <v/>
      </c>
      <c r="F33" s="99" t="str">
        <f t="shared" ca="1" si="1"/>
        <v/>
      </c>
      <c r="G33" s="99" t="str">
        <f t="shared" ca="1" si="1"/>
        <v/>
      </c>
      <c r="H33" s="99" t="str">
        <f t="shared" ca="1" si="1"/>
        <v/>
      </c>
      <c r="I33" s="99" t="str">
        <f t="shared" ca="1" si="1"/>
        <v/>
      </c>
      <c r="J33" s="99" t="str">
        <f t="shared" ca="1" si="1"/>
        <v/>
      </c>
      <c r="K33" s="99" t="str">
        <f t="shared" ca="1" si="1"/>
        <v/>
      </c>
      <c r="L33" s="99" t="str">
        <f t="shared" ca="1" si="1"/>
        <v/>
      </c>
      <c r="P33" s="168"/>
      <c r="Q33" s="168"/>
      <c r="R33" s="168"/>
      <c r="S33" s="168"/>
      <c r="T33" s="168"/>
      <c r="U33" s="168"/>
      <c r="V33" s="168"/>
      <c r="W33" s="168"/>
      <c r="X33" s="168"/>
      <c r="Y33" s="168"/>
      <c r="Z33" s="168"/>
    </row>
    <row r="34" spans="2:26" ht="10.199999999999999" customHeight="1">
      <c r="B34" s="97" t="str">
        <f>IF(Calculation!BE39="","",Calculation!BE39)</f>
        <v/>
      </c>
      <c r="C34" s="99" t="str">
        <f t="shared" ca="1" si="1"/>
        <v/>
      </c>
      <c r="D34" s="99" t="str">
        <f t="shared" ca="1" si="1"/>
        <v/>
      </c>
      <c r="E34" s="99" t="str">
        <f t="shared" ca="1" si="1"/>
        <v/>
      </c>
      <c r="F34" s="99" t="str">
        <f t="shared" ca="1" si="1"/>
        <v/>
      </c>
      <c r="G34" s="99" t="str">
        <f t="shared" ca="1" si="1"/>
        <v/>
      </c>
      <c r="H34" s="99" t="str">
        <f t="shared" ca="1" si="1"/>
        <v/>
      </c>
      <c r="I34" s="99" t="str">
        <f t="shared" ca="1" si="1"/>
        <v/>
      </c>
      <c r="J34" s="99" t="str">
        <f t="shared" ca="1" si="1"/>
        <v/>
      </c>
      <c r="K34" s="99" t="str">
        <f t="shared" ca="1" si="1"/>
        <v/>
      </c>
      <c r="L34" s="99" t="str">
        <f t="shared" ca="1" si="1"/>
        <v/>
      </c>
      <c r="P34" s="167"/>
      <c r="Q34" s="167"/>
      <c r="R34" s="167"/>
      <c r="S34" s="167"/>
      <c r="T34" s="167"/>
      <c r="U34" s="167"/>
      <c r="V34" s="167"/>
      <c r="W34" s="167"/>
      <c r="X34" s="167"/>
      <c r="Y34" s="167"/>
      <c r="Z34" s="167"/>
    </row>
    <row r="35" spans="2:26" ht="10.199999999999999" customHeight="1">
      <c r="B35" s="97" t="str">
        <f>IF(Calculation!BE40="","",Calculation!BE40)</f>
        <v/>
      </c>
      <c r="C35" s="99" t="str">
        <f t="shared" ca="1" si="1"/>
        <v/>
      </c>
      <c r="D35" s="99" t="str">
        <f t="shared" ca="1" si="1"/>
        <v/>
      </c>
      <c r="E35" s="99" t="str">
        <f t="shared" ca="1" si="1"/>
        <v/>
      </c>
      <c r="F35" s="99" t="str">
        <f t="shared" ca="1" si="1"/>
        <v/>
      </c>
      <c r="G35" s="99" t="str">
        <f t="shared" ca="1" si="1"/>
        <v/>
      </c>
      <c r="H35" s="99" t="str">
        <f t="shared" ca="1" si="1"/>
        <v/>
      </c>
      <c r="I35" s="99" t="str">
        <f t="shared" ca="1" si="1"/>
        <v/>
      </c>
      <c r="J35" s="99" t="str">
        <f t="shared" ca="1" si="1"/>
        <v/>
      </c>
      <c r="K35" s="99" t="str">
        <f t="shared" ca="1" si="1"/>
        <v/>
      </c>
      <c r="L35" s="99" t="str">
        <f t="shared" ca="1" si="1"/>
        <v/>
      </c>
      <c r="P35" s="167"/>
      <c r="Q35" s="167"/>
      <c r="R35" s="167"/>
      <c r="S35" s="167"/>
      <c r="T35" s="167"/>
      <c r="U35" s="167"/>
      <c r="V35" s="167"/>
      <c r="W35" s="167"/>
      <c r="X35" s="167"/>
      <c r="Y35" s="167"/>
      <c r="Z35" s="167"/>
    </row>
    <row r="36" spans="2:26" ht="10.199999999999999" customHeight="1">
      <c r="B36" s="97" t="str">
        <f>IF(Calculation!BE41="","",Calculation!BE41)</f>
        <v/>
      </c>
      <c r="C36" s="99" t="str">
        <f t="shared" ca="1" si="1"/>
        <v/>
      </c>
      <c r="D36" s="99" t="str">
        <f t="shared" ca="1" si="1"/>
        <v/>
      </c>
      <c r="E36" s="99" t="str">
        <f t="shared" ca="1" si="1"/>
        <v/>
      </c>
      <c r="F36" s="99" t="str">
        <f t="shared" ca="1" si="1"/>
        <v/>
      </c>
      <c r="G36" s="99" t="str">
        <f t="shared" ca="1" si="1"/>
        <v/>
      </c>
      <c r="H36" s="99" t="str">
        <f t="shared" ca="1" si="1"/>
        <v/>
      </c>
      <c r="I36" s="99" t="str">
        <f t="shared" ca="1" si="1"/>
        <v/>
      </c>
      <c r="J36" s="99" t="str">
        <f t="shared" ca="1" si="1"/>
        <v/>
      </c>
      <c r="K36" s="99" t="str">
        <f t="shared" ca="1" si="1"/>
        <v/>
      </c>
      <c r="L36" s="99" t="str">
        <f t="shared" ca="1" si="1"/>
        <v/>
      </c>
      <c r="P36" s="168"/>
      <c r="Q36" s="168"/>
      <c r="R36" s="168"/>
      <c r="S36" s="168"/>
      <c r="T36" s="168"/>
      <c r="U36" s="168"/>
      <c r="V36" s="168"/>
      <c r="W36" s="168"/>
      <c r="X36" s="168"/>
      <c r="Y36" s="168"/>
      <c r="Z36" s="168"/>
    </row>
    <row r="37" spans="2:26" ht="10.199999999999999" customHeight="1">
      <c r="B37" s="97" t="str">
        <f>IF(Calculation!BE42="","",Calculation!BE42)</f>
        <v/>
      </c>
      <c r="C37" s="99" t="str">
        <f t="shared" ca="1" si="1"/>
        <v/>
      </c>
      <c r="D37" s="99" t="str">
        <f t="shared" ca="1" si="1"/>
        <v/>
      </c>
      <c r="E37" s="99" t="str">
        <f t="shared" ca="1" si="1"/>
        <v/>
      </c>
      <c r="F37" s="99" t="str">
        <f t="shared" ca="1" si="1"/>
        <v/>
      </c>
      <c r="G37" s="99" t="str">
        <f t="shared" ca="1" si="1"/>
        <v/>
      </c>
      <c r="H37" s="99" t="str">
        <f t="shared" ca="1" si="1"/>
        <v/>
      </c>
      <c r="I37" s="99" t="str">
        <f t="shared" ca="1" si="1"/>
        <v/>
      </c>
      <c r="J37" s="99" t="str">
        <f t="shared" ca="1" si="1"/>
        <v/>
      </c>
      <c r="K37" s="99" t="str">
        <f t="shared" ca="1" si="1"/>
        <v/>
      </c>
      <c r="L37" s="99" t="str">
        <f t="shared" ca="1" si="1"/>
        <v/>
      </c>
      <c r="P37" s="167"/>
      <c r="Q37" s="167"/>
      <c r="R37" s="167"/>
      <c r="S37" s="167"/>
      <c r="T37" s="167"/>
      <c r="U37" s="167"/>
      <c r="V37" s="167"/>
      <c r="W37" s="167"/>
      <c r="X37" s="167"/>
      <c r="Y37" s="167"/>
      <c r="Z37" s="167"/>
    </row>
    <row r="38" spans="2:26" ht="10.199999999999999" customHeight="1">
      <c r="B38" s="97" t="str">
        <f>IF(Calculation!BE43="","",Calculation!BE43)</f>
        <v/>
      </c>
      <c r="C38" s="99" t="str">
        <f t="shared" ref="C38:L53" ca="1" si="2">IF($M$4=0,"",VLOOKUP($B38,INDIRECT("$P$1:$Z$"&amp;$M$4),COLUMN()-1,0))</f>
        <v/>
      </c>
      <c r="D38" s="99" t="str">
        <f t="shared" ca="1" si="2"/>
        <v/>
      </c>
      <c r="E38" s="99" t="str">
        <f t="shared" ca="1" si="2"/>
        <v/>
      </c>
      <c r="F38" s="99" t="str">
        <f t="shared" ca="1" si="2"/>
        <v/>
      </c>
      <c r="G38" s="99" t="str">
        <f t="shared" ca="1" si="2"/>
        <v/>
      </c>
      <c r="H38" s="99" t="str">
        <f t="shared" ca="1" si="2"/>
        <v/>
      </c>
      <c r="I38" s="99" t="str">
        <f t="shared" ca="1" si="2"/>
        <v/>
      </c>
      <c r="J38" s="99" t="str">
        <f t="shared" ca="1" si="2"/>
        <v/>
      </c>
      <c r="K38" s="99" t="str">
        <f t="shared" ca="1" si="2"/>
        <v/>
      </c>
      <c r="L38" s="99" t="str">
        <f t="shared" ca="1" si="2"/>
        <v/>
      </c>
      <c r="P38" s="167"/>
      <c r="Q38" s="167"/>
      <c r="R38" s="167"/>
      <c r="S38" s="167"/>
      <c r="T38" s="167"/>
      <c r="U38" s="167"/>
      <c r="V38" s="167"/>
      <c r="W38" s="167"/>
      <c r="X38" s="167"/>
      <c r="Y38" s="167"/>
      <c r="Z38" s="167"/>
    </row>
    <row r="39" spans="2:26" ht="10.199999999999999" customHeight="1">
      <c r="B39" s="97" t="str">
        <f>IF(Calculation!BE44="","",Calculation!BE44)</f>
        <v/>
      </c>
      <c r="C39" s="99" t="str">
        <f t="shared" ca="1" si="2"/>
        <v/>
      </c>
      <c r="D39" s="99" t="str">
        <f t="shared" ca="1" si="2"/>
        <v/>
      </c>
      <c r="E39" s="99" t="str">
        <f t="shared" ca="1" si="2"/>
        <v/>
      </c>
      <c r="F39" s="99" t="str">
        <f t="shared" ca="1" si="2"/>
        <v/>
      </c>
      <c r="G39" s="99" t="str">
        <f t="shared" ca="1" si="2"/>
        <v/>
      </c>
      <c r="H39" s="99" t="str">
        <f t="shared" ca="1" si="2"/>
        <v/>
      </c>
      <c r="I39" s="99" t="str">
        <f t="shared" ca="1" si="2"/>
        <v/>
      </c>
      <c r="J39" s="99" t="str">
        <f t="shared" ca="1" si="2"/>
        <v/>
      </c>
      <c r="K39" s="99" t="str">
        <f t="shared" ca="1" si="2"/>
        <v/>
      </c>
      <c r="L39" s="99" t="str">
        <f t="shared" ca="1" si="2"/>
        <v/>
      </c>
      <c r="P39" s="168"/>
      <c r="Q39" s="168"/>
      <c r="R39" s="168"/>
      <c r="S39" s="168"/>
      <c r="T39" s="168"/>
      <c r="U39" s="168"/>
      <c r="V39" s="168"/>
      <c r="W39" s="168"/>
      <c r="X39" s="168"/>
      <c r="Y39" s="168"/>
      <c r="Z39" s="168"/>
    </row>
    <row r="40" spans="2:26" ht="10.199999999999999" customHeight="1">
      <c r="B40" s="97" t="str">
        <f>IF(Calculation!BE45="","",Calculation!BE45)</f>
        <v/>
      </c>
      <c r="C40" s="99" t="str">
        <f t="shared" ca="1" si="2"/>
        <v/>
      </c>
      <c r="D40" s="99" t="str">
        <f t="shared" ca="1" si="2"/>
        <v/>
      </c>
      <c r="E40" s="99" t="str">
        <f t="shared" ca="1" si="2"/>
        <v/>
      </c>
      <c r="F40" s="99" t="str">
        <f t="shared" ca="1" si="2"/>
        <v/>
      </c>
      <c r="G40" s="99" t="str">
        <f t="shared" ca="1" si="2"/>
        <v/>
      </c>
      <c r="H40" s="99" t="str">
        <f t="shared" ca="1" si="2"/>
        <v/>
      </c>
      <c r="I40" s="99" t="str">
        <f t="shared" ca="1" si="2"/>
        <v/>
      </c>
      <c r="J40" s="99" t="str">
        <f t="shared" ca="1" si="2"/>
        <v/>
      </c>
      <c r="K40" s="99" t="str">
        <f t="shared" ca="1" si="2"/>
        <v/>
      </c>
      <c r="L40" s="99" t="str">
        <f t="shared" ca="1" si="2"/>
        <v/>
      </c>
      <c r="P40" s="167"/>
      <c r="Q40" s="167"/>
      <c r="R40" s="167"/>
      <c r="S40" s="167"/>
      <c r="T40" s="167"/>
      <c r="U40" s="167"/>
      <c r="V40" s="167"/>
      <c r="W40" s="167"/>
      <c r="X40" s="167"/>
      <c r="Y40" s="167"/>
      <c r="Z40" s="167"/>
    </row>
    <row r="41" spans="2:26" ht="10.199999999999999" customHeight="1">
      <c r="B41" s="97" t="str">
        <f>IF(Calculation!BE47="","",Calculation!BE47)</f>
        <v/>
      </c>
      <c r="C41" s="99" t="str">
        <f t="shared" ca="1" si="2"/>
        <v/>
      </c>
      <c r="D41" s="99" t="str">
        <f t="shared" ca="1" si="2"/>
        <v/>
      </c>
      <c r="E41" s="99" t="str">
        <f t="shared" ca="1" si="2"/>
        <v/>
      </c>
      <c r="F41" s="99" t="str">
        <f t="shared" ca="1" si="2"/>
        <v/>
      </c>
      <c r="G41" s="99" t="str">
        <f t="shared" ca="1" si="2"/>
        <v/>
      </c>
      <c r="H41" s="99" t="str">
        <f t="shared" ca="1" si="2"/>
        <v/>
      </c>
      <c r="I41" s="99" t="str">
        <f t="shared" ca="1" si="2"/>
        <v/>
      </c>
      <c r="J41" s="99" t="str">
        <f t="shared" ca="1" si="2"/>
        <v/>
      </c>
      <c r="K41" s="99" t="str">
        <f t="shared" ca="1" si="2"/>
        <v/>
      </c>
      <c r="L41" s="99" t="str">
        <f t="shared" ca="1" si="2"/>
        <v/>
      </c>
      <c r="P41" s="167"/>
      <c r="Q41" s="167"/>
      <c r="R41" s="167"/>
      <c r="S41" s="167"/>
      <c r="T41" s="167"/>
      <c r="U41" s="167"/>
      <c r="V41" s="167"/>
      <c r="W41" s="167"/>
      <c r="X41" s="167"/>
      <c r="Y41" s="167"/>
      <c r="Z41" s="167"/>
    </row>
    <row r="42" spans="2:26" ht="10.199999999999999" customHeight="1">
      <c r="B42" s="97" t="str">
        <f>IF(Calculation!BE48="","",Calculation!BE48)</f>
        <v/>
      </c>
      <c r="C42" s="99" t="str">
        <f t="shared" ca="1" si="2"/>
        <v/>
      </c>
      <c r="D42" s="99" t="str">
        <f t="shared" ca="1" si="2"/>
        <v/>
      </c>
      <c r="E42" s="99" t="str">
        <f t="shared" ca="1" si="2"/>
        <v/>
      </c>
      <c r="F42" s="99" t="str">
        <f t="shared" ca="1" si="2"/>
        <v/>
      </c>
      <c r="G42" s="99" t="str">
        <f t="shared" ca="1" si="2"/>
        <v/>
      </c>
      <c r="H42" s="99" t="str">
        <f t="shared" ca="1" si="2"/>
        <v/>
      </c>
      <c r="I42" s="99" t="str">
        <f t="shared" ca="1" si="2"/>
        <v/>
      </c>
      <c r="J42" s="99" t="str">
        <f t="shared" ca="1" si="2"/>
        <v/>
      </c>
      <c r="K42" s="99" t="str">
        <f t="shared" ca="1" si="2"/>
        <v/>
      </c>
      <c r="L42" s="99" t="str">
        <f t="shared" ca="1" si="2"/>
        <v/>
      </c>
      <c r="P42" s="168"/>
      <c r="Q42" s="168"/>
      <c r="R42" s="168"/>
      <c r="S42" s="168"/>
      <c r="T42" s="168"/>
      <c r="U42" s="168"/>
      <c r="V42" s="168"/>
      <c r="W42" s="168"/>
      <c r="X42" s="168"/>
      <c r="Y42" s="168"/>
      <c r="Z42" s="168"/>
    </row>
    <row r="43" spans="2:26" ht="10.199999999999999" customHeight="1">
      <c r="B43" s="97" t="str">
        <f>IF(Calculation!BE49="","",Calculation!BE49)</f>
        <v/>
      </c>
      <c r="C43" s="99" t="str">
        <f t="shared" ca="1" si="2"/>
        <v/>
      </c>
      <c r="D43" s="99" t="str">
        <f t="shared" ca="1" si="2"/>
        <v/>
      </c>
      <c r="E43" s="99" t="str">
        <f t="shared" ca="1" si="2"/>
        <v/>
      </c>
      <c r="F43" s="99" t="str">
        <f t="shared" ca="1" si="2"/>
        <v/>
      </c>
      <c r="G43" s="99" t="str">
        <f t="shared" ca="1" si="2"/>
        <v/>
      </c>
      <c r="H43" s="99" t="str">
        <f t="shared" ca="1" si="2"/>
        <v/>
      </c>
      <c r="I43" s="99" t="str">
        <f t="shared" ca="1" si="2"/>
        <v/>
      </c>
      <c r="J43" s="99" t="str">
        <f t="shared" ca="1" si="2"/>
        <v/>
      </c>
      <c r="K43" s="99" t="str">
        <f t="shared" ca="1" si="2"/>
        <v/>
      </c>
      <c r="L43" s="99" t="str">
        <f t="shared" ca="1" si="2"/>
        <v/>
      </c>
      <c r="P43" s="167"/>
      <c r="Q43" s="167"/>
      <c r="R43" s="167"/>
      <c r="S43" s="167"/>
      <c r="T43" s="167"/>
      <c r="U43" s="167"/>
      <c r="V43" s="167"/>
      <c r="W43" s="167"/>
      <c r="X43" s="167"/>
      <c r="Y43" s="167"/>
      <c r="Z43" s="167"/>
    </row>
    <row r="44" spans="2:26" ht="10.199999999999999" customHeight="1">
      <c r="B44" s="97" t="str">
        <f>IF(Calculation!BE50="","",Calculation!BE50)</f>
        <v/>
      </c>
      <c r="C44" s="99" t="str">
        <f t="shared" ca="1" si="2"/>
        <v/>
      </c>
      <c r="D44" s="99" t="str">
        <f t="shared" ca="1" si="2"/>
        <v/>
      </c>
      <c r="E44" s="99" t="str">
        <f t="shared" ca="1" si="2"/>
        <v/>
      </c>
      <c r="F44" s="99" t="str">
        <f t="shared" ca="1" si="2"/>
        <v/>
      </c>
      <c r="G44" s="99" t="str">
        <f t="shared" ca="1" si="2"/>
        <v/>
      </c>
      <c r="H44" s="99" t="str">
        <f t="shared" ca="1" si="2"/>
        <v/>
      </c>
      <c r="I44" s="99" t="str">
        <f t="shared" ca="1" si="2"/>
        <v/>
      </c>
      <c r="J44" s="99" t="str">
        <f t="shared" ca="1" si="2"/>
        <v/>
      </c>
      <c r="K44" s="99" t="str">
        <f t="shared" ca="1" si="2"/>
        <v/>
      </c>
      <c r="L44" s="99" t="str">
        <f t="shared" ca="1" si="2"/>
        <v/>
      </c>
      <c r="P44" s="167"/>
      <c r="Q44" s="167"/>
      <c r="R44" s="167"/>
      <c r="S44" s="167"/>
      <c r="T44" s="167"/>
      <c r="U44" s="167"/>
      <c r="V44" s="167"/>
      <c r="W44" s="167"/>
      <c r="X44" s="167"/>
      <c r="Y44" s="167"/>
      <c r="Z44" s="167"/>
    </row>
    <row r="45" spans="2:26" ht="10.199999999999999" customHeight="1">
      <c r="B45" s="97" t="str">
        <f>IF(Calculation!BE51="","",Calculation!BE51)</f>
        <v/>
      </c>
      <c r="C45" s="99" t="str">
        <f t="shared" ca="1" si="2"/>
        <v/>
      </c>
      <c r="D45" s="99" t="str">
        <f t="shared" ca="1" si="2"/>
        <v/>
      </c>
      <c r="E45" s="99" t="str">
        <f t="shared" ca="1" si="2"/>
        <v/>
      </c>
      <c r="F45" s="99" t="str">
        <f t="shared" ca="1" si="2"/>
        <v/>
      </c>
      <c r="G45" s="99" t="str">
        <f t="shared" ca="1" si="2"/>
        <v/>
      </c>
      <c r="H45" s="99" t="str">
        <f t="shared" ca="1" si="2"/>
        <v/>
      </c>
      <c r="I45" s="99" t="str">
        <f t="shared" ca="1" si="2"/>
        <v/>
      </c>
      <c r="J45" s="99" t="str">
        <f t="shared" ca="1" si="2"/>
        <v/>
      </c>
      <c r="K45" s="99" t="str">
        <f t="shared" ca="1" si="2"/>
        <v/>
      </c>
      <c r="L45" s="99" t="str">
        <f t="shared" ca="1" si="2"/>
        <v/>
      </c>
      <c r="P45" s="168"/>
      <c r="Q45" s="168"/>
      <c r="R45" s="168"/>
      <c r="S45" s="168"/>
      <c r="T45" s="168"/>
      <c r="U45" s="168"/>
      <c r="V45" s="168"/>
      <c r="W45" s="168"/>
      <c r="X45" s="168"/>
      <c r="Y45" s="168"/>
      <c r="Z45" s="168"/>
    </row>
    <row r="46" spans="2:26" ht="10.199999999999999" customHeight="1">
      <c r="B46" s="97" t="str">
        <f>IF(Calculation!BE52="","",Calculation!BE52)</f>
        <v/>
      </c>
      <c r="C46" s="99" t="str">
        <f t="shared" ca="1" si="2"/>
        <v/>
      </c>
      <c r="D46" s="99" t="str">
        <f t="shared" ca="1" si="2"/>
        <v/>
      </c>
      <c r="E46" s="99" t="str">
        <f t="shared" ca="1" si="2"/>
        <v/>
      </c>
      <c r="F46" s="99" t="str">
        <f t="shared" ca="1" si="2"/>
        <v/>
      </c>
      <c r="G46" s="99" t="str">
        <f t="shared" ca="1" si="2"/>
        <v/>
      </c>
      <c r="H46" s="99" t="str">
        <f t="shared" ca="1" si="2"/>
        <v/>
      </c>
      <c r="I46" s="99" t="str">
        <f t="shared" ca="1" si="2"/>
        <v/>
      </c>
      <c r="J46" s="99" t="str">
        <f t="shared" ca="1" si="2"/>
        <v/>
      </c>
      <c r="K46" s="99" t="str">
        <f t="shared" ca="1" si="2"/>
        <v/>
      </c>
      <c r="L46" s="99" t="str">
        <f t="shared" ca="1" si="2"/>
        <v/>
      </c>
      <c r="P46" s="167"/>
      <c r="Q46" s="167"/>
      <c r="R46" s="167"/>
      <c r="S46" s="167"/>
      <c r="T46" s="167"/>
      <c r="U46" s="167"/>
      <c r="V46" s="167"/>
      <c r="W46" s="167"/>
      <c r="X46" s="167"/>
      <c r="Y46" s="167"/>
      <c r="Z46" s="167"/>
    </row>
    <row r="47" spans="2:26" ht="10.199999999999999" customHeight="1">
      <c r="B47" s="97" t="str">
        <f>IF(Calculation!BE53="","",Calculation!BE53)</f>
        <v/>
      </c>
      <c r="C47" s="99" t="str">
        <f t="shared" ca="1" si="2"/>
        <v/>
      </c>
      <c r="D47" s="99" t="str">
        <f t="shared" ca="1" si="2"/>
        <v/>
      </c>
      <c r="E47" s="99" t="str">
        <f t="shared" ca="1" si="2"/>
        <v/>
      </c>
      <c r="F47" s="99" t="str">
        <f t="shared" ca="1" si="2"/>
        <v/>
      </c>
      <c r="G47" s="99" t="str">
        <f t="shared" ca="1" si="2"/>
        <v/>
      </c>
      <c r="H47" s="99" t="str">
        <f t="shared" ca="1" si="2"/>
        <v/>
      </c>
      <c r="I47" s="99" t="str">
        <f t="shared" ca="1" si="2"/>
        <v/>
      </c>
      <c r="J47" s="99" t="str">
        <f t="shared" ca="1" si="2"/>
        <v/>
      </c>
      <c r="K47" s="99" t="str">
        <f t="shared" ca="1" si="2"/>
        <v/>
      </c>
      <c r="L47" s="99" t="str">
        <f t="shared" ca="1" si="2"/>
        <v/>
      </c>
      <c r="P47" s="167"/>
      <c r="Q47" s="167"/>
      <c r="R47" s="167"/>
      <c r="S47" s="167"/>
      <c r="T47" s="167"/>
      <c r="U47" s="167"/>
      <c r="V47" s="167"/>
      <c r="W47" s="167"/>
      <c r="X47" s="167"/>
      <c r="Y47" s="167"/>
      <c r="Z47" s="167"/>
    </row>
    <row r="48" spans="2:26" ht="10.199999999999999" customHeight="1">
      <c r="B48" s="97" t="str">
        <f>IF(Calculation!BE54="","",Calculation!BE54)</f>
        <v/>
      </c>
      <c r="C48" s="99" t="str">
        <f t="shared" ca="1" si="2"/>
        <v/>
      </c>
      <c r="D48" s="99" t="str">
        <f t="shared" ca="1" si="2"/>
        <v/>
      </c>
      <c r="E48" s="99" t="str">
        <f t="shared" ca="1" si="2"/>
        <v/>
      </c>
      <c r="F48" s="99" t="str">
        <f t="shared" ca="1" si="2"/>
        <v/>
      </c>
      <c r="G48" s="99" t="str">
        <f t="shared" ca="1" si="2"/>
        <v/>
      </c>
      <c r="H48" s="99" t="str">
        <f t="shared" ca="1" si="2"/>
        <v/>
      </c>
      <c r="I48" s="99" t="str">
        <f t="shared" ca="1" si="2"/>
        <v/>
      </c>
      <c r="J48" s="99" t="str">
        <f t="shared" ca="1" si="2"/>
        <v/>
      </c>
      <c r="K48" s="99" t="str">
        <f t="shared" ca="1" si="2"/>
        <v/>
      </c>
      <c r="L48" s="99" t="str">
        <f t="shared" ca="1" si="2"/>
        <v/>
      </c>
      <c r="P48" s="168"/>
      <c r="Q48" s="168"/>
      <c r="R48" s="168"/>
      <c r="S48" s="168"/>
      <c r="T48" s="168"/>
      <c r="U48" s="168"/>
      <c r="V48" s="168"/>
      <c r="W48" s="168"/>
      <c r="X48" s="168"/>
      <c r="Y48" s="168"/>
      <c r="Z48" s="168"/>
    </row>
    <row r="49" spans="2:26" ht="10.199999999999999" customHeight="1">
      <c r="B49" s="97" t="str">
        <f>IF(Calculation!BE55="","",Calculation!BE55)</f>
        <v/>
      </c>
      <c r="C49" s="99" t="str">
        <f t="shared" ca="1" si="2"/>
        <v/>
      </c>
      <c r="D49" s="99" t="str">
        <f t="shared" ca="1" si="2"/>
        <v/>
      </c>
      <c r="E49" s="99" t="str">
        <f t="shared" ca="1" si="2"/>
        <v/>
      </c>
      <c r="F49" s="99" t="str">
        <f t="shared" ca="1" si="2"/>
        <v/>
      </c>
      <c r="G49" s="99" t="str">
        <f t="shared" ca="1" si="2"/>
        <v/>
      </c>
      <c r="H49" s="99" t="str">
        <f t="shared" ca="1" si="2"/>
        <v/>
      </c>
      <c r="I49" s="99" t="str">
        <f t="shared" ca="1" si="2"/>
        <v/>
      </c>
      <c r="J49" s="99" t="str">
        <f t="shared" ca="1" si="2"/>
        <v/>
      </c>
      <c r="K49" s="99" t="str">
        <f t="shared" ca="1" si="2"/>
        <v/>
      </c>
      <c r="L49" s="99" t="str">
        <f t="shared" ca="1" si="2"/>
        <v/>
      </c>
      <c r="P49" s="167"/>
      <c r="Q49" s="167"/>
      <c r="R49" s="167"/>
      <c r="S49" s="167"/>
      <c r="T49" s="167"/>
      <c r="U49" s="167"/>
      <c r="V49" s="167"/>
      <c r="W49" s="167"/>
      <c r="X49" s="167"/>
      <c r="Y49" s="167"/>
      <c r="Z49" s="167"/>
    </row>
    <row r="50" spans="2:26" ht="10.199999999999999" customHeight="1">
      <c r="B50" s="97" t="str">
        <f>IF(Calculation!BE56="","",Calculation!BE56)</f>
        <v/>
      </c>
      <c r="C50" s="99" t="str">
        <f t="shared" ca="1" si="2"/>
        <v/>
      </c>
      <c r="D50" s="99" t="str">
        <f t="shared" ca="1" si="2"/>
        <v/>
      </c>
      <c r="E50" s="99" t="str">
        <f t="shared" ca="1" si="2"/>
        <v/>
      </c>
      <c r="F50" s="99" t="str">
        <f t="shared" ca="1" si="2"/>
        <v/>
      </c>
      <c r="G50" s="99" t="str">
        <f t="shared" ca="1" si="2"/>
        <v/>
      </c>
      <c r="H50" s="99" t="str">
        <f t="shared" ca="1" si="2"/>
        <v/>
      </c>
      <c r="I50" s="99" t="str">
        <f t="shared" ca="1" si="2"/>
        <v/>
      </c>
      <c r="J50" s="99" t="str">
        <f t="shared" ca="1" si="2"/>
        <v/>
      </c>
      <c r="K50" s="99" t="str">
        <f t="shared" ca="1" si="2"/>
        <v/>
      </c>
      <c r="L50" s="99" t="str">
        <f t="shared" ca="1" si="2"/>
        <v/>
      </c>
      <c r="P50" s="167"/>
      <c r="Q50" s="167"/>
      <c r="R50" s="167"/>
      <c r="S50" s="167"/>
      <c r="T50" s="167"/>
      <c r="U50" s="167"/>
      <c r="V50" s="167"/>
      <c r="W50" s="167"/>
      <c r="X50" s="167"/>
      <c r="Y50" s="167"/>
      <c r="Z50" s="167"/>
    </row>
    <row r="51" spans="2:26" ht="10.199999999999999" customHeight="1">
      <c r="B51" s="97" t="str">
        <f>IF(Calculation!BE57="","",Calculation!BE57)</f>
        <v/>
      </c>
      <c r="C51" s="99" t="str">
        <f t="shared" ca="1" si="2"/>
        <v/>
      </c>
      <c r="D51" s="99" t="str">
        <f t="shared" ca="1" si="2"/>
        <v/>
      </c>
      <c r="E51" s="99" t="str">
        <f t="shared" ca="1" si="2"/>
        <v/>
      </c>
      <c r="F51" s="99" t="str">
        <f t="shared" ca="1" si="2"/>
        <v/>
      </c>
      <c r="G51" s="99" t="str">
        <f t="shared" ca="1" si="2"/>
        <v/>
      </c>
      <c r="H51" s="99" t="str">
        <f t="shared" ca="1" si="2"/>
        <v/>
      </c>
      <c r="I51" s="99" t="str">
        <f t="shared" ca="1" si="2"/>
        <v/>
      </c>
      <c r="J51" s="99" t="str">
        <f t="shared" ca="1" si="2"/>
        <v/>
      </c>
      <c r="K51" s="99" t="str">
        <f t="shared" ca="1" si="2"/>
        <v/>
      </c>
      <c r="L51" s="99" t="str">
        <f t="shared" ca="1" si="2"/>
        <v/>
      </c>
      <c r="P51" s="168"/>
      <c r="Q51" s="168"/>
      <c r="R51" s="168"/>
      <c r="S51" s="168"/>
      <c r="T51" s="168"/>
      <c r="U51" s="168"/>
      <c r="V51" s="168"/>
      <c r="W51" s="168"/>
      <c r="X51" s="168"/>
      <c r="Y51" s="168"/>
      <c r="Z51" s="168"/>
    </row>
    <row r="52" spans="2:26" ht="10.199999999999999" customHeight="1">
      <c r="B52" s="97" t="str">
        <f>IF(Calculation!BE58="","",Calculation!BE58)</f>
        <v/>
      </c>
      <c r="C52" s="99" t="str">
        <f t="shared" ca="1" si="2"/>
        <v/>
      </c>
      <c r="D52" s="99" t="str">
        <f t="shared" ca="1" si="2"/>
        <v/>
      </c>
      <c r="E52" s="99" t="str">
        <f t="shared" ca="1" si="2"/>
        <v/>
      </c>
      <c r="F52" s="99" t="str">
        <f t="shared" ca="1" si="2"/>
        <v/>
      </c>
      <c r="G52" s="99" t="str">
        <f t="shared" ca="1" si="2"/>
        <v/>
      </c>
      <c r="H52" s="99" t="str">
        <f t="shared" ca="1" si="2"/>
        <v/>
      </c>
      <c r="I52" s="99" t="str">
        <f t="shared" ca="1" si="2"/>
        <v/>
      </c>
      <c r="J52" s="99" t="str">
        <f t="shared" ca="1" si="2"/>
        <v/>
      </c>
      <c r="K52" s="99" t="str">
        <f t="shared" ca="1" si="2"/>
        <v/>
      </c>
      <c r="L52" s="99" t="str">
        <f t="shared" ca="1" si="2"/>
        <v/>
      </c>
      <c r="P52" s="167"/>
      <c r="Q52" s="167"/>
      <c r="R52" s="167"/>
      <c r="S52" s="167"/>
      <c r="T52" s="167"/>
      <c r="U52" s="167"/>
      <c r="V52" s="167"/>
      <c r="W52" s="167"/>
      <c r="X52" s="167"/>
      <c r="Y52" s="167"/>
      <c r="Z52" s="167"/>
    </row>
    <row r="53" spans="2:26" ht="10.199999999999999" customHeight="1">
      <c r="B53" s="97" t="str">
        <f>IF(Calculation!BE59="","",Calculation!BE59)</f>
        <v/>
      </c>
      <c r="C53" s="99" t="str">
        <f t="shared" ca="1" si="2"/>
        <v/>
      </c>
      <c r="D53" s="99" t="str">
        <f t="shared" ca="1" si="2"/>
        <v/>
      </c>
      <c r="E53" s="99" t="str">
        <f t="shared" ca="1" si="2"/>
        <v/>
      </c>
      <c r="F53" s="99" t="str">
        <f t="shared" ca="1" si="2"/>
        <v/>
      </c>
      <c r="G53" s="99" t="str">
        <f t="shared" ca="1" si="2"/>
        <v/>
      </c>
      <c r="H53" s="99" t="str">
        <f t="shared" ca="1" si="2"/>
        <v/>
      </c>
      <c r="I53" s="99" t="str">
        <f t="shared" ca="1" si="2"/>
        <v/>
      </c>
      <c r="J53" s="99" t="str">
        <f t="shared" ca="1" si="2"/>
        <v/>
      </c>
      <c r="K53" s="99" t="str">
        <f t="shared" ca="1" si="2"/>
        <v/>
      </c>
      <c r="L53" s="99" t="str">
        <f t="shared" ca="1" si="2"/>
        <v/>
      </c>
      <c r="P53" s="167"/>
      <c r="Q53" s="167"/>
      <c r="R53" s="167"/>
      <c r="S53" s="167"/>
      <c r="T53" s="167"/>
      <c r="U53" s="167"/>
      <c r="V53" s="167"/>
      <c r="W53" s="167"/>
      <c r="X53" s="167"/>
      <c r="Y53" s="167"/>
      <c r="Z53" s="167"/>
    </row>
    <row r="54" spans="2:26" ht="10.199999999999999" customHeight="1">
      <c r="B54" s="97" t="str">
        <f>IF(Calculation!BE60="","",Calculation!BE60)</f>
        <v/>
      </c>
      <c r="C54" s="99" t="str">
        <f t="shared" ref="C54:L55" ca="1" si="3">IF($M$4=0,"",VLOOKUP($B54,INDIRECT("$P$1:$Z$"&amp;$M$4),COLUMN()-1,0))</f>
        <v/>
      </c>
      <c r="D54" s="99" t="str">
        <f t="shared" ca="1" si="3"/>
        <v/>
      </c>
      <c r="E54" s="99" t="str">
        <f t="shared" ca="1" si="3"/>
        <v/>
      </c>
      <c r="F54" s="99" t="str">
        <f t="shared" ca="1" si="3"/>
        <v/>
      </c>
      <c r="G54" s="99" t="str">
        <f t="shared" ca="1" si="3"/>
        <v/>
      </c>
      <c r="H54" s="99" t="str">
        <f t="shared" ca="1" si="3"/>
        <v/>
      </c>
      <c r="I54" s="99" t="str">
        <f t="shared" ca="1" si="3"/>
        <v/>
      </c>
      <c r="J54" s="99" t="str">
        <f t="shared" ca="1" si="3"/>
        <v/>
      </c>
      <c r="K54" s="99" t="str">
        <f t="shared" ca="1" si="3"/>
        <v/>
      </c>
      <c r="L54" s="99" t="str">
        <f t="shared" ca="1" si="3"/>
        <v/>
      </c>
      <c r="P54" s="168"/>
      <c r="Q54" s="168"/>
      <c r="R54" s="168"/>
      <c r="S54" s="168"/>
      <c r="T54" s="168"/>
      <c r="U54" s="168"/>
      <c r="V54" s="168"/>
      <c r="W54" s="168"/>
      <c r="X54" s="168"/>
      <c r="Y54" s="168"/>
      <c r="Z54" s="168"/>
    </row>
    <row r="55" spans="2:26" ht="10.199999999999999" customHeight="1">
      <c r="B55" s="97" t="str">
        <f>IF(Calculation!BE61="","",Calculation!BE61)</f>
        <v/>
      </c>
      <c r="C55" s="99" t="str">
        <f t="shared" ca="1" si="3"/>
        <v/>
      </c>
      <c r="D55" s="99" t="str">
        <f t="shared" ca="1" si="3"/>
        <v/>
      </c>
      <c r="E55" s="99" t="str">
        <f t="shared" ca="1" si="3"/>
        <v/>
      </c>
      <c r="F55" s="99" t="str">
        <f t="shared" ca="1" si="3"/>
        <v/>
      </c>
      <c r="G55" s="99" t="str">
        <f t="shared" ca="1" si="3"/>
        <v/>
      </c>
      <c r="H55" s="99" t="str">
        <f t="shared" ca="1" si="3"/>
        <v/>
      </c>
      <c r="I55" s="99" t="str">
        <f t="shared" ca="1" si="3"/>
        <v/>
      </c>
      <c r="J55" s="99" t="str">
        <f t="shared" ca="1" si="3"/>
        <v/>
      </c>
      <c r="K55" s="99" t="str">
        <f t="shared" ca="1" si="3"/>
        <v/>
      </c>
      <c r="L55" s="99" t="str">
        <f t="shared" ca="1" si="3"/>
        <v/>
      </c>
      <c r="P55" s="167"/>
      <c r="Q55" s="167"/>
      <c r="R55" s="167"/>
      <c r="S55" s="167"/>
      <c r="T55" s="167"/>
      <c r="U55" s="167"/>
      <c r="V55" s="167"/>
      <c r="W55" s="167"/>
      <c r="X55" s="167"/>
      <c r="Y55" s="167"/>
      <c r="Z55" s="167"/>
    </row>
    <row r="56" spans="2:26" ht="10.199999999999999" customHeight="1">
      <c r="P56" s="167"/>
      <c r="Q56" s="167"/>
      <c r="R56" s="167"/>
      <c r="S56" s="167"/>
      <c r="T56" s="167"/>
      <c r="U56" s="167"/>
      <c r="V56" s="167"/>
      <c r="W56" s="167"/>
      <c r="X56" s="167"/>
      <c r="Y56" s="167"/>
      <c r="Z56" s="167"/>
    </row>
    <row r="57" spans="2:26" ht="10.199999999999999" customHeight="1">
      <c r="P57" s="168"/>
      <c r="Q57" s="168"/>
      <c r="R57" s="168"/>
      <c r="S57" s="168"/>
      <c r="T57" s="168"/>
      <c r="U57" s="168"/>
      <c r="V57" s="168"/>
      <c r="W57" s="168"/>
      <c r="X57" s="168"/>
      <c r="Y57" s="168"/>
      <c r="Z57" s="168"/>
    </row>
    <row r="58" spans="2:26" ht="10.199999999999999" customHeight="1">
      <c r="P58" s="167"/>
      <c r="Q58" s="167"/>
      <c r="R58" s="167"/>
      <c r="S58" s="167"/>
      <c r="T58" s="167"/>
      <c r="U58" s="167"/>
      <c r="V58" s="167"/>
      <c r="W58" s="167"/>
      <c r="X58" s="167"/>
      <c r="Y58" s="167"/>
      <c r="Z58" s="167"/>
    </row>
    <row r="59" spans="2:26" ht="10.199999999999999" customHeight="1">
      <c r="P59" s="167"/>
      <c r="Q59" s="167"/>
      <c r="R59" s="167"/>
      <c r="S59" s="167"/>
      <c r="T59" s="167"/>
      <c r="U59" s="167"/>
      <c r="V59" s="167"/>
      <c r="W59" s="167"/>
      <c r="X59" s="167"/>
      <c r="Y59" s="167"/>
      <c r="Z59" s="167"/>
    </row>
    <row r="60" spans="2:26" ht="10.199999999999999" customHeight="1">
      <c r="P60" s="168"/>
      <c r="Q60" s="168"/>
      <c r="R60" s="168"/>
      <c r="S60" s="168"/>
      <c r="T60" s="168"/>
      <c r="U60" s="168"/>
      <c r="V60" s="168"/>
      <c r="W60" s="168"/>
      <c r="X60" s="168"/>
      <c r="Y60" s="168"/>
      <c r="Z60" s="168"/>
    </row>
    <row r="61" spans="2:26" ht="10.199999999999999" customHeight="1">
      <c r="P61" s="167"/>
      <c r="Q61" s="167"/>
      <c r="R61" s="167"/>
      <c r="S61" s="167"/>
      <c r="T61" s="167"/>
      <c r="U61" s="167"/>
      <c r="V61" s="167"/>
      <c r="W61" s="167"/>
      <c r="X61" s="167"/>
      <c r="Y61" s="167"/>
      <c r="Z61" s="167"/>
    </row>
    <row r="62" spans="2:26" ht="10.199999999999999" customHeight="1">
      <c r="P62" s="167"/>
      <c r="Q62" s="167"/>
      <c r="R62" s="167"/>
      <c r="S62" s="167"/>
      <c r="T62" s="167"/>
      <c r="U62" s="167"/>
      <c r="V62" s="167"/>
      <c r="W62" s="167"/>
      <c r="X62" s="167"/>
      <c r="Y62" s="167"/>
      <c r="Z62" s="167"/>
    </row>
    <row r="63" spans="2:26" ht="10.199999999999999" customHeight="1">
      <c r="P63" s="168"/>
      <c r="Q63" s="168"/>
      <c r="R63" s="168"/>
      <c r="S63" s="168"/>
      <c r="T63" s="168"/>
      <c r="U63" s="168"/>
      <c r="V63" s="168"/>
      <c r="W63" s="168"/>
      <c r="X63" s="168"/>
      <c r="Y63" s="168"/>
      <c r="Z63" s="168"/>
    </row>
    <row r="64" spans="2:26" ht="10.199999999999999" customHeight="1">
      <c r="P64" s="167"/>
      <c r="Q64" s="167"/>
      <c r="R64" s="167"/>
      <c r="S64" s="167"/>
      <c r="T64" s="167"/>
      <c r="U64" s="167"/>
      <c r="V64" s="167"/>
      <c r="W64" s="167"/>
      <c r="X64" s="167"/>
      <c r="Y64" s="167"/>
      <c r="Z64" s="167"/>
    </row>
    <row r="65" spans="16:26" ht="10.199999999999999" customHeight="1">
      <c r="P65" s="167"/>
      <c r="Q65" s="167"/>
      <c r="R65" s="167"/>
      <c r="S65" s="167"/>
      <c r="T65" s="167"/>
      <c r="U65" s="167"/>
      <c r="V65" s="167"/>
      <c r="W65" s="167"/>
      <c r="X65" s="167"/>
      <c r="Y65" s="167"/>
      <c r="Z65" s="167"/>
    </row>
    <row r="66" spans="16:26" ht="10.199999999999999" customHeight="1">
      <c r="P66" s="168"/>
      <c r="Q66" s="168"/>
      <c r="R66" s="168"/>
      <c r="S66" s="168"/>
      <c r="T66" s="168"/>
      <c r="U66" s="168"/>
      <c r="V66" s="168"/>
      <c r="W66" s="168"/>
      <c r="X66" s="168"/>
      <c r="Y66" s="168"/>
      <c r="Z66" s="168"/>
    </row>
    <row r="67" spans="16:26" ht="10.199999999999999" customHeight="1">
      <c r="P67" s="167"/>
      <c r="Q67" s="167"/>
      <c r="R67" s="167"/>
      <c r="S67" s="167"/>
      <c r="T67" s="167"/>
      <c r="U67" s="167"/>
      <c r="V67" s="167"/>
      <c r="W67" s="167"/>
      <c r="X67" s="167"/>
      <c r="Y67" s="167"/>
      <c r="Z67" s="167"/>
    </row>
    <row r="68" spans="16:26" ht="10.199999999999999" customHeight="1">
      <c r="P68" s="167"/>
      <c r="Q68" s="167"/>
      <c r="R68" s="167"/>
      <c r="S68" s="167"/>
      <c r="T68" s="167"/>
      <c r="U68" s="167"/>
      <c r="V68" s="167"/>
      <c r="W68" s="167"/>
      <c r="X68" s="167"/>
      <c r="Y68" s="167"/>
      <c r="Z68" s="167"/>
    </row>
    <row r="69" spans="16:26" ht="10.199999999999999" customHeight="1">
      <c r="P69" s="168"/>
      <c r="Q69" s="168"/>
      <c r="R69" s="168"/>
      <c r="S69" s="168"/>
      <c r="T69" s="168"/>
      <c r="U69" s="168"/>
      <c r="V69" s="168"/>
      <c r="W69" s="168"/>
      <c r="X69" s="168"/>
      <c r="Y69" s="168"/>
      <c r="Z69" s="168"/>
    </row>
    <row r="70" spans="16:26" ht="10.199999999999999" customHeight="1">
      <c r="P70" s="167"/>
      <c r="Q70" s="167"/>
      <c r="R70" s="167"/>
      <c r="S70" s="167"/>
      <c r="T70" s="167"/>
      <c r="U70" s="167"/>
      <c r="V70" s="167"/>
      <c r="W70" s="167"/>
      <c r="X70" s="167"/>
      <c r="Y70" s="167"/>
      <c r="Z70" s="167"/>
    </row>
    <row r="71" spans="16:26" ht="10.199999999999999" customHeight="1">
      <c r="P71" s="167"/>
      <c r="Q71" s="167"/>
      <c r="R71" s="167"/>
      <c r="S71" s="167"/>
      <c r="T71" s="167"/>
      <c r="U71" s="167"/>
      <c r="V71" s="167"/>
      <c r="W71" s="167"/>
      <c r="X71" s="167"/>
      <c r="Y71" s="167"/>
      <c r="Z71" s="167"/>
    </row>
    <row r="72" spans="16:26" ht="10.199999999999999" customHeight="1">
      <c r="P72" s="168"/>
      <c r="Q72" s="168"/>
      <c r="R72" s="168"/>
      <c r="S72" s="168"/>
      <c r="T72" s="168"/>
      <c r="U72" s="168"/>
      <c r="V72" s="168"/>
      <c r="W72" s="168"/>
      <c r="X72" s="168"/>
      <c r="Y72" s="168"/>
      <c r="Z72" s="168"/>
    </row>
    <row r="73" spans="16:26" ht="10.199999999999999" customHeight="1">
      <c r="P73" s="167"/>
      <c r="Q73" s="167"/>
      <c r="R73" s="167"/>
      <c r="S73" s="167"/>
      <c r="T73" s="167"/>
      <c r="U73" s="167"/>
      <c r="V73" s="167"/>
      <c r="W73" s="167"/>
      <c r="X73" s="167"/>
      <c r="Y73" s="167"/>
      <c r="Z73" s="167"/>
    </row>
    <row r="74" spans="16:26" ht="10.199999999999999" customHeight="1">
      <c r="P74" s="167"/>
      <c r="Q74" s="167"/>
      <c r="R74" s="167"/>
      <c r="S74" s="167"/>
      <c r="T74" s="167"/>
      <c r="U74" s="167"/>
      <c r="V74" s="167"/>
      <c r="W74" s="167"/>
      <c r="X74" s="167"/>
      <c r="Y74" s="167"/>
      <c r="Z74" s="167"/>
    </row>
    <row r="75" spans="16:26" ht="10.199999999999999" customHeight="1">
      <c r="P75" s="168"/>
      <c r="Q75" s="168"/>
      <c r="R75" s="168"/>
      <c r="S75" s="168"/>
      <c r="T75" s="168"/>
      <c r="U75" s="168"/>
      <c r="V75" s="168"/>
      <c r="W75" s="168"/>
      <c r="X75" s="168"/>
      <c r="Y75" s="168"/>
      <c r="Z75" s="168"/>
    </row>
    <row r="76" spans="16:26" ht="10.199999999999999" customHeight="1">
      <c r="P76" s="167"/>
      <c r="Q76" s="167"/>
      <c r="R76" s="167"/>
      <c r="S76" s="167"/>
      <c r="T76" s="167"/>
      <c r="U76" s="167"/>
      <c r="V76" s="167"/>
      <c r="W76" s="167"/>
      <c r="X76" s="167"/>
      <c r="Y76" s="167"/>
      <c r="Z76" s="167"/>
    </row>
    <row r="77" spans="16:26" ht="10.199999999999999" customHeight="1">
      <c r="P77" s="167"/>
      <c r="Q77" s="167"/>
      <c r="R77" s="167"/>
      <c r="S77" s="167"/>
      <c r="T77" s="167"/>
      <c r="U77" s="167"/>
      <c r="V77" s="167"/>
      <c r="W77" s="167"/>
      <c r="X77" s="167"/>
      <c r="Y77" s="167"/>
      <c r="Z77" s="167"/>
    </row>
    <row r="78" spans="16:26" ht="10.199999999999999" customHeight="1">
      <c r="P78" s="168"/>
      <c r="Q78" s="168"/>
      <c r="R78" s="168"/>
      <c r="S78" s="168"/>
      <c r="T78" s="168"/>
      <c r="U78" s="168"/>
      <c r="V78" s="168"/>
      <c r="W78" s="168"/>
      <c r="X78" s="168"/>
      <c r="Y78" s="168"/>
      <c r="Z78" s="168"/>
    </row>
    <row r="79" spans="16:26" ht="10.199999999999999" customHeight="1">
      <c r="P79" s="167"/>
      <c r="Q79" s="167"/>
      <c r="R79" s="167"/>
      <c r="S79" s="167"/>
      <c r="T79" s="167"/>
      <c r="U79" s="167"/>
      <c r="V79" s="167"/>
      <c r="W79" s="167"/>
      <c r="X79" s="167"/>
      <c r="Y79" s="167"/>
      <c r="Z79" s="167"/>
    </row>
    <row r="80" spans="16:26" ht="10.199999999999999" customHeight="1">
      <c r="P80" s="167"/>
      <c r="Q80" s="167"/>
      <c r="R80" s="167"/>
      <c r="S80" s="167"/>
      <c r="T80" s="167"/>
      <c r="U80" s="167"/>
      <c r="V80" s="167"/>
      <c r="W80" s="167"/>
      <c r="X80" s="167"/>
      <c r="Y80" s="167"/>
      <c r="Z80" s="167"/>
    </row>
    <row r="81" spans="16:26" ht="10.199999999999999" customHeight="1">
      <c r="P81" s="168"/>
      <c r="Q81" s="168"/>
      <c r="R81" s="168"/>
      <c r="S81" s="168"/>
      <c r="T81" s="168"/>
      <c r="U81" s="168"/>
      <c r="V81" s="168"/>
      <c r="W81" s="168"/>
      <c r="X81" s="168"/>
      <c r="Y81" s="168"/>
      <c r="Z81" s="168"/>
    </row>
    <row r="82" spans="16:26" ht="10.199999999999999" customHeight="1">
      <c r="P82" s="167"/>
      <c r="Q82" s="167"/>
      <c r="R82" s="167"/>
      <c r="S82" s="167"/>
      <c r="T82" s="167"/>
      <c r="U82" s="167"/>
      <c r="V82" s="167"/>
      <c r="W82" s="167"/>
      <c r="X82" s="167"/>
      <c r="Y82" s="167"/>
      <c r="Z82" s="167"/>
    </row>
    <row r="83" spans="16:26" ht="10.199999999999999" customHeight="1">
      <c r="P83" s="167"/>
      <c r="Q83" s="167"/>
      <c r="R83" s="167"/>
      <c r="S83" s="167"/>
      <c r="T83" s="167"/>
      <c r="U83" s="167"/>
      <c r="V83" s="167"/>
      <c r="W83" s="167"/>
      <c r="X83" s="167"/>
      <c r="Y83" s="167"/>
      <c r="Z83" s="167"/>
    </row>
    <row r="84" spans="16:26" ht="10.199999999999999" customHeight="1">
      <c r="P84" s="168"/>
      <c r="Q84" s="168"/>
      <c r="R84" s="168"/>
      <c r="S84" s="168"/>
      <c r="T84" s="168"/>
      <c r="U84" s="168"/>
      <c r="V84" s="168"/>
      <c r="W84" s="168"/>
      <c r="X84" s="168"/>
      <c r="Y84" s="168"/>
      <c r="Z84" s="168"/>
    </row>
    <row r="85" spans="16:26" ht="10.199999999999999" customHeight="1">
      <c r="P85" s="167"/>
      <c r="Q85" s="167"/>
      <c r="R85" s="167"/>
      <c r="S85" s="167"/>
      <c r="T85" s="167"/>
      <c r="U85" s="167"/>
      <c r="V85" s="167"/>
      <c r="W85" s="167"/>
      <c r="X85" s="167"/>
      <c r="Y85" s="167"/>
      <c r="Z85" s="167"/>
    </row>
    <row r="86" spans="16:26" ht="10.199999999999999" customHeight="1">
      <c r="P86" s="167"/>
      <c r="Q86" s="167"/>
      <c r="R86" s="167"/>
      <c r="S86" s="167"/>
      <c r="T86" s="167"/>
      <c r="U86" s="167"/>
      <c r="V86" s="167"/>
      <c r="W86" s="167"/>
      <c r="X86" s="167"/>
      <c r="Y86" s="167"/>
      <c r="Z86" s="167"/>
    </row>
    <row r="87" spans="16:26" ht="10.199999999999999" customHeight="1">
      <c r="P87" s="168"/>
      <c r="Q87" s="168"/>
      <c r="R87" s="168"/>
      <c r="S87" s="168"/>
      <c r="T87" s="168"/>
      <c r="U87" s="168"/>
      <c r="V87" s="168"/>
      <c r="W87" s="168"/>
      <c r="X87" s="168"/>
      <c r="Y87" s="168"/>
      <c r="Z87" s="168"/>
    </row>
    <row r="88" spans="16:26" ht="10.199999999999999" customHeight="1">
      <c r="P88" s="167"/>
      <c r="Q88" s="167"/>
      <c r="R88" s="167"/>
      <c r="S88" s="167"/>
      <c r="T88" s="167"/>
      <c r="U88" s="167"/>
      <c r="V88" s="167"/>
      <c r="W88" s="167"/>
      <c r="X88" s="167"/>
      <c r="Y88" s="167"/>
      <c r="Z88" s="167"/>
    </row>
    <row r="89" spans="16:26" ht="10.199999999999999" customHeight="1">
      <c r="P89" s="167"/>
      <c r="Q89" s="167"/>
      <c r="R89" s="167"/>
      <c r="S89" s="167"/>
      <c r="T89" s="167"/>
      <c r="U89" s="167"/>
      <c r="V89" s="167"/>
      <c r="W89" s="167"/>
      <c r="X89" s="167"/>
      <c r="Y89" s="167"/>
      <c r="Z89" s="167"/>
    </row>
    <row r="90" spans="16:26" ht="10.199999999999999" customHeight="1">
      <c r="P90" s="168"/>
      <c r="Q90" s="168"/>
      <c r="R90" s="168"/>
      <c r="S90" s="168"/>
      <c r="T90" s="168"/>
      <c r="U90" s="168"/>
      <c r="V90" s="168"/>
      <c r="W90" s="168"/>
      <c r="X90" s="168"/>
      <c r="Y90" s="168"/>
      <c r="Z90" s="168"/>
    </row>
    <row r="91" spans="16:26" ht="10.199999999999999" customHeight="1">
      <c r="P91" s="167"/>
      <c r="Q91" s="167"/>
      <c r="R91" s="167"/>
      <c r="S91" s="167"/>
      <c r="T91" s="167"/>
      <c r="U91" s="167"/>
      <c r="V91" s="167"/>
      <c r="W91" s="167"/>
      <c r="X91" s="167"/>
      <c r="Y91" s="167"/>
      <c r="Z91" s="167"/>
    </row>
    <row r="92" spans="16:26" ht="10.199999999999999" customHeight="1">
      <c r="P92" s="167"/>
      <c r="Q92" s="167"/>
      <c r="R92" s="167"/>
      <c r="S92" s="167"/>
      <c r="T92" s="167"/>
      <c r="U92" s="167"/>
      <c r="V92" s="167"/>
      <c r="W92" s="167"/>
      <c r="X92" s="167"/>
      <c r="Y92" s="167"/>
      <c r="Z92" s="167"/>
    </row>
    <row r="93" spans="16:26" ht="10.199999999999999" customHeight="1">
      <c r="P93" s="168"/>
      <c r="Q93" s="168"/>
      <c r="R93" s="168"/>
      <c r="S93" s="168"/>
      <c r="T93" s="168"/>
      <c r="U93" s="168"/>
      <c r="V93" s="168"/>
      <c r="W93" s="168"/>
      <c r="X93" s="168"/>
      <c r="Y93" s="168"/>
      <c r="Z93" s="168"/>
    </row>
    <row r="94" spans="16:26" ht="10.199999999999999" customHeight="1">
      <c r="P94" s="167"/>
      <c r="Q94" s="167"/>
      <c r="R94" s="167"/>
      <c r="S94" s="167"/>
      <c r="T94" s="167"/>
      <c r="U94" s="167"/>
      <c r="V94" s="167"/>
      <c r="W94" s="167"/>
      <c r="X94" s="167"/>
      <c r="Y94" s="167"/>
      <c r="Z94" s="167"/>
    </row>
    <row r="95" spans="16:26" ht="10.199999999999999" customHeight="1">
      <c r="P95" s="167"/>
      <c r="Q95" s="167"/>
      <c r="R95" s="167"/>
      <c r="S95" s="167"/>
      <c r="T95" s="167"/>
      <c r="U95" s="167"/>
      <c r="V95" s="167"/>
      <c r="W95" s="167"/>
      <c r="X95" s="167"/>
      <c r="Y95" s="167"/>
      <c r="Z95" s="167"/>
    </row>
    <row r="96" spans="16:26" ht="10.199999999999999" customHeight="1">
      <c r="P96" s="168"/>
      <c r="Q96" s="168"/>
      <c r="R96" s="168"/>
      <c r="S96" s="168"/>
      <c r="T96" s="168"/>
      <c r="U96" s="168"/>
      <c r="V96" s="168"/>
      <c r="W96" s="168"/>
      <c r="X96" s="168"/>
      <c r="Y96" s="168"/>
      <c r="Z96" s="168"/>
    </row>
    <row r="97" spans="16:26" ht="10.199999999999999" customHeight="1">
      <c r="P97" s="167"/>
      <c r="Q97" s="167"/>
      <c r="R97" s="167"/>
      <c r="S97" s="167"/>
      <c r="T97" s="167"/>
      <c r="U97" s="167"/>
      <c r="V97" s="167"/>
      <c r="W97" s="167"/>
      <c r="X97" s="167"/>
      <c r="Y97" s="167"/>
      <c r="Z97" s="167"/>
    </row>
    <row r="98" spans="16:26" ht="10.199999999999999" customHeight="1">
      <c r="P98" s="167"/>
      <c r="Q98" s="167"/>
      <c r="R98" s="167"/>
      <c r="S98" s="167"/>
      <c r="T98" s="167"/>
      <c r="U98" s="167"/>
      <c r="V98" s="167"/>
      <c r="W98" s="167"/>
      <c r="X98" s="167"/>
      <c r="Y98" s="167"/>
      <c r="Z98" s="167"/>
    </row>
    <row r="99" spans="16:26" ht="10.199999999999999" customHeight="1">
      <c r="P99" s="168"/>
      <c r="Q99" s="168"/>
      <c r="R99" s="168"/>
      <c r="S99" s="168"/>
      <c r="T99" s="168"/>
      <c r="U99" s="168"/>
      <c r="V99" s="168"/>
      <c r="W99" s="168"/>
      <c r="X99" s="168"/>
      <c r="Y99" s="168"/>
      <c r="Z99" s="168"/>
    </row>
    <row r="100" spans="16:26" ht="10.199999999999999" customHeight="1">
      <c r="P100" s="167"/>
      <c r="Q100" s="167"/>
      <c r="R100" s="167"/>
      <c r="S100" s="167"/>
      <c r="T100" s="167"/>
      <c r="U100" s="167"/>
      <c r="V100" s="167"/>
      <c r="W100" s="167"/>
      <c r="X100" s="167"/>
      <c r="Y100" s="167"/>
      <c r="Z100" s="167"/>
    </row>
    <row r="101" spans="16:26" ht="10.199999999999999" customHeight="1">
      <c r="P101" s="167"/>
      <c r="Q101" s="167"/>
      <c r="R101" s="167"/>
      <c r="S101" s="167"/>
      <c r="T101" s="167"/>
      <c r="U101" s="167"/>
      <c r="V101" s="167"/>
      <c r="W101" s="167"/>
      <c r="X101" s="167"/>
      <c r="Y101" s="167"/>
      <c r="Z101" s="167"/>
    </row>
    <row r="102" spans="16:26" ht="10.199999999999999" customHeight="1">
      <c r="P102" s="168"/>
      <c r="Q102" s="168"/>
      <c r="R102" s="168"/>
      <c r="S102" s="168"/>
      <c r="T102" s="168"/>
      <c r="U102" s="168"/>
      <c r="V102" s="168"/>
      <c r="W102" s="168"/>
      <c r="X102" s="168"/>
      <c r="Y102" s="168"/>
      <c r="Z102" s="168"/>
    </row>
    <row r="103" spans="16:26" ht="10.199999999999999" customHeight="1">
      <c r="P103" s="167"/>
      <c r="Q103" s="167"/>
      <c r="R103" s="167"/>
      <c r="S103" s="167"/>
      <c r="T103" s="167"/>
      <c r="U103" s="167"/>
      <c r="V103" s="167"/>
      <c r="W103" s="167"/>
      <c r="X103" s="167"/>
      <c r="Y103" s="167"/>
      <c r="Z103" s="167"/>
    </row>
    <row r="104" spans="16:26" ht="10.199999999999999" customHeight="1">
      <c r="P104" s="167"/>
      <c r="Q104" s="167"/>
      <c r="R104" s="167"/>
      <c r="S104" s="167"/>
      <c r="T104" s="167"/>
      <c r="U104" s="167"/>
      <c r="V104" s="167"/>
      <c r="W104" s="167"/>
      <c r="X104" s="167"/>
      <c r="Y104" s="167"/>
      <c r="Z104" s="167"/>
    </row>
    <row r="105" spans="16:26" ht="10.199999999999999" customHeight="1">
      <c r="P105" s="168"/>
      <c r="Q105" s="168"/>
      <c r="R105" s="168"/>
      <c r="S105" s="168"/>
      <c r="T105" s="168"/>
      <c r="U105" s="168"/>
      <c r="V105" s="168"/>
      <c r="W105" s="168"/>
      <c r="X105" s="168"/>
      <c r="Y105" s="168"/>
      <c r="Z105" s="168"/>
    </row>
    <row r="106" spans="16:26" ht="10.199999999999999" customHeight="1">
      <c r="P106" s="167"/>
      <c r="Q106" s="167"/>
      <c r="R106" s="167"/>
      <c r="S106" s="167"/>
      <c r="T106" s="167"/>
      <c r="U106" s="167"/>
      <c r="V106" s="167"/>
      <c r="W106" s="167"/>
      <c r="X106" s="167"/>
      <c r="Y106" s="167"/>
      <c r="Z106" s="167"/>
    </row>
    <row r="107" spans="16:26" ht="10.199999999999999" customHeight="1">
      <c r="P107" s="167"/>
      <c r="Q107" s="167"/>
      <c r="R107" s="167"/>
      <c r="S107" s="167"/>
      <c r="T107" s="167"/>
      <c r="U107" s="167"/>
      <c r="V107" s="167"/>
      <c r="W107" s="167"/>
      <c r="X107" s="167"/>
      <c r="Y107" s="167"/>
      <c r="Z107" s="167"/>
    </row>
    <row r="108" spans="16:26" ht="10.199999999999999" customHeight="1">
      <c r="P108" s="168"/>
      <c r="Q108" s="168"/>
      <c r="R108" s="168"/>
      <c r="S108" s="168"/>
      <c r="T108" s="168"/>
      <c r="U108" s="168"/>
      <c r="V108" s="168"/>
      <c r="W108" s="168"/>
      <c r="X108" s="168"/>
      <c r="Y108" s="168"/>
      <c r="Z108" s="168"/>
    </row>
    <row r="109" spans="16:26" ht="10.199999999999999" customHeight="1">
      <c r="P109" s="167"/>
      <c r="Q109" s="167"/>
      <c r="R109" s="167"/>
      <c r="S109" s="167"/>
      <c r="T109" s="167"/>
      <c r="U109" s="167"/>
      <c r="V109" s="167"/>
      <c r="W109" s="167"/>
      <c r="X109" s="167"/>
      <c r="Y109" s="167"/>
      <c r="Z109" s="167"/>
    </row>
    <row r="110" spans="16:26" ht="10.199999999999999" customHeight="1">
      <c r="P110" s="167"/>
      <c r="Q110" s="167"/>
      <c r="R110" s="167"/>
      <c r="S110" s="167"/>
      <c r="T110" s="167"/>
      <c r="U110" s="167"/>
      <c r="V110" s="167"/>
      <c r="W110" s="167"/>
      <c r="X110" s="167"/>
      <c r="Y110" s="167"/>
      <c r="Z110" s="167"/>
    </row>
    <row r="111" spans="16:26" ht="10.199999999999999" customHeight="1">
      <c r="P111" s="168"/>
      <c r="Q111" s="168"/>
      <c r="R111" s="168"/>
      <c r="S111" s="168"/>
      <c r="T111" s="168"/>
      <c r="U111" s="168"/>
      <c r="V111" s="168"/>
      <c r="W111" s="168"/>
      <c r="X111" s="168"/>
      <c r="Y111" s="168"/>
      <c r="Z111" s="168"/>
    </row>
    <row r="112" spans="16:26" ht="10.199999999999999" customHeight="1">
      <c r="P112" s="167"/>
      <c r="Q112" s="167"/>
      <c r="R112" s="167"/>
      <c r="S112" s="167"/>
      <c r="T112" s="167"/>
      <c r="U112" s="167"/>
      <c r="V112" s="167"/>
      <c r="W112" s="167"/>
      <c r="X112" s="167"/>
      <c r="Y112" s="167"/>
      <c r="Z112" s="167"/>
    </row>
    <row r="113" spans="16:26" ht="10.199999999999999" customHeight="1">
      <c r="P113" s="167"/>
      <c r="Q113" s="167"/>
      <c r="R113" s="167"/>
      <c r="S113" s="167"/>
      <c r="T113" s="167"/>
      <c r="U113" s="167"/>
      <c r="V113" s="167"/>
      <c r="W113" s="167"/>
      <c r="X113" s="167"/>
      <c r="Y113" s="167"/>
      <c r="Z113" s="167"/>
    </row>
    <row r="114" spans="16:26" ht="10.199999999999999" customHeight="1">
      <c r="P114" s="168"/>
      <c r="Q114" s="168"/>
      <c r="R114" s="168"/>
      <c r="S114" s="168"/>
      <c r="T114" s="168"/>
      <c r="U114" s="168"/>
      <c r="V114" s="168"/>
      <c r="W114" s="168"/>
      <c r="X114" s="168"/>
      <c r="Y114" s="168"/>
      <c r="Z114" s="168"/>
    </row>
    <row r="115" spans="16:26" ht="10.199999999999999" customHeight="1">
      <c r="P115" s="167"/>
      <c r="Q115" s="167"/>
      <c r="R115" s="167"/>
      <c r="S115" s="167"/>
      <c r="T115" s="167"/>
      <c r="U115" s="167"/>
      <c r="V115" s="167"/>
      <c r="W115" s="167"/>
      <c r="X115" s="167"/>
      <c r="Y115" s="167"/>
      <c r="Z115" s="167"/>
    </row>
    <row r="116" spans="16:26" ht="10.199999999999999" customHeight="1">
      <c r="P116" s="167"/>
      <c r="Q116" s="167"/>
      <c r="R116" s="167"/>
      <c r="S116" s="167"/>
      <c r="T116" s="167"/>
      <c r="U116" s="167"/>
      <c r="V116" s="167"/>
      <c r="W116" s="167"/>
      <c r="X116" s="167"/>
      <c r="Y116" s="167"/>
      <c r="Z116" s="167"/>
    </row>
    <row r="117" spans="16:26" ht="10.199999999999999" customHeight="1">
      <c r="P117" s="168"/>
      <c r="Q117" s="168"/>
      <c r="R117" s="168"/>
      <c r="S117" s="168"/>
      <c r="T117" s="168"/>
      <c r="U117" s="168"/>
      <c r="V117" s="168"/>
      <c r="W117" s="168"/>
      <c r="X117" s="168"/>
      <c r="Y117" s="168"/>
      <c r="Z117" s="168"/>
    </row>
    <row r="118" spans="16:26" ht="10.199999999999999" customHeight="1">
      <c r="P118" s="167"/>
      <c r="Q118" s="167"/>
      <c r="R118" s="167"/>
      <c r="S118" s="167"/>
      <c r="T118" s="167"/>
      <c r="U118" s="167"/>
      <c r="V118" s="167"/>
      <c r="W118" s="167"/>
      <c r="X118" s="167"/>
      <c r="Y118" s="167"/>
      <c r="Z118" s="167"/>
    </row>
    <row r="119" spans="16:26" ht="10.199999999999999" customHeight="1">
      <c r="P119" s="167"/>
      <c r="Q119" s="167"/>
      <c r="R119" s="167"/>
      <c r="S119" s="167"/>
      <c r="T119" s="167"/>
      <c r="U119" s="167"/>
      <c r="V119" s="167"/>
      <c r="W119" s="167"/>
      <c r="X119" s="167"/>
      <c r="Y119" s="167"/>
      <c r="Z119" s="167"/>
    </row>
    <row r="120" spans="16:26" ht="10.199999999999999" customHeight="1">
      <c r="P120" s="168"/>
      <c r="Q120" s="168"/>
      <c r="R120" s="168"/>
      <c r="S120" s="168"/>
      <c r="T120" s="168"/>
      <c r="U120" s="168"/>
      <c r="V120" s="168"/>
      <c r="W120" s="168"/>
      <c r="X120" s="168"/>
      <c r="Y120" s="168"/>
      <c r="Z120" s="168"/>
    </row>
    <row r="121" spans="16:26" ht="10.199999999999999" customHeight="1">
      <c r="P121" s="167"/>
      <c r="Q121" s="167"/>
      <c r="R121" s="167"/>
      <c r="S121" s="167"/>
      <c r="T121" s="167"/>
      <c r="U121" s="167"/>
      <c r="V121" s="167"/>
      <c r="W121" s="167"/>
      <c r="X121" s="167"/>
      <c r="Y121" s="167"/>
      <c r="Z121" s="167"/>
    </row>
    <row r="122" spans="16:26" ht="10.199999999999999" customHeight="1">
      <c r="P122" s="167"/>
      <c r="Q122" s="167"/>
      <c r="R122" s="167"/>
      <c r="S122" s="167"/>
      <c r="T122" s="167"/>
      <c r="U122" s="167"/>
      <c r="V122" s="167"/>
      <c r="W122" s="167"/>
      <c r="X122" s="167"/>
      <c r="Y122" s="167"/>
      <c r="Z122" s="167"/>
    </row>
    <row r="123" spans="16:26" ht="10.199999999999999" customHeight="1">
      <c r="P123" s="168"/>
      <c r="Q123" s="168"/>
      <c r="R123" s="168"/>
      <c r="S123" s="168"/>
      <c r="T123" s="168"/>
      <c r="U123" s="168"/>
      <c r="V123" s="168"/>
      <c r="W123" s="168"/>
      <c r="X123" s="168"/>
      <c r="Y123" s="168"/>
      <c r="Z123" s="168"/>
    </row>
    <row r="124" spans="16:26" ht="10.199999999999999" customHeight="1">
      <c r="P124" s="167"/>
      <c r="Q124" s="167"/>
      <c r="R124" s="167"/>
      <c r="S124" s="167"/>
      <c r="T124" s="167"/>
      <c r="U124" s="167"/>
      <c r="V124" s="167"/>
      <c r="W124" s="167"/>
      <c r="X124" s="167"/>
      <c r="Y124" s="167"/>
      <c r="Z124" s="167"/>
    </row>
    <row r="125" spans="16:26" ht="10.199999999999999" customHeight="1">
      <c r="P125" s="167"/>
      <c r="Q125" s="167"/>
      <c r="R125" s="167"/>
      <c r="S125" s="167"/>
      <c r="T125" s="167"/>
      <c r="U125" s="167"/>
      <c r="V125" s="167"/>
      <c r="W125" s="167"/>
      <c r="X125" s="167"/>
      <c r="Y125" s="167"/>
      <c r="Z125" s="167"/>
    </row>
    <row r="126" spans="16:26" ht="10.199999999999999" customHeight="1">
      <c r="P126" s="168"/>
      <c r="Q126" s="168"/>
      <c r="R126" s="168"/>
      <c r="S126" s="168"/>
      <c r="T126" s="168"/>
      <c r="U126" s="168"/>
      <c r="V126" s="168"/>
      <c r="W126" s="168"/>
      <c r="X126" s="168"/>
      <c r="Y126" s="168"/>
      <c r="Z126" s="168"/>
    </row>
    <row r="127" spans="16:26" ht="10.199999999999999" customHeight="1">
      <c r="P127" s="167"/>
      <c r="Q127" s="167"/>
      <c r="R127" s="167"/>
      <c r="S127" s="167"/>
      <c r="T127" s="167"/>
      <c r="U127" s="167"/>
      <c r="V127" s="167"/>
      <c r="W127" s="167"/>
      <c r="X127" s="167"/>
      <c r="Y127" s="167"/>
      <c r="Z127" s="167"/>
    </row>
    <row r="128" spans="16:26" ht="10.199999999999999" customHeight="1">
      <c r="P128" s="167"/>
      <c r="Q128" s="167"/>
      <c r="R128" s="167"/>
      <c r="S128" s="167"/>
      <c r="T128" s="167"/>
      <c r="U128" s="167"/>
      <c r="V128" s="167"/>
      <c r="W128" s="167"/>
      <c r="X128" s="167"/>
      <c r="Y128" s="167"/>
      <c r="Z128" s="167"/>
    </row>
    <row r="129" spans="16:26" ht="10.199999999999999" customHeight="1">
      <c r="P129" s="168"/>
      <c r="Q129" s="168"/>
      <c r="R129" s="168"/>
      <c r="S129" s="168"/>
      <c r="T129" s="168"/>
      <c r="U129" s="168"/>
      <c r="V129" s="168"/>
      <c r="W129" s="168"/>
      <c r="X129" s="168"/>
      <c r="Y129" s="168"/>
      <c r="Z129" s="168"/>
    </row>
    <row r="130" spans="16:26" ht="10.199999999999999" customHeight="1">
      <c r="P130" s="167"/>
      <c r="Q130" s="167"/>
      <c r="R130" s="167"/>
      <c r="S130" s="167"/>
      <c r="T130" s="167"/>
      <c r="U130" s="167"/>
      <c r="V130" s="167"/>
      <c r="W130" s="167"/>
      <c r="X130" s="167"/>
      <c r="Y130" s="167"/>
      <c r="Z130" s="167"/>
    </row>
    <row r="131" spans="16:26" ht="10.199999999999999" customHeight="1">
      <c r="P131" s="167"/>
      <c r="Q131" s="167"/>
      <c r="R131" s="167"/>
      <c r="S131" s="167"/>
      <c r="T131" s="167"/>
      <c r="U131" s="167"/>
      <c r="V131" s="167"/>
      <c r="W131" s="167"/>
      <c r="X131" s="167"/>
      <c r="Y131" s="167"/>
      <c r="Z131" s="167"/>
    </row>
    <row r="132" spans="16:26" ht="10.199999999999999" customHeight="1">
      <c r="P132" s="168"/>
      <c r="Q132" s="168"/>
      <c r="R132" s="168"/>
      <c r="S132" s="168"/>
      <c r="T132" s="168"/>
      <c r="U132" s="168"/>
      <c r="V132" s="168"/>
      <c r="W132" s="168"/>
      <c r="X132" s="168"/>
      <c r="Y132" s="168"/>
      <c r="Z132" s="168"/>
    </row>
    <row r="133" spans="16:26" ht="10.199999999999999" customHeight="1">
      <c r="P133" s="167"/>
      <c r="Q133" s="167"/>
      <c r="R133" s="167"/>
      <c r="S133" s="167"/>
      <c r="T133" s="167"/>
      <c r="U133" s="167"/>
      <c r="V133" s="167"/>
      <c r="W133" s="167"/>
      <c r="X133" s="167"/>
      <c r="Y133" s="167"/>
      <c r="Z133" s="167"/>
    </row>
    <row r="134" spans="16:26" ht="10.199999999999999" customHeight="1">
      <c r="P134" s="167"/>
      <c r="Q134" s="167"/>
      <c r="R134" s="167"/>
      <c r="S134" s="167"/>
      <c r="T134" s="167"/>
      <c r="U134" s="167"/>
      <c r="V134" s="167"/>
      <c r="W134" s="167"/>
      <c r="X134" s="167"/>
      <c r="Y134" s="167"/>
      <c r="Z134" s="167"/>
    </row>
    <row r="135" spans="16:26" ht="10.199999999999999" customHeight="1">
      <c r="P135" s="168"/>
      <c r="Q135" s="168"/>
      <c r="R135" s="168"/>
      <c r="S135" s="168"/>
      <c r="T135" s="168"/>
      <c r="U135" s="168"/>
      <c r="V135" s="168"/>
      <c r="W135" s="168"/>
      <c r="X135" s="168"/>
      <c r="Y135" s="168"/>
      <c r="Z135" s="168"/>
    </row>
    <row r="136" spans="16:26" ht="10.199999999999999" customHeight="1">
      <c r="P136" s="167"/>
      <c r="Q136" s="167"/>
      <c r="R136" s="167"/>
      <c r="S136" s="167"/>
      <c r="T136" s="167"/>
      <c r="U136" s="167"/>
      <c r="V136" s="167"/>
      <c r="W136" s="167"/>
      <c r="X136" s="167"/>
      <c r="Y136" s="167"/>
      <c r="Z136" s="167"/>
    </row>
    <row r="137" spans="16:26" ht="10.199999999999999" customHeight="1">
      <c r="P137" s="167"/>
      <c r="Q137" s="167"/>
      <c r="R137" s="167"/>
      <c r="S137" s="167"/>
      <c r="T137" s="167"/>
      <c r="U137" s="167"/>
      <c r="V137" s="167"/>
      <c r="W137" s="167"/>
      <c r="X137" s="167"/>
      <c r="Y137" s="167"/>
      <c r="Z137" s="167"/>
    </row>
    <row r="138" spans="16:26" ht="10.199999999999999" customHeight="1">
      <c r="P138" s="168"/>
      <c r="Q138" s="168"/>
      <c r="R138" s="168"/>
      <c r="S138" s="168"/>
      <c r="T138" s="168"/>
      <c r="U138" s="168"/>
      <c r="V138" s="168"/>
      <c r="W138" s="168"/>
      <c r="X138" s="168"/>
      <c r="Y138" s="168"/>
      <c r="Z138" s="168"/>
    </row>
    <row r="139" spans="16:26" ht="10.199999999999999" customHeight="1">
      <c r="P139" s="167"/>
      <c r="Q139" s="167"/>
      <c r="R139" s="167"/>
      <c r="S139" s="167"/>
      <c r="T139" s="167"/>
      <c r="U139" s="167"/>
      <c r="V139" s="167"/>
      <c r="W139" s="167"/>
      <c r="X139" s="167"/>
      <c r="Y139" s="167"/>
      <c r="Z139" s="167"/>
    </row>
    <row r="140" spans="16:26" ht="10.199999999999999" customHeight="1">
      <c r="P140" s="167"/>
      <c r="Q140" s="167"/>
      <c r="R140" s="167"/>
      <c r="S140" s="167"/>
      <c r="T140" s="167"/>
      <c r="U140" s="167"/>
      <c r="V140" s="167"/>
      <c r="W140" s="167"/>
      <c r="X140" s="167"/>
      <c r="Y140" s="167"/>
      <c r="Z140" s="167"/>
    </row>
    <row r="141" spans="16:26" ht="10.199999999999999" customHeight="1">
      <c r="P141" s="168"/>
      <c r="Q141" s="168"/>
      <c r="R141" s="168"/>
      <c r="S141" s="168"/>
      <c r="T141" s="168"/>
      <c r="U141" s="168"/>
      <c r="V141" s="168"/>
      <c r="W141" s="168"/>
      <c r="X141" s="168"/>
      <c r="Y141" s="168"/>
      <c r="Z141" s="168"/>
    </row>
    <row r="142" spans="16:26" ht="10.199999999999999" customHeight="1">
      <c r="P142" s="167"/>
      <c r="Q142" s="167"/>
      <c r="R142" s="167"/>
      <c r="S142" s="167"/>
      <c r="T142" s="167"/>
      <c r="U142" s="167"/>
      <c r="V142" s="167"/>
      <c r="W142" s="167"/>
      <c r="X142" s="167"/>
      <c r="Y142" s="167"/>
      <c r="Z142" s="167"/>
    </row>
    <row r="143" spans="16:26" ht="10.199999999999999" customHeight="1">
      <c r="P143" s="167"/>
      <c r="Q143" s="167"/>
      <c r="R143" s="167"/>
      <c r="S143" s="167"/>
      <c r="T143" s="167"/>
      <c r="U143" s="167"/>
      <c r="V143" s="167"/>
      <c r="W143" s="167"/>
      <c r="X143" s="167"/>
      <c r="Y143" s="167"/>
      <c r="Z143" s="167"/>
    </row>
    <row r="144" spans="16:26" ht="10.199999999999999" customHeight="1">
      <c r="P144" s="168"/>
      <c r="Q144" s="168"/>
      <c r="R144" s="168"/>
      <c r="S144" s="168"/>
      <c r="T144" s="168"/>
      <c r="U144" s="168"/>
      <c r="V144" s="168"/>
      <c r="W144" s="168"/>
      <c r="X144" s="168"/>
      <c r="Y144" s="168"/>
      <c r="Z144" s="168"/>
    </row>
    <row r="145" spans="16:26" ht="10.199999999999999" customHeight="1">
      <c r="P145" s="167"/>
      <c r="Q145" s="167"/>
      <c r="R145" s="167"/>
      <c r="S145" s="167"/>
      <c r="T145" s="167"/>
      <c r="U145" s="167"/>
      <c r="V145" s="167"/>
      <c r="W145" s="167"/>
      <c r="X145" s="167"/>
      <c r="Y145" s="167"/>
      <c r="Z145" s="167"/>
    </row>
    <row r="146" spans="16:26" ht="10.199999999999999" customHeight="1">
      <c r="P146" s="167"/>
      <c r="Q146" s="167"/>
      <c r="R146" s="167"/>
      <c r="S146" s="167"/>
      <c r="T146" s="167"/>
      <c r="U146" s="167"/>
      <c r="V146" s="167"/>
      <c r="W146" s="167"/>
      <c r="X146" s="167"/>
      <c r="Y146" s="167"/>
      <c r="Z146" s="167"/>
    </row>
    <row r="147" spans="16:26" ht="10.199999999999999" customHeight="1">
      <c r="P147" s="168"/>
      <c r="Q147" s="168"/>
      <c r="R147" s="168"/>
      <c r="S147" s="168"/>
      <c r="T147" s="168"/>
      <c r="U147" s="168"/>
      <c r="V147" s="168"/>
      <c r="W147" s="168"/>
      <c r="X147" s="168"/>
      <c r="Y147" s="168"/>
      <c r="Z147" s="168"/>
    </row>
    <row r="148" spans="16:26" ht="10.199999999999999" customHeight="1">
      <c r="P148" s="167"/>
      <c r="Q148" s="167"/>
      <c r="R148" s="167"/>
      <c r="S148" s="167"/>
      <c r="T148" s="167"/>
      <c r="U148" s="167"/>
      <c r="V148" s="167"/>
      <c r="W148" s="167"/>
      <c r="X148" s="167"/>
      <c r="Y148" s="167"/>
      <c r="Z148" s="167"/>
    </row>
    <row r="149" spans="16:26" ht="10.199999999999999" customHeight="1">
      <c r="P149" s="167"/>
      <c r="Q149" s="167"/>
      <c r="R149" s="167"/>
      <c r="S149" s="167"/>
      <c r="T149" s="167"/>
      <c r="U149" s="167"/>
      <c r="V149" s="167"/>
      <c r="W149" s="167"/>
      <c r="X149" s="167"/>
      <c r="Y149" s="167"/>
      <c r="Z149" s="167"/>
    </row>
    <row r="150" spans="16:26" ht="10.199999999999999" customHeight="1">
      <c r="P150" s="168"/>
      <c r="Q150" s="168"/>
      <c r="R150" s="168"/>
      <c r="S150" s="168"/>
      <c r="T150" s="168"/>
      <c r="U150" s="168"/>
      <c r="V150" s="168"/>
      <c r="W150" s="168"/>
      <c r="X150" s="168"/>
      <c r="Y150" s="168"/>
      <c r="Z150" s="168"/>
    </row>
    <row r="151" spans="16:26" ht="10.199999999999999" customHeight="1">
      <c r="P151" s="167"/>
      <c r="Q151" s="167"/>
      <c r="R151" s="167"/>
      <c r="S151" s="167"/>
      <c r="T151" s="167"/>
      <c r="U151" s="167"/>
      <c r="V151" s="167"/>
      <c r="W151" s="167"/>
      <c r="X151" s="167"/>
      <c r="Y151" s="167"/>
      <c r="Z151" s="167"/>
    </row>
    <row r="152" spans="16:26" ht="10.199999999999999" customHeight="1">
      <c r="P152" s="167"/>
      <c r="Q152" s="167"/>
      <c r="R152" s="167"/>
      <c r="S152" s="167"/>
      <c r="T152" s="167"/>
      <c r="U152" s="167"/>
      <c r="V152" s="167"/>
      <c r="W152" s="167"/>
      <c r="X152" s="167"/>
      <c r="Y152" s="167"/>
      <c r="Z152" s="167"/>
    </row>
    <row r="153" spans="16:26" ht="10.199999999999999" customHeight="1">
      <c r="P153" s="168"/>
      <c r="Q153" s="168"/>
      <c r="R153" s="168"/>
      <c r="S153" s="168"/>
      <c r="T153" s="168"/>
      <c r="U153" s="168"/>
      <c r="V153" s="168"/>
      <c r="W153" s="168"/>
      <c r="X153" s="168"/>
      <c r="Y153" s="168"/>
      <c r="Z153" s="168"/>
    </row>
    <row r="154" spans="16:26" ht="10.199999999999999" customHeight="1">
      <c r="P154" s="167"/>
      <c r="Q154" s="167"/>
      <c r="R154" s="167"/>
      <c r="S154" s="167"/>
      <c r="T154" s="167"/>
      <c r="U154" s="167"/>
      <c r="V154" s="167"/>
      <c r="W154" s="167"/>
      <c r="X154" s="167"/>
      <c r="Y154" s="167"/>
      <c r="Z154" s="167"/>
    </row>
    <row r="155" spans="16:26" ht="10.199999999999999" customHeight="1">
      <c r="P155" s="167"/>
      <c r="Q155" s="167"/>
      <c r="R155" s="167"/>
      <c r="S155" s="167"/>
      <c r="T155" s="167"/>
      <c r="U155" s="167"/>
      <c r="V155" s="167"/>
      <c r="W155" s="167"/>
      <c r="X155" s="167"/>
      <c r="Y155" s="167"/>
      <c r="Z155" s="167"/>
    </row>
    <row r="156" spans="16:26" ht="10.199999999999999" customHeight="1">
      <c r="P156" s="168"/>
      <c r="Q156" s="168"/>
      <c r="R156" s="168"/>
      <c r="S156" s="168"/>
      <c r="T156" s="168"/>
      <c r="U156" s="168"/>
      <c r="V156" s="168"/>
      <c r="W156" s="168"/>
      <c r="X156" s="168"/>
      <c r="Y156" s="168"/>
      <c r="Z156" s="168"/>
    </row>
    <row r="157" spans="16:26" ht="10.199999999999999" customHeight="1">
      <c r="P157" s="167"/>
      <c r="Q157" s="167"/>
      <c r="R157" s="167"/>
      <c r="S157" s="167"/>
      <c r="T157" s="167"/>
      <c r="U157" s="167"/>
      <c r="V157" s="167"/>
      <c r="W157" s="167"/>
      <c r="X157" s="167"/>
      <c r="Y157" s="167"/>
      <c r="Z157" s="167"/>
    </row>
    <row r="158" spans="16:26" ht="10.199999999999999" customHeight="1">
      <c r="P158" s="167"/>
      <c r="Q158" s="167"/>
      <c r="R158" s="167"/>
      <c r="S158" s="167"/>
      <c r="T158" s="167"/>
      <c r="U158" s="167"/>
      <c r="V158" s="167"/>
      <c r="W158" s="167"/>
      <c r="X158" s="167"/>
      <c r="Y158" s="167"/>
      <c r="Z158" s="167"/>
    </row>
    <row r="159" spans="16:26" ht="10.199999999999999" customHeight="1">
      <c r="P159" s="168"/>
      <c r="Q159" s="168"/>
      <c r="R159" s="168"/>
      <c r="S159" s="168"/>
      <c r="T159" s="168"/>
      <c r="U159" s="168"/>
      <c r="V159" s="168"/>
      <c r="W159" s="168"/>
      <c r="X159" s="168"/>
      <c r="Y159" s="168"/>
      <c r="Z159" s="168"/>
    </row>
    <row r="160" spans="16:26" ht="10.199999999999999" customHeight="1">
      <c r="P160" s="167"/>
      <c r="Q160" s="167"/>
      <c r="R160" s="167"/>
      <c r="S160" s="167"/>
      <c r="T160" s="167"/>
      <c r="U160" s="167"/>
      <c r="V160" s="167"/>
      <c r="W160" s="167"/>
      <c r="X160" s="167"/>
      <c r="Y160" s="167"/>
      <c r="Z160" s="167"/>
    </row>
    <row r="161" spans="16:26" ht="10.199999999999999" customHeight="1">
      <c r="P161" s="167"/>
      <c r="Q161" s="167"/>
      <c r="R161" s="167"/>
      <c r="S161" s="167"/>
      <c r="T161" s="167"/>
      <c r="U161" s="167"/>
      <c r="V161" s="167"/>
      <c r="W161" s="167"/>
      <c r="X161" s="167"/>
      <c r="Y161" s="167"/>
      <c r="Z161" s="167"/>
    </row>
    <row r="162" spans="16:26" ht="10.199999999999999" customHeight="1">
      <c r="P162" s="168"/>
      <c r="Q162" s="168"/>
      <c r="R162" s="168"/>
      <c r="S162" s="168"/>
      <c r="T162" s="168"/>
      <c r="U162" s="168"/>
      <c r="V162" s="168"/>
      <c r="W162" s="168"/>
      <c r="X162" s="168"/>
      <c r="Y162" s="168"/>
      <c r="Z162" s="168"/>
    </row>
    <row r="163" spans="16:26" ht="10.199999999999999" customHeight="1">
      <c r="P163" s="167"/>
      <c r="Q163" s="167"/>
      <c r="R163" s="167"/>
      <c r="S163" s="167"/>
      <c r="T163" s="167"/>
      <c r="U163" s="167"/>
      <c r="V163" s="167"/>
      <c r="W163" s="167"/>
      <c r="X163" s="167"/>
      <c r="Y163" s="167"/>
      <c r="Z163" s="167"/>
    </row>
    <row r="164" spans="16:26" ht="10.199999999999999" customHeight="1">
      <c r="P164" s="167"/>
      <c r="Q164" s="167"/>
      <c r="R164" s="167"/>
      <c r="S164" s="167"/>
      <c r="T164" s="167"/>
      <c r="U164" s="167"/>
      <c r="V164" s="167"/>
      <c r="W164" s="167"/>
      <c r="X164" s="167"/>
      <c r="Y164" s="167"/>
      <c r="Z164" s="167"/>
    </row>
    <row r="165" spans="16:26" ht="10.199999999999999" customHeight="1">
      <c r="P165" s="168"/>
      <c r="Q165" s="168"/>
      <c r="R165" s="168"/>
      <c r="S165" s="168"/>
      <c r="T165" s="168"/>
      <c r="U165" s="168"/>
      <c r="V165" s="168"/>
      <c r="W165" s="168"/>
      <c r="X165" s="168"/>
      <c r="Y165" s="168"/>
      <c r="Z165" s="168"/>
    </row>
    <row r="166" spans="16:26" ht="10.199999999999999" customHeight="1">
      <c r="P166" s="167"/>
      <c r="Q166" s="167"/>
      <c r="R166" s="167"/>
      <c r="S166" s="167"/>
      <c r="T166" s="167"/>
      <c r="U166" s="167"/>
      <c r="V166" s="167"/>
      <c r="W166" s="167"/>
      <c r="X166" s="167"/>
      <c r="Y166" s="167"/>
      <c r="Z166" s="167"/>
    </row>
    <row r="167" spans="16:26" ht="10.199999999999999" customHeight="1">
      <c r="P167" s="167"/>
      <c r="Q167" s="167"/>
      <c r="R167" s="167"/>
      <c r="S167" s="167"/>
      <c r="T167" s="167"/>
      <c r="U167" s="167"/>
      <c r="V167" s="167"/>
      <c r="W167" s="167"/>
      <c r="X167" s="167"/>
      <c r="Y167" s="167"/>
      <c r="Z167" s="167"/>
    </row>
    <row r="168" spans="16:26" ht="10.199999999999999" customHeight="1">
      <c r="P168" s="168"/>
      <c r="Q168" s="168"/>
      <c r="R168" s="168"/>
      <c r="S168" s="168"/>
      <c r="T168" s="168"/>
      <c r="U168" s="168"/>
      <c r="V168" s="168"/>
      <c r="W168" s="168"/>
      <c r="X168" s="168"/>
      <c r="Y168" s="168"/>
      <c r="Z168" s="168"/>
    </row>
    <row r="169" spans="16:26" ht="10.199999999999999" customHeight="1">
      <c r="P169" s="167"/>
      <c r="Q169" s="167"/>
      <c r="R169" s="167"/>
      <c r="S169" s="167"/>
      <c r="T169" s="167"/>
      <c r="U169" s="167"/>
      <c r="V169" s="167"/>
      <c r="W169" s="167"/>
      <c r="X169" s="167"/>
      <c r="Y169" s="167"/>
      <c r="Z169" s="167"/>
    </row>
    <row r="170" spans="16:26" ht="10.199999999999999" customHeight="1">
      <c r="P170" s="167"/>
      <c r="Q170" s="167"/>
      <c r="R170" s="167"/>
      <c r="S170" s="167"/>
      <c r="T170" s="167"/>
      <c r="U170" s="167"/>
      <c r="V170" s="167"/>
      <c r="W170" s="167"/>
      <c r="X170" s="167"/>
      <c r="Y170" s="167"/>
      <c r="Z170" s="167"/>
    </row>
    <row r="171" spans="16:26" ht="10.199999999999999" customHeight="1">
      <c r="P171" s="168"/>
      <c r="Q171" s="168"/>
      <c r="R171" s="168"/>
      <c r="S171" s="168"/>
      <c r="T171" s="168"/>
      <c r="U171" s="168"/>
      <c r="V171" s="168"/>
      <c r="W171" s="168"/>
      <c r="X171" s="168"/>
      <c r="Y171" s="168"/>
      <c r="Z171" s="168"/>
    </row>
    <row r="172" spans="16:26" ht="10.199999999999999" customHeight="1">
      <c r="P172" s="167"/>
      <c r="Q172" s="167"/>
      <c r="R172" s="167"/>
      <c r="S172" s="167"/>
      <c r="T172" s="167"/>
      <c r="U172" s="167"/>
      <c r="V172" s="167"/>
      <c r="W172" s="167"/>
      <c r="X172" s="167"/>
      <c r="Y172" s="167"/>
      <c r="Z172" s="167"/>
    </row>
    <row r="173" spans="16:26" ht="10.199999999999999" customHeight="1">
      <c r="P173" s="167"/>
      <c r="Q173" s="167"/>
      <c r="R173" s="167"/>
      <c r="S173" s="167"/>
      <c r="T173" s="167"/>
      <c r="U173" s="167"/>
      <c r="V173" s="167"/>
      <c r="W173" s="167"/>
      <c r="X173" s="167"/>
      <c r="Y173" s="167"/>
      <c r="Z173" s="167"/>
    </row>
    <row r="174" spans="16:26" ht="10.199999999999999" customHeight="1">
      <c r="P174" s="168"/>
      <c r="Q174" s="168"/>
      <c r="R174" s="168"/>
      <c r="S174" s="168"/>
      <c r="T174" s="168"/>
      <c r="U174" s="168"/>
      <c r="V174" s="168"/>
      <c r="W174" s="168"/>
      <c r="X174" s="168"/>
      <c r="Y174" s="168"/>
      <c r="Z174" s="168"/>
    </row>
    <row r="175" spans="16:26" ht="10.199999999999999" customHeight="1">
      <c r="P175" s="167"/>
      <c r="Q175" s="167"/>
      <c r="R175" s="167"/>
      <c r="S175" s="167"/>
      <c r="T175" s="167"/>
      <c r="U175" s="167"/>
      <c r="V175" s="167"/>
      <c r="W175" s="167"/>
      <c r="X175" s="167"/>
      <c r="Y175" s="167"/>
      <c r="Z175" s="167"/>
    </row>
    <row r="176" spans="16:26" ht="10.199999999999999" customHeight="1">
      <c r="P176" s="167"/>
      <c r="Q176" s="167"/>
      <c r="R176" s="167"/>
      <c r="S176" s="167"/>
      <c r="T176" s="167"/>
      <c r="U176" s="167"/>
      <c r="V176" s="167"/>
      <c r="W176" s="167"/>
      <c r="X176" s="167"/>
      <c r="Y176" s="167"/>
      <c r="Z176" s="167"/>
    </row>
    <row r="177" spans="16:26" ht="10.199999999999999" customHeight="1">
      <c r="P177" s="168"/>
      <c r="Q177" s="168"/>
      <c r="R177" s="168"/>
      <c r="S177" s="168"/>
      <c r="T177" s="168"/>
      <c r="U177" s="168"/>
      <c r="V177" s="168"/>
      <c r="W177" s="168"/>
      <c r="X177" s="168"/>
      <c r="Y177" s="168"/>
      <c r="Z177" s="168"/>
    </row>
    <row r="178" spans="16:26" ht="10.199999999999999" customHeight="1">
      <c r="P178" s="167"/>
      <c r="Q178" s="167"/>
      <c r="R178" s="167"/>
      <c r="S178" s="167"/>
      <c r="T178" s="167"/>
      <c r="U178" s="167"/>
      <c r="V178" s="167"/>
      <c r="W178" s="167"/>
      <c r="X178" s="167"/>
      <c r="Y178" s="167"/>
      <c r="Z178" s="167"/>
    </row>
    <row r="179" spans="16:26" ht="10.199999999999999" customHeight="1">
      <c r="P179" s="167"/>
      <c r="Q179" s="167"/>
      <c r="R179" s="167"/>
      <c r="S179" s="167"/>
      <c r="T179" s="167"/>
      <c r="U179" s="167"/>
      <c r="V179" s="167"/>
      <c r="W179" s="167"/>
      <c r="X179" s="167"/>
      <c r="Y179" s="167"/>
      <c r="Z179" s="167"/>
    </row>
    <row r="180" spans="16:26" ht="10.199999999999999" customHeight="1">
      <c r="P180" s="168"/>
      <c r="Q180" s="168"/>
      <c r="R180" s="168"/>
      <c r="S180" s="168"/>
      <c r="T180" s="168"/>
      <c r="U180" s="168"/>
      <c r="V180" s="168"/>
      <c r="W180" s="168"/>
      <c r="X180" s="168"/>
      <c r="Y180" s="168"/>
      <c r="Z180" s="168"/>
    </row>
    <row r="181" spans="16:26" ht="10.199999999999999" customHeight="1">
      <c r="P181" s="167"/>
      <c r="Q181" s="167"/>
      <c r="R181" s="167"/>
      <c r="S181" s="167"/>
      <c r="T181" s="167"/>
      <c r="U181" s="167"/>
      <c r="V181" s="167"/>
      <c r="W181" s="167"/>
      <c r="X181" s="167"/>
      <c r="Y181" s="167"/>
      <c r="Z181" s="167"/>
    </row>
    <row r="182" spans="16:26" ht="10.199999999999999" customHeight="1">
      <c r="P182" s="167"/>
      <c r="Q182" s="167"/>
      <c r="R182" s="167"/>
      <c r="S182" s="167"/>
      <c r="T182" s="167"/>
      <c r="U182" s="167"/>
      <c r="V182" s="167"/>
      <c r="W182" s="167"/>
      <c r="X182" s="167"/>
      <c r="Y182" s="167"/>
      <c r="Z182" s="167"/>
    </row>
    <row r="183" spans="16:26" ht="10.199999999999999" customHeight="1">
      <c r="P183" s="168"/>
      <c r="Q183" s="168"/>
      <c r="R183" s="168"/>
      <c r="S183" s="168"/>
      <c r="T183" s="168"/>
      <c r="U183" s="168"/>
      <c r="V183" s="168"/>
      <c r="W183" s="168"/>
      <c r="X183" s="168"/>
      <c r="Y183" s="168"/>
      <c r="Z183" s="168"/>
    </row>
    <row r="184" spans="16:26" ht="10.199999999999999" customHeight="1">
      <c r="P184" s="167"/>
      <c r="Q184" s="167"/>
      <c r="R184" s="167"/>
      <c r="S184" s="167"/>
      <c r="T184" s="167"/>
      <c r="U184" s="167"/>
      <c r="V184" s="167"/>
      <c r="W184" s="167"/>
      <c r="X184" s="167"/>
      <c r="Y184" s="167"/>
      <c r="Z184" s="167"/>
    </row>
    <row r="185" spans="16:26" ht="10.199999999999999" customHeight="1">
      <c r="P185" s="167"/>
      <c r="Q185" s="167"/>
      <c r="R185" s="167"/>
      <c r="S185" s="167"/>
      <c r="T185" s="167"/>
      <c r="U185" s="167"/>
      <c r="V185" s="167"/>
      <c r="W185" s="167"/>
      <c r="X185" s="167"/>
      <c r="Y185" s="167"/>
      <c r="Z185" s="167"/>
    </row>
    <row r="186" spans="16:26" ht="10.199999999999999" customHeight="1">
      <c r="P186" s="168"/>
      <c r="Q186" s="168"/>
      <c r="R186" s="168"/>
      <c r="S186" s="168"/>
      <c r="T186" s="168"/>
      <c r="U186" s="168"/>
      <c r="V186" s="168"/>
      <c r="W186" s="168"/>
      <c r="X186" s="168"/>
      <c r="Y186" s="168"/>
      <c r="Z186" s="168"/>
    </row>
    <row r="187" spans="16:26" ht="10.199999999999999" customHeight="1">
      <c r="P187" s="167"/>
      <c r="Q187" s="167"/>
      <c r="R187" s="167"/>
      <c r="S187" s="167"/>
      <c r="T187" s="167"/>
      <c r="U187" s="167"/>
      <c r="V187" s="167"/>
      <c r="W187" s="167"/>
      <c r="X187" s="167"/>
      <c r="Y187" s="167"/>
      <c r="Z187" s="167"/>
    </row>
    <row r="188" spans="16:26" ht="10.199999999999999" customHeight="1">
      <c r="P188" s="167"/>
      <c r="Q188" s="167"/>
      <c r="R188" s="167"/>
      <c r="S188" s="167"/>
      <c r="T188" s="167"/>
      <c r="U188" s="167"/>
      <c r="V188" s="167"/>
      <c r="W188" s="167"/>
      <c r="X188" s="167"/>
      <c r="Y188" s="167"/>
      <c r="Z188" s="167"/>
    </row>
    <row r="189" spans="16:26" ht="10.199999999999999" customHeight="1">
      <c r="P189" s="168"/>
      <c r="Q189" s="168"/>
      <c r="R189" s="168"/>
      <c r="S189" s="168"/>
      <c r="T189" s="168"/>
      <c r="U189" s="168"/>
      <c r="V189" s="168"/>
      <c r="W189" s="168"/>
      <c r="X189" s="168"/>
      <c r="Y189" s="168"/>
      <c r="Z189" s="168"/>
    </row>
    <row r="190" spans="16:26" ht="10.199999999999999" customHeight="1">
      <c r="P190" s="167"/>
      <c r="Q190" s="167"/>
      <c r="R190" s="167"/>
      <c r="S190" s="167"/>
      <c r="T190" s="167"/>
      <c r="U190" s="167"/>
      <c r="V190" s="167"/>
      <c r="W190" s="167"/>
      <c r="X190" s="167"/>
      <c r="Y190" s="167"/>
      <c r="Z190" s="167"/>
    </row>
    <row r="191" spans="16:26" ht="10.199999999999999" customHeight="1">
      <c r="P191" s="167"/>
      <c r="Q191" s="167"/>
      <c r="R191" s="167"/>
      <c r="S191" s="167"/>
      <c r="T191" s="167"/>
      <c r="U191" s="167"/>
      <c r="V191" s="167"/>
      <c r="W191" s="167"/>
      <c r="X191" s="167"/>
      <c r="Y191" s="167"/>
      <c r="Z191" s="167"/>
    </row>
    <row r="192" spans="16:26" ht="10.199999999999999" customHeight="1">
      <c r="P192" s="168"/>
      <c r="Q192" s="168"/>
      <c r="R192" s="168"/>
      <c r="S192" s="168"/>
      <c r="T192" s="168"/>
      <c r="U192" s="168"/>
      <c r="V192" s="168"/>
      <c r="W192" s="168"/>
      <c r="X192" s="168"/>
      <c r="Y192" s="168"/>
      <c r="Z192" s="168"/>
    </row>
    <row r="193" spans="16:26" ht="10.199999999999999" customHeight="1">
      <c r="P193" s="167"/>
      <c r="Q193" s="167"/>
      <c r="R193" s="167"/>
      <c r="S193" s="167"/>
      <c r="T193" s="167"/>
      <c r="U193" s="167"/>
      <c r="V193" s="167"/>
      <c r="W193" s="167"/>
      <c r="X193" s="167"/>
      <c r="Y193" s="167"/>
      <c r="Z193" s="167"/>
    </row>
    <row r="194" spans="16:26" ht="10.199999999999999" customHeight="1">
      <c r="P194" s="167"/>
      <c r="Q194" s="167"/>
      <c r="R194" s="167"/>
      <c r="S194" s="167"/>
      <c r="T194" s="167"/>
      <c r="U194" s="167"/>
      <c r="V194" s="167"/>
      <c r="W194" s="167"/>
      <c r="X194" s="167"/>
      <c r="Y194" s="167"/>
      <c r="Z194" s="167"/>
    </row>
    <row r="195" spans="16:26" ht="10.199999999999999" customHeight="1">
      <c r="P195" s="168"/>
      <c r="Q195" s="168"/>
      <c r="R195" s="168"/>
      <c r="S195" s="168"/>
      <c r="T195" s="168"/>
      <c r="U195" s="168"/>
      <c r="V195" s="168"/>
      <c r="W195" s="168"/>
      <c r="X195" s="168"/>
      <c r="Y195" s="168"/>
      <c r="Z195" s="168"/>
    </row>
    <row r="196" spans="16:26" ht="10.199999999999999" customHeight="1">
      <c r="P196" s="167"/>
      <c r="Q196" s="167"/>
      <c r="R196" s="167"/>
      <c r="S196" s="167"/>
      <c r="T196" s="167"/>
      <c r="U196" s="167"/>
      <c r="V196" s="167"/>
      <c r="W196" s="167"/>
      <c r="X196" s="167"/>
      <c r="Y196" s="167"/>
      <c r="Z196" s="167"/>
    </row>
    <row r="197" spans="16:26" ht="10.199999999999999" customHeight="1">
      <c r="P197" s="167"/>
      <c r="Q197" s="167"/>
      <c r="R197" s="167"/>
      <c r="S197" s="167"/>
      <c r="T197" s="167"/>
      <c r="U197" s="167"/>
      <c r="V197" s="167"/>
      <c r="W197" s="167"/>
      <c r="X197" s="167"/>
      <c r="Y197" s="167"/>
      <c r="Z197" s="167"/>
    </row>
    <row r="198" spans="16:26" ht="10.199999999999999" customHeight="1">
      <c r="P198" s="168"/>
      <c r="Q198" s="168"/>
      <c r="R198" s="168"/>
      <c r="S198" s="168"/>
      <c r="T198" s="168"/>
      <c r="U198" s="168"/>
      <c r="V198" s="168"/>
      <c r="W198" s="168"/>
      <c r="X198" s="168"/>
      <c r="Y198" s="168"/>
      <c r="Z198" s="168"/>
    </row>
    <row r="199" spans="16:26" ht="10.199999999999999" customHeight="1">
      <c r="P199" s="167"/>
      <c r="Q199" s="167"/>
      <c r="R199" s="167"/>
      <c r="S199" s="167"/>
      <c r="T199" s="167"/>
      <c r="U199" s="167"/>
      <c r="V199" s="167"/>
      <c r="W199" s="167"/>
      <c r="X199" s="167"/>
      <c r="Y199" s="167"/>
      <c r="Z199" s="167"/>
    </row>
    <row r="200" spans="16:26" ht="10.199999999999999" customHeight="1">
      <c r="P200" s="167"/>
      <c r="Q200" s="167"/>
      <c r="R200" s="167"/>
      <c r="S200" s="167"/>
      <c r="T200" s="167"/>
      <c r="U200" s="167"/>
      <c r="V200" s="167"/>
      <c r="W200" s="167"/>
      <c r="X200" s="167"/>
      <c r="Y200" s="167"/>
      <c r="Z200" s="167"/>
    </row>
    <row r="201" spans="16:26" ht="10.199999999999999" customHeight="1">
      <c r="P201" s="168"/>
      <c r="Q201" s="168"/>
      <c r="R201" s="168"/>
      <c r="S201" s="168"/>
      <c r="T201" s="168"/>
      <c r="U201" s="168"/>
      <c r="V201" s="168"/>
      <c r="W201" s="168"/>
      <c r="X201" s="168"/>
      <c r="Y201" s="168"/>
      <c r="Z201" s="168"/>
    </row>
    <row r="202" spans="16:26" ht="10.199999999999999" customHeight="1">
      <c r="P202" s="167"/>
      <c r="Q202" s="167"/>
      <c r="R202" s="167"/>
      <c r="S202" s="167"/>
      <c r="T202" s="167"/>
      <c r="U202" s="167"/>
      <c r="V202" s="167"/>
      <c r="W202" s="167"/>
      <c r="X202" s="167"/>
      <c r="Y202" s="167"/>
      <c r="Z202" s="167"/>
    </row>
    <row r="203" spans="16:26" ht="10.199999999999999" customHeight="1">
      <c r="P203" s="167"/>
      <c r="Q203" s="167"/>
      <c r="R203" s="167"/>
      <c r="S203" s="167"/>
      <c r="T203" s="167"/>
      <c r="U203" s="167"/>
      <c r="V203" s="167"/>
      <c r="W203" s="167"/>
      <c r="X203" s="167"/>
      <c r="Y203" s="167"/>
      <c r="Z203" s="167"/>
    </row>
    <row r="204" spans="16:26" ht="10.199999999999999" customHeight="1">
      <c r="P204" s="168"/>
      <c r="Q204" s="168"/>
      <c r="R204" s="168"/>
      <c r="S204" s="168"/>
      <c r="T204" s="168"/>
      <c r="U204" s="168"/>
      <c r="V204" s="168"/>
      <c r="W204" s="168"/>
      <c r="X204" s="168"/>
      <c r="Y204" s="168"/>
      <c r="Z204" s="168"/>
    </row>
    <row r="205" spans="16:26" ht="10.199999999999999" customHeight="1">
      <c r="P205" s="167"/>
      <c r="Q205" s="167"/>
      <c r="R205" s="167"/>
      <c r="S205" s="167"/>
      <c r="T205" s="167"/>
      <c r="U205" s="167"/>
      <c r="V205" s="167"/>
      <c r="W205" s="167"/>
      <c r="X205" s="167"/>
      <c r="Y205" s="167"/>
      <c r="Z205" s="167"/>
    </row>
    <row r="206" spans="16:26" ht="10.199999999999999" customHeight="1">
      <c r="P206" s="167"/>
      <c r="Q206" s="167"/>
      <c r="R206" s="167"/>
      <c r="S206" s="167"/>
      <c r="T206" s="167"/>
      <c r="U206" s="167"/>
      <c r="V206" s="167"/>
      <c r="W206" s="167"/>
      <c r="X206" s="167"/>
      <c r="Y206" s="167"/>
      <c r="Z206" s="167"/>
    </row>
    <row r="207" spans="16:26" ht="10.199999999999999" customHeight="1">
      <c r="P207" s="168"/>
      <c r="Q207" s="168"/>
      <c r="R207" s="168"/>
      <c r="S207" s="168"/>
      <c r="T207" s="168"/>
      <c r="U207" s="168"/>
      <c r="V207" s="168"/>
      <c r="W207" s="168"/>
      <c r="X207" s="168"/>
      <c r="Y207" s="168"/>
      <c r="Z207" s="168"/>
    </row>
    <row r="208" spans="16:26" ht="10.199999999999999" customHeight="1">
      <c r="P208" s="167"/>
      <c r="Q208" s="167"/>
      <c r="R208" s="167"/>
      <c r="S208" s="167"/>
      <c r="T208" s="167"/>
      <c r="U208" s="167"/>
      <c r="V208" s="167"/>
      <c r="W208" s="167"/>
      <c r="X208" s="167"/>
      <c r="Y208" s="167"/>
      <c r="Z208" s="167"/>
    </row>
    <row r="209" spans="16:26" ht="10.199999999999999" customHeight="1">
      <c r="P209" s="167"/>
      <c r="Q209" s="167"/>
      <c r="R209" s="167"/>
      <c r="S209" s="167"/>
      <c r="T209" s="167"/>
      <c r="U209" s="167"/>
      <c r="V209" s="167"/>
      <c r="W209" s="167"/>
      <c r="X209" s="167"/>
      <c r="Y209" s="167"/>
      <c r="Z209" s="167"/>
    </row>
    <row r="210" spans="16:26" ht="10.199999999999999" customHeight="1">
      <c r="P210" s="168"/>
      <c r="Q210" s="168"/>
      <c r="R210" s="168"/>
      <c r="S210" s="168"/>
      <c r="T210" s="168"/>
      <c r="U210" s="168"/>
      <c r="V210" s="168"/>
      <c r="W210" s="168"/>
      <c r="X210" s="168"/>
      <c r="Y210" s="168"/>
      <c r="Z210" s="168"/>
    </row>
    <row r="211" spans="16:26" ht="10.199999999999999" customHeight="1">
      <c r="P211" s="167"/>
      <c r="Q211" s="167"/>
      <c r="R211" s="167"/>
      <c r="S211" s="167"/>
      <c r="T211" s="167"/>
      <c r="U211" s="167"/>
      <c r="V211" s="167"/>
      <c r="W211" s="167"/>
      <c r="X211" s="167"/>
      <c r="Y211" s="167"/>
      <c r="Z211" s="167"/>
    </row>
    <row r="212" spans="16:26" ht="10.199999999999999" customHeight="1">
      <c r="P212" s="167"/>
      <c r="Q212" s="167"/>
      <c r="R212" s="167"/>
      <c r="S212" s="167"/>
      <c r="T212" s="167"/>
      <c r="U212" s="167"/>
      <c r="V212" s="167"/>
      <c r="W212" s="167"/>
      <c r="X212" s="167"/>
      <c r="Y212" s="167"/>
      <c r="Z212" s="167"/>
    </row>
    <row r="213" spans="16:26" ht="10.199999999999999" customHeight="1">
      <c r="P213" s="168"/>
      <c r="Q213" s="168"/>
      <c r="R213" s="168"/>
      <c r="S213" s="168"/>
      <c r="T213" s="168"/>
      <c r="U213" s="168"/>
      <c r="V213" s="168"/>
      <c r="W213" s="168"/>
      <c r="X213" s="168"/>
      <c r="Y213" s="168"/>
      <c r="Z213" s="168"/>
    </row>
    <row r="214" spans="16:26" ht="10.199999999999999" customHeight="1">
      <c r="P214" s="167"/>
      <c r="Q214" s="167"/>
      <c r="R214" s="167"/>
      <c r="S214" s="167"/>
      <c r="T214" s="167"/>
      <c r="U214" s="167"/>
      <c r="V214" s="167"/>
      <c r="W214" s="167"/>
      <c r="X214" s="167"/>
      <c r="Y214" s="167"/>
      <c r="Z214" s="167"/>
    </row>
    <row r="215" spans="16:26" ht="10.199999999999999" customHeight="1">
      <c r="P215" s="167"/>
      <c r="Q215" s="167"/>
      <c r="R215" s="167"/>
      <c r="S215" s="167"/>
      <c r="T215" s="167"/>
      <c r="U215" s="167"/>
      <c r="V215" s="167"/>
      <c r="W215" s="167"/>
      <c r="X215" s="167"/>
      <c r="Y215" s="167"/>
      <c r="Z215" s="167"/>
    </row>
    <row r="216" spans="16:26" ht="10.199999999999999" customHeight="1">
      <c r="P216" s="168"/>
      <c r="Q216" s="168"/>
      <c r="R216" s="168"/>
      <c r="S216" s="168"/>
      <c r="T216" s="168"/>
      <c r="U216" s="168"/>
      <c r="V216" s="168"/>
      <c r="W216" s="168"/>
      <c r="X216" s="168"/>
      <c r="Y216" s="168"/>
      <c r="Z216" s="168"/>
    </row>
    <row r="217" spans="16:26" ht="10.199999999999999" customHeight="1">
      <c r="P217" s="167"/>
      <c r="Q217" s="167"/>
      <c r="R217" s="167"/>
      <c r="S217" s="167"/>
      <c r="T217" s="167"/>
      <c r="U217" s="167"/>
      <c r="V217" s="167"/>
      <c r="W217" s="167"/>
      <c r="X217" s="167"/>
      <c r="Y217" s="167"/>
      <c r="Z217" s="167"/>
    </row>
    <row r="218" spans="16:26" ht="10.199999999999999" customHeight="1">
      <c r="P218" s="167"/>
      <c r="Q218" s="167"/>
      <c r="R218" s="167"/>
      <c r="S218" s="167"/>
      <c r="T218" s="167"/>
      <c r="U218" s="167"/>
      <c r="V218" s="167"/>
      <c r="W218" s="167"/>
      <c r="X218" s="167"/>
      <c r="Y218" s="167"/>
      <c r="Z218" s="167"/>
    </row>
    <row r="219" spans="16:26" ht="10.199999999999999" customHeight="1">
      <c r="P219" s="168"/>
      <c r="Q219" s="168"/>
      <c r="R219" s="168"/>
      <c r="S219" s="168"/>
      <c r="T219" s="168"/>
      <c r="U219" s="168"/>
      <c r="V219" s="168"/>
      <c r="W219" s="168"/>
      <c r="X219" s="168"/>
      <c r="Y219" s="168"/>
      <c r="Z219" s="168"/>
    </row>
    <row r="220" spans="16:26" ht="10.199999999999999" customHeight="1">
      <c r="P220" s="167"/>
      <c r="Q220" s="167"/>
      <c r="R220" s="167"/>
      <c r="S220" s="167"/>
      <c r="T220" s="167"/>
      <c r="U220" s="167"/>
      <c r="V220" s="167"/>
      <c r="W220" s="167"/>
      <c r="X220" s="167"/>
      <c r="Y220" s="167"/>
      <c r="Z220" s="167"/>
    </row>
    <row r="221" spans="16:26" ht="10.199999999999999" customHeight="1">
      <c r="P221" s="167"/>
      <c r="Q221" s="167"/>
      <c r="R221" s="167"/>
      <c r="S221" s="167"/>
      <c r="T221" s="167"/>
      <c r="U221" s="167"/>
      <c r="V221" s="167"/>
      <c r="W221" s="167"/>
      <c r="X221" s="167"/>
      <c r="Y221" s="167"/>
      <c r="Z221" s="167"/>
    </row>
    <row r="222" spans="16:26" ht="10.199999999999999" customHeight="1">
      <c r="P222" s="168"/>
      <c r="Q222" s="168"/>
      <c r="R222" s="168"/>
      <c r="S222" s="168"/>
      <c r="T222" s="168"/>
      <c r="U222" s="168"/>
      <c r="V222" s="168"/>
      <c r="W222" s="168"/>
      <c r="X222" s="168"/>
      <c r="Y222" s="168"/>
      <c r="Z222" s="168"/>
    </row>
    <row r="223" spans="16:26" ht="10.199999999999999" customHeight="1">
      <c r="P223" s="167"/>
      <c r="Q223" s="167"/>
      <c r="R223" s="167"/>
      <c r="S223" s="167"/>
      <c r="T223" s="167"/>
      <c r="U223" s="167"/>
      <c r="V223" s="167"/>
      <c r="W223" s="167"/>
      <c r="X223" s="167"/>
      <c r="Y223" s="167"/>
      <c r="Z223" s="167"/>
    </row>
    <row r="224" spans="16:26" ht="10.199999999999999" customHeight="1">
      <c r="P224" s="167"/>
      <c r="Q224" s="167"/>
      <c r="R224" s="167"/>
      <c r="S224" s="167"/>
      <c r="T224" s="167"/>
      <c r="U224" s="167"/>
      <c r="V224" s="167"/>
      <c r="W224" s="167"/>
      <c r="X224" s="167"/>
      <c r="Y224" s="167"/>
      <c r="Z224" s="167"/>
    </row>
    <row r="225" spans="16:26" ht="10.199999999999999" customHeight="1">
      <c r="P225" s="168"/>
      <c r="Q225" s="168"/>
      <c r="R225" s="168"/>
      <c r="S225" s="168"/>
      <c r="T225" s="168"/>
      <c r="U225" s="168"/>
      <c r="V225" s="168"/>
      <c r="W225" s="168"/>
      <c r="X225" s="168"/>
      <c r="Y225" s="168"/>
      <c r="Z225" s="168"/>
    </row>
    <row r="226" spans="16:26" ht="10.199999999999999" customHeight="1">
      <c r="P226" s="167"/>
      <c r="Q226" s="167"/>
      <c r="R226" s="167"/>
      <c r="S226" s="167"/>
      <c r="T226" s="167"/>
      <c r="U226" s="167"/>
      <c r="V226" s="167"/>
      <c r="W226" s="167"/>
      <c r="X226" s="167"/>
      <c r="Y226" s="167"/>
      <c r="Z226" s="167"/>
    </row>
    <row r="227" spans="16:26" ht="10.199999999999999" customHeight="1">
      <c r="P227" s="167"/>
      <c r="Q227" s="167"/>
      <c r="R227" s="167"/>
      <c r="S227" s="167"/>
      <c r="T227" s="167"/>
      <c r="U227" s="167"/>
      <c r="V227" s="167"/>
      <c r="W227" s="167"/>
      <c r="X227" s="167"/>
      <c r="Y227" s="167"/>
      <c r="Z227" s="167"/>
    </row>
    <row r="228" spans="16:26" ht="10.199999999999999" customHeight="1">
      <c r="P228" s="168"/>
      <c r="Q228" s="168"/>
      <c r="R228" s="168"/>
      <c r="S228" s="168"/>
      <c r="T228" s="168"/>
      <c r="U228" s="168"/>
      <c r="V228" s="168"/>
      <c r="W228" s="168"/>
      <c r="X228" s="168"/>
      <c r="Y228" s="168"/>
      <c r="Z228" s="168"/>
    </row>
    <row r="229" spans="16:26" ht="10.199999999999999" customHeight="1">
      <c r="P229" s="167"/>
      <c r="Q229" s="167"/>
      <c r="R229" s="167"/>
      <c r="S229" s="167"/>
      <c r="T229" s="167"/>
      <c r="U229" s="167"/>
      <c r="V229" s="167"/>
      <c r="W229" s="167"/>
      <c r="X229" s="167"/>
      <c r="Y229" s="167"/>
      <c r="Z229" s="167"/>
    </row>
    <row r="230" spans="16:26" ht="10.199999999999999" customHeight="1">
      <c r="P230" s="167"/>
      <c r="Q230" s="167"/>
      <c r="R230" s="167"/>
      <c r="S230" s="167"/>
      <c r="T230" s="167"/>
      <c r="U230" s="167"/>
      <c r="V230" s="167"/>
      <c r="W230" s="167"/>
      <c r="X230" s="167"/>
      <c r="Y230" s="167"/>
      <c r="Z230" s="167"/>
    </row>
    <row r="231" spans="16:26" ht="10.199999999999999" customHeight="1">
      <c r="P231" s="168"/>
      <c r="Q231" s="168"/>
      <c r="R231" s="168"/>
      <c r="S231" s="168"/>
      <c r="T231" s="168"/>
      <c r="U231" s="168"/>
      <c r="V231" s="168"/>
      <c r="W231" s="168"/>
      <c r="X231" s="168"/>
      <c r="Y231" s="168"/>
      <c r="Z231" s="168"/>
    </row>
    <row r="232" spans="16:26" ht="10.199999999999999" customHeight="1">
      <c r="P232" s="167"/>
      <c r="Q232" s="167"/>
      <c r="R232" s="167"/>
      <c r="S232" s="167"/>
      <c r="T232" s="167"/>
      <c r="U232" s="167"/>
      <c r="V232" s="167"/>
      <c r="W232" s="167"/>
      <c r="X232" s="167"/>
      <c r="Y232" s="167"/>
      <c r="Z232" s="167"/>
    </row>
    <row r="233" spans="16:26" ht="10.199999999999999" customHeight="1">
      <c r="P233" s="167"/>
      <c r="Q233" s="167"/>
      <c r="R233" s="167"/>
      <c r="S233" s="167"/>
      <c r="T233" s="167"/>
      <c r="U233" s="167"/>
      <c r="V233" s="167"/>
      <c r="W233" s="167"/>
      <c r="X233" s="167"/>
      <c r="Y233" s="167"/>
      <c r="Z233" s="167"/>
    </row>
    <row r="234" spans="16:26" ht="10.199999999999999" customHeight="1">
      <c r="P234" s="168"/>
      <c r="Q234" s="168"/>
      <c r="R234" s="168"/>
      <c r="S234" s="168"/>
      <c r="T234" s="168"/>
      <c r="U234" s="168"/>
      <c r="V234" s="168"/>
      <c r="W234" s="168"/>
      <c r="X234" s="168"/>
      <c r="Y234" s="168"/>
      <c r="Z234" s="168"/>
    </row>
    <row r="235" spans="16:26" ht="10.199999999999999" customHeight="1">
      <c r="P235" s="167"/>
      <c r="Q235" s="167"/>
      <c r="R235" s="167"/>
      <c r="S235" s="167"/>
      <c r="T235" s="167"/>
      <c r="U235" s="167"/>
      <c r="V235" s="167"/>
      <c r="W235" s="167"/>
      <c r="X235" s="167"/>
      <c r="Y235" s="167"/>
      <c r="Z235" s="167"/>
    </row>
    <row r="236" spans="16:26" ht="10.199999999999999" customHeight="1">
      <c r="P236" s="167"/>
      <c r="Q236" s="167"/>
      <c r="R236" s="167"/>
      <c r="S236" s="167"/>
      <c r="T236" s="167"/>
      <c r="U236" s="167"/>
      <c r="V236" s="167"/>
      <c r="W236" s="167"/>
      <c r="X236" s="167"/>
      <c r="Y236" s="167"/>
      <c r="Z236" s="167"/>
    </row>
    <row r="237" spans="16:26" ht="10.199999999999999" customHeight="1">
      <c r="P237" s="168"/>
      <c r="Q237" s="168"/>
      <c r="R237" s="168"/>
      <c r="S237" s="168"/>
      <c r="T237" s="168"/>
      <c r="U237" s="168"/>
      <c r="V237" s="168"/>
      <c r="W237" s="168"/>
      <c r="X237" s="168"/>
      <c r="Y237" s="168"/>
      <c r="Z237" s="168"/>
    </row>
    <row r="238" spans="16:26" ht="10.199999999999999" customHeight="1">
      <c r="P238" s="167"/>
      <c r="Q238" s="167"/>
      <c r="R238" s="167"/>
      <c r="S238" s="167"/>
      <c r="T238" s="167"/>
      <c r="U238" s="167"/>
      <c r="V238" s="167"/>
      <c r="W238" s="167"/>
      <c r="X238" s="167"/>
      <c r="Y238" s="167"/>
      <c r="Z238" s="167"/>
    </row>
    <row r="239" spans="16:26" ht="10.199999999999999" customHeight="1">
      <c r="P239" s="167"/>
      <c r="Q239" s="167"/>
      <c r="R239" s="167"/>
      <c r="S239" s="167"/>
      <c r="T239" s="167"/>
      <c r="U239" s="167"/>
      <c r="V239" s="167"/>
      <c r="W239" s="167"/>
      <c r="X239" s="167"/>
      <c r="Y239" s="167"/>
      <c r="Z239" s="167"/>
    </row>
    <row r="240" spans="16:26" ht="10.199999999999999" customHeight="1">
      <c r="P240" s="168"/>
      <c r="Q240" s="168"/>
      <c r="R240" s="168"/>
      <c r="S240" s="168"/>
      <c r="T240" s="168"/>
      <c r="U240" s="168"/>
      <c r="V240" s="168"/>
      <c r="W240" s="168"/>
      <c r="X240" s="168"/>
      <c r="Y240" s="168"/>
      <c r="Z240" s="168"/>
    </row>
    <row r="241" spans="16:26" ht="10.199999999999999" customHeight="1">
      <c r="P241" s="167"/>
      <c r="Q241" s="167"/>
      <c r="R241" s="167"/>
      <c r="S241" s="167"/>
      <c r="T241" s="167"/>
      <c r="U241" s="167"/>
      <c r="V241" s="167"/>
      <c r="W241" s="167"/>
      <c r="X241" s="167"/>
      <c r="Y241" s="167"/>
      <c r="Z241" s="167"/>
    </row>
    <row r="242" spans="16:26" ht="10.199999999999999" customHeight="1">
      <c r="P242" s="167"/>
      <c r="Q242" s="167"/>
      <c r="R242" s="167"/>
      <c r="S242" s="167"/>
      <c r="T242" s="167"/>
      <c r="U242" s="167"/>
      <c r="V242" s="167"/>
      <c r="W242" s="167"/>
      <c r="X242" s="167"/>
      <c r="Y242" s="167"/>
      <c r="Z242" s="167"/>
    </row>
    <row r="243" spans="16:26" ht="10.199999999999999" customHeight="1">
      <c r="P243" s="168"/>
      <c r="Q243" s="168"/>
      <c r="R243" s="168"/>
      <c r="S243" s="168"/>
      <c r="T243" s="168"/>
      <c r="U243" s="168"/>
      <c r="V243" s="168"/>
      <c r="W243" s="168"/>
      <c r="X243" s="168"/>
      <c r="Y243" s="168"/>
      <c r="Z243" s="168"/>
    </row>
    <row r="244" spans="16:26" ht="10.199999999999999" customHeight="1">
      <c r="P244" s="167"/>
      <c r="Q244" s="167"/>
      <c r="R244" s="167"/>
      <c r="S244" s="167"/>
      <c r="T244" s="167"/>
      <c r="U244" s="167"/>
      <c r="V244" s="167"/>
      <c r="W244" s="167"/>
      <c r="X244" s="167"/>
      <c r="Y244" s="167"/>
      <c r="Z244" s="167"/>
    </row>
    <row r="245" spans="16:26" ht="10.199999999999999" customHeight="1">
      <c r="P245" s="167"/>
      <c r="Q245" s="167"/>
      <c r="R245" s="167"/>
      <c r="S245" s="167"/>
      <c r="T245" s="167"/>
      <c r="U245" s="167"/>
      <c r="V245" s="167"/>
      <c r="W245" s="167"/>
      <c r="X245" s="167"/>
      <c r="Y245" s="167"/>
      <c r="Z245" s="167"/>
    </row>
    <row r="246" spans="16:26" ht="10.199999999999999" customHeight="1">
      <c r="P246" s="168"/>
      <c r="Q246" s="168"/>
      <c r="R246" s="168"/>
      <c r="S246" s="168"/>
      <c r="T246" s="168"/>
      <c r="U246" s="168"/>
      <c r="V246" s="168"/>
      <c r="W246" s="168"/>
      <c r="X246" s="168"/>
      <c r="Y246" s="168"/>
      <c r="Z246" s="168"/>
    </row>
    <row r="247" spans="16:26" ht="10.199999999999999" customHeight="1">
      <c r="P247" s="167"/>
      <c r="Q247" s="167"/>
      <c r="R247" s="167"/>
      <c r="S247" s="167"/>
      <c r="T247" s="167"/>
      <c r="U247" s="167"/>
      <c r="V247" s="167"/>
      <c r="W247" s="167"/>
      <c r="X247" s="167"/>
      <c r="Y247" s="167"/>
      <c r="Z247" s="167"/>
    </row>
    <row r="248" spans="16:26" ht="10.199999999999999" customHeight="1">
      <c r="P248" s="167"/>
      <c r="Q248" s="167"/>
      <c r="R248" s="167"/>
      <c r="S248" s="167"/>
      <c r="T248" s="167"/>
      <c r="U248" s="167"/>
      <c r="V248" s="167"/>
      <c r="W248" s="167"/>
      <c r="X248" s="167"/>
      <c r="Y248" s="167"/>
      <c r="Z248" s="167"/>
    </row>
    <row r="249" spans="16:26" ht="10.199999999999999" customHeight="1">
      <c r="P249" s="168"/>
      <c r="Q249" s="168"/>
      <c r="R249" s="168"/>
      <c r="S249" s="168"/>
      <c r="T249" s="168"/>
      <c r="U249" s="168"/>
      <c r="V249" s="168"/>
      <c r="W249" s="168"/>
      <c r="X249" s="168"/>
      <c r="Y249" s="168"/>
      <c r="Z249" s="168"/>
    </row>
    <row r="250" spans="16:26" ht="10.199999999999999" customHeight="1">
      <c r="P250" s="167"/>
      <c r="Q250" s="167"/>
      <c r="R250" s="167"/>
      <c r="S250" s="167"/>
      <c r="T250" s="167"/>
      <c r="U250" s="167"/>
      <c r="V250" s="167"/>
      <c r="W250" s="167"/>
      <c r="X250" s="167"/>
      <c r="Y250" s="167"/>
      <c r="Z250" s="167"/>
    </row>
    <row r="251" spans="16:26" ht="10.199999999999999" customHeight="1">
      <c r="P251" s="167"/>
      <c r="Q251" s="167"/>
      <c r="R251" s="167"/>
      <c r="S251" s="167"/>
      <c r="T251" s="167"/>
      <c r="U251" s="167"/>
      <c r="V251" s="167"/>
      <c r="W251" s="167"/>
      <c r="X251" s="167"/>
      <c r="Y251" s="167"/>
      <c r="Z251" s="167"/>
    </row>
    <row r="252" spans="16:26" ht="10.199999999999999" customHeight="1">
      <c r="P252" s="168"/>
      <c r="Q252" s="168"/>
      <c r="R252" s="168"/>
      <c r="S252" s="168"/>
      <c r="T252" s="168"/>
      <c r="U252" s="168"/>
      <c r="V252" s="168"/>
      <c r="W252" s="168"/>
      <c r="X252" s="168"/>
      <c r="Y252" s="168"/>
      <c r="Z252" s="168"/>
    </row>
    <row r="253" spans="16:26" ht="10.199999999999999" customHeight="1">
      <c r="P253" s="167"/>
      <c r="Q253" s="167"/>
      <c r="R253" s="167"/>
      <c r="S253" s="167"/>
      <c r="T253" s="167"/>
      <c r="U253" s="167"/>
      <c r="V253" s="167"/>
      <c r="W253" s="167"/>
      <c r="X253" s="167"/>
      <c r="Y253" s="167"/>
      <c r="Z253" s="167"/>
    </row>
    <row r="254" spans="16:26" ht="10.199999999999999" customHeight="1">
      <c r="P254" s="167"/>
      <c r="Q254" s="167"/>
      <c r="R254" s="167"/>
      <c r="S254" s="167"/>
      <c r="T254" s="167"/>
      <c r="U254" s="167"/>
      <c r="V254" s="167"/>
      <c r="W254" s="167"/>
      <c r="X254" s="167"/>
      <c r="Y254" s="167"/>
      <c r="Z254" s="167"/>
    </row>
    <row r="255" spans="16:26" ht="10.199999999999999" customHeight="1">
      <c r="P255" s="168"/>
      <c r="Q255" s="168"/>
      <c r="R255" s="168"/>
      <c r="S255" s="168"/>
      <c r="T255" s="168"/>
      <c r="U255" s="168"/>
      <c r="V255" s="168"/>
      <c r="W255" s="168"/>
      <c r="X255" s="168"/>
      <c r="Y255" s="168"/>
      <c r="Z255" s="168"/>
    </row>
    <row r="256" spans="16:26" ht="10.199999999999999" customHeight="1">
      <c r="P256" s="167"/>
      <c r="Q256" s="167"/>
      <c r="R256" s="167"/>
      <c r="S256" s="167"/>
      <c r="T256" s="167"/>
      <c r="U256" s="167"/>
      <c r="V256" s="167"/>
      <c r="W256" s="167"/>
      <c r="X256" s="167"/>
      <c r="Y256" s="167"/>
      <c r="Z256" s="167"/>
    </row>
    <row r="257" spans="16:26" ht="10.199999999999999" customHeight="1">
      <c r="P257" s="167"/>
      <c r="Q257" s="167"/>
      <c r="R257" s="167"/>
      <c r="S257" s="167"/>
      <c r="T257" s="167"/>
      <c r="U257" s="167"/>
      <c r="V257" s="167"/>
      <c r="W257" s="167"/>
      <c r="X257" s="167"/>
      <c r="Y257" s="167"/>
      <c r="Z257" s="167"/>
    </row>
    <row r="258" spans="16:26" ht="10.199999999999999" customHeight="1">
      <c r="P258" s="168"/>
      <c r="Q258" s="168"/>
      <c r="R258" s="168"/>
      <c r="S258" s="168"/>
      <c r="T258" s="168"/>
      <c r="U258" s="168"/>
      <c r="V258" s="168"/>
      <c r="W258" s="168"/>
      <c r="X258" s="168"/>
      <c r="Y258" s="168"/>
      <c r="Z258" s="168"/>
    </row>
    <row r="259" spans="16:26" ht="10.199999999999999" customHeight="1">
      <c r="P259" s="167"/>
      <c r="Q259" s="167"/>
      <c r="R259" s="167"/>
      <c r="S259" s="167"/>
      <c r="T259" s="167"/>
      <c r="U259" s="167"/>
      <c r="V259" s="167"/>
      <c r="W259" s="167"/>
      <c r="X259" s="167"/>
      <c r="Y259" s="167"/>
      <c r="Z259" s="167"/>
    </row>
    <row r="260" spans="16:26" ht="10.199999999999999" customHeight="1">
      <c r="P260" s="167"/>
      <c r="Q260" s="167"/>
      <c r="R260" s="167"/>
      <c r="S260" s="167"/>
      <c r="T260" s="167"/>
      <c r="U260" s="167"/>
      <c r="V260" s="167"/>
      <c r="W260" s="167"/>
      <c r="X260" s="167"/>
      <c r="Y260" s="167"/>
      <c r="Z260" s="167"/>
    </row>
    <row r="261" spans="16:26" ht="10.199999999999999" customHeight="1">
      <c r="P261" s="168"/>
      <c r="Q261" s="168"/>
      <c r="R261" s="168"/>
      <c r="S261" s="168"/>
      <c r="T261" s="168"/>
      <c r="U261" s="168"/>
      <c r="V261" s="168"/>
      <c r="W261" s="168"/>
      <c r="X261" s="168"/>
      <c r="Y261" s="168"/>
      <c r="Z261" s="168"/>
    </row>
    <row r="262" spans="16:26" ht="10.199999999999999" customHeight="1">
      <c r="P262" s="167"/>
      <c r="Q262" s="167"/>
      <c r="R262" s="167"/>
      <c r="S262" s="167"/>
      <c r="T262" s="167"/>
      <c r="U262" s="167"/>
      <c r="V262" s="167"/>
      <c r="W262" s="167"/>
      <c r="X262" s="167"/>
      <c r="Y262" s="167"/>
      <c r="Z262" s="167"/>
    </row>
    <row r="263" spans="16:26" ht="10.199999999999999" customHeight="1">
      <c r="P263" s="167"/>
      <c r="Q263" s="167"/>
      <c r="R263" s="167"/>
      <c r="S263" s="167"/>
      <c r="T263" s="167"/>
      <c r="U263" s="167"/>
      <c r="V263" s="167"/>
      <c r="W263" s="167"/>
      <c r="X263" s="167"/>
      <c r="Y263" s="167"/>
      <c r="Z263" s="167"/>
    </row>
    <row r="264" spans="16:26" ht="10.199999999999999" customHeight="1">
      <c r="P264" s="168"/>
      <c r="Q264" s="168"/>
      <c r="R264" s="168"/>
      <c r="S264" s="168"/>
      <c r="T264" s="168"/>
      <c r="U264" s="168"/>
      <c r="V264" s="168"/>
      <c r="W264" s="168"/>
      <c r="X264" s="168"/>
      <c r="Y264" s="168"/>
      <c r="Z264" s="168"/>
    </row>
    <row r="265" spans="16:26" ht="10.199999999999999" customHeight="1">
      <c r="P265" s="167"/>
      <c r="Q265" s="167"/>
      <c r="R265" s="167"/>
      <c r="S265" s="167"/>
      <c r="T265" s="167"/>
      <c r="U265" s="167"/>
      <c r="V265" s="167"/>
      <c r="W265" s="167"/>
      <c r="X265" s="167"/>
      <c r="Y265" s="167"/>
      <c r="Z265" s="167"/>
    </row>
    <row r="266" spans="16:26" ht="10.199999999999999" customHeight="1">
      <c r="P266" s="167"/>
      <c r="Q266" s="167"/>
      <c r="R266" s="167"/>
      <c r="S266" s="167"/>
      <c r="T266" s="167"/>
      <c r="U266" s="167"/>
      <c r="V266" s="167"/>
      <c r="W266" s="167"/>
      <c r="X266" s="167"/>
      <c r="Y266" s="167"/>
      <c r="Z266" s="167"/>
    </row>
    <row r="267" spans="16:26" ht="10.199999999999999" customHeight="1">
      <c r="P267" s="163"/>
      <c r="Q267" s="163"/>
      <c r="R267" s="163"/>
      <c r="S267" s="163"/>
      <c r="T267" s="163"/>
      <c r="U267" s="163"/>
      <c r="V267" s="163"/>
      <c r="W267" s="163"/>
      <c r="X267" s="163"/>
      <c r="Y267" s="163"/>
      <c r="Z267" s="163"/>
    </row>
    <row r="268" spans="16:26" ht="10.199999999999999" customHeight="1">
      <c r="P268" s="163"/>
      <c r="Q268" s="163"/>
      <c r="R268" s="163"/>
      <c r="S268" s="163"/>
      <c r="T268" s="163"/>
      <c r="U268" s="163"/>
      <c r="V268" s="163"/>
      <c r="W268" s="163"/>
      <c r="X268" s="163"/>
      <c r="Y268" s="163"/>
      <c r="Z268" s="163"/>
    </row>
    <row r="269" spans="16:26" ht="10.199999999999999" customHeight="1">
      <c r="P269" s="163"/>
      <c r="Q269" s="163"/>
      <c r="R269" s="163"/>
      <c r="S269" s="163"/>
      <c r="T269" s="163"/>
      <c r="U269" s="163"/>
      <c r="V269" s="163"/>
      <c r="W269" s="163"/>
      <c r="X269" s="163"/>
      <c r="Y269" s="163"/>
      <c r="Z269" s="163"/>
    </row>
    <row r="270" spans="16:26" ht="10.199999999999999" customHeight="1">
      <c r="P270" s="163"/>
      <c r="Q270" s="163"/>
      <c r="R270" s="163"/>
      <c r="S270" s="163"/>
      <c r="T270" s="163"/>
      <c r="U270" s="163"/>
      <c r="V270" s="163"/>
      <c r="W270" s="163"/>
      <c r="X270" s="163"/>
      <c r="Y270" s="163"/>
      <c r="Z270" s="163"/>
    </row>
    <row r="271" spans="16:26" ht="10.199999999999999" customHeight="1">
      <c r="P271" s="163"/>
      <c r="Q271" s="163"/>
      <c r="R271" s="163"/>
      <c r="S271" s="163"/>
      <c r="T271" s="163"/>
      <c r="U271" s="163"/>
      <c r="V271" s="163"/>
      <c r="W271" s="163"/>
      <c r="X271" s="163"/>
      <c r="Y271" s="163"/>
      <c r="Z271" s="163"/>
    </row>
    <row r="272" spans="16:26" ht="10.199999999999999" customHeight="1">
      <c r="P272" s="163"/>
      <c r="Q272" s="163"/>
      <c r="R272" s="163"/>
      <c r="S272" s="163"/>
      <c r="T272" s="163"/>
      <c r="U272" s="163"/>
      <c r="V272" s="163"/>
      <c r="W272" s="163"/>
      <c r="X272" s="163"/>
      <c r="Y272" s="163"/>
      <c r="Z272" s="163"/>
    </row>
    <row r="273" spans="16:26" ht="10.199999999999999" customHeight="1">
      <c r="P273" s="163"/>
      <c r="Q273" s="163"/>
      <c r="R273" s="163"/>
      <c r="S273" s="163"/>
      <c r="T273" s="163"/>
      <c r="U273" s="163"/>
      <c r="V273" s="163"/>
      <c r="W273" s="163"/>
      <c r="X273" s="163"/>
      <c r="Y273" s="163"/>
      <c r="Z273" s="163"/>
    </row>
    <row r="274" spans="16:26" ht="10.199999999999999" customHeight="1">
      <c r="P274" s="163"/>
      <c r="Q274" s="163"/>
      <c r="R274" s="163"/>
      <c r="S274" s="163"/>
      <c r="T274" s="163"/>
      <c r="U274" s="163"/>
      <c r="V274" s="163"/>
      <c r="W274" s="163"/>
      <c r="X274" s="163"/>
      <c r="Y274" s="163"/>
      <c r="Z274" s="163"/>
    </row>
    <row r="275" spans="16:26" ht="10.199999999999999" customHeight="1">
      <c r="P275" s="163"/>
      <c r="Q275" s="163"/>
      <c r="R275" s="163"/>
      <c r="S275" s="163"/>
      <c r="T275" s="163"/>
      <c r="U275" s="163"/>
      <c r="V275" s="163"/>
      <c r="W275" s="163"/>
      <c r="X275" s="163"/>
      <c r="Y275" s="163"/>
      <c r="Z275" s="163"/>
    </row>
    <row r="276" spans="16:26" ht="10.199999999999999" customHeight="1">
      <c r="P276" s="163"/>
      <c r="Q276" s="163"/>
      <c r="R276" s="163"/>
      <c r="S276" s="163"/>
      <c r="T276" s="163"/>
      <c r="U276" s="163"/>
      <c r="V276" s="163"/>
      <c r="W276" s="163"/>
      <c r="X276" s="163"/>
      <c r="Y276" s="163"/>
      <c r="Z276" s="163"/>
    </row>
    <row r="277" spans="16:26" ht="10.199999999999999" customHeight="1">
      <c r="P277" s="163"/>
      <c r="Q277" s="163"/>
      <c r="R277" s="163"/>
      <c r="S277" s="163"/>
      <c r="T277" s="163"/>
      <c r="U277" s="163"/>
      <c r="V277" s="163"/>
      <c r="W277" s="163"/>
      <c r="X277" s="163"/>
      <c r="Y277" s="163"/>
      <c r="Z277" s="163"/>
    </row>
    <row r="278" spans="16:26" ht="10.199999999999999" customHeight="1">
      <c r="P278" s="163"/>
      <c r="Q278" s="163"/>
      <c r="R278" s="163"/>
      <c r="S278" s="163"/>
      <c r="T278" s="163"/>
      <c r="U278" s="163"/>
      <c r="V278" s="163"/>
      <c r="W278" s="163"/>
      <c r="X278" s="163"/>
      <c r="Y278" s="163"/>
      <c r="Z278" s="163"/>
    </row>
    <row r="279" spans="16:26" ht="10.199999999999999" customHeight="1">
      <c r="P279" s="163"/>
      <c r="Q279" s="163"/>
      <c r="R279" s="163"/>
      <c r="S279" s="163"/>
      <c r="T279" s="163"/>
      <c r="U279" s="163"/>
      <c r="V279" s="163"/>
      <c r="W279" s="163"/>
      <c r="X279" s="163"/>
      <c r="Y279" s="163"/>
      <c r="Z279" s="163"/>
    </row>
    <row r="280" spans="16:26" ht="10.199999999999999" customHeight="1">
      <c r="P280" s="163"/>
      <c r="Q280" s="163"/>
      <c r="R280" s="163"/>
      <c r="S280" s="163"/>
      <c r="T280" s="163"/>
      <c r="U280" s="163"/>
      <c r="V280" s="163"/>
      <c r="W280" s="163"/>
      <c r="X280" s="163"/>
      <c r="Y280" s="163"/>
      <c r="Z280" s="163"/>
    </row>
    <row r="281" spans="16:26" ht="10.199999999999999" customHeight="1">
      <c r="P281" s="163"/>
      <c r="Q281" s="163"/>
      <c r="R281" s="163"/>
      <c r="S281" s="163"/>
      <c r="T281" s="163"/>
      <c r="U281" s="163"/>
      <c r="V281" s="163"/>
      <c r="W281" s="163"/>
      <c r="X281" s="163"/>
      <c r="Y281" s="163"/>
      <c r="Z281" s="163"/>
    </row>
    <row r="282" spans="16:26" ht="10.199999999999999" customHeight="1">
      <c r="P282" s="163"/>
      <c r="Q282" s="163"/>
      <c r="R282" s="163"/>
      <c r="S282" s="163"/>
      <c r="T282" s="163"/>
      <c r="U282" s="163"/>
      <c r="V282" s="163"/>
      <c r="W282" s="163"/>
      <c r="X282" s="163"/>
      <c r="Y282" s="163"/>
      <c r="Z282" s="163"/>
    </row>
    <row r="283" spans="16:26" ht="10.199999999999999" customHeight="1">
      <c r="P283" s="163"/>
      <c r="Q283" s="163"/>
      <c r="R283" s="163"/>
      <c r="S283" s="163"/>
      <c r="T283" s="163"/>
      <c r="U283" s="163"/>
      <c r="V283" s="163"/>
      <c r="W283" s="163"/>
      <c r="X283" s="163"/>
      <c r="Y283" s="163"/>
      <c r="Z283" s="163"/>
    </row>
    <row r="284" spans="16:26" ht="10.199999999999999" customHeight="1">
      <c r="P284" s="163"/>
      <c r="Q284" s="163"/>
      <c r="R284" s="163"/>
      <c r="S284" s="163"/>
      <c r="T284" s="163"/>
      <c r="U284" s="163"/>
      <c r="V284" s="163"/>
      <c r="W284" s="163"/>
      <c r="X284" s="163"/>
      <c r="Y284" s="163"/>
      <c r="Z284" s="163"/>
    </row>
    <row r="285" spans="16:26" ht="10.199999999999999" customHeight="1">
      <c r="P285" s="163"/>
      <c r="Q285" s="163"/>
      <c r="R285" s="163"/>
      <c r="S285" s="163"/>
      <c r="T285" s="163"/>
      <c r="U285" s="163"/>
      <c r="V285" s="163"/>
      <c r="W285" s="163"/>
      <c r="X285" s="163"/>
      <c r="Y285" s="163"/>
      <c r="Z285" s="163"/>
    </row>
    <row r="286" spans="16:26" ht="10.199999999999999" customHeight="1">
      <c r="P286" s="163"/>
      <c r="Q286" s="163"/>
      <c r="R286" s="163"/>
      <c r="S286" s="163"/>
      <c r="T286" s="163"/>
      <c r="U286" s="163"/>
      <c r="V286" s="163"/>
      <c r="W286" s="163"/>
      <c r="X286" s="163"/>
      <c r="Y286" s="163"/>
      <c r="Z286" s="163"/>
    </row>
    <row r="287" spans="16:26" ht="10.199999999999999" customHeight="1">
      <c r="P287" s="163"/>
      <c r="Q287" s="163"/>
      <c r="R287" s="163"/>
      <c r="S287" s="163"/>
      <c r="T287" s="163"/>
      <c r="U287" s="163"/>
      <c r="V287" s="163"/>
      <c r="W287" s="163"/>
      <c r="X287" s="163"/>
      <c r="Y287" s="163"/>
      <c r="Z287" s="163"/>
    </row>
    <row r="288" spans="16:26" ht="10.199999999999999" customHeight="1">
      <c r="P288" s="163"/>
      <c r="Q288" s="163"/>
      <c r="R288" s="163"/>
      <c r="S288" s="163"/>
      <c r="T288" s="163"/>
      <c r="U288" s="163"/>
      <c r="V288" s="163"/>
      <c r="W288" s="163"/>
      <c r="X288" s="163"/>
      <c r="Y288" s="163"/>
      <c r="Z288" s="163"/>
    </row>
    <row r="289" spans="16:26" ht="10.199999999999999" customHeight="1">
      <c r="P289" s="163"/>
      <c r="Q289" s="163"/>
      <c r="R289" s="163"/>
      <c r="S289" s="163"/>
      <c r="T289" s="163"/>
      <c r="U289" s="163"/>
      <c r="V289" s="163"/>
      <c r="W289" s="163"/>
      <c r="X289" s="163"/>
      <c r="Y289" s="163"/>
      <c r="Z289" s="163"/>
    </row>
    <row r="290" spans="16:26" ht="10.199999999999999" customHeight="1">
      <c r="P290" s="163"/>
      <c r="Q290" s="163"/>
      <c r="R290" s="163"/>
      <c r="S290" s="163"/>
      <c r="T290" s="163"/>
      <c r="U290" s="163"/>
      <c r="V290" s="163"/>
      <c r="W290" s="163"/>
      <c r="X290" s="163"/>
      <c r="Y290" s="163"/>
      <c r="Z290" s="163"/>
    </row>
    <row r="291" spans="16:26" ht="10.199999999999999" customHeight="1">
      <c r="P291" s="163"/>
      <c r="Q291" s="163"/>
      <c r="R291" s="163"/>
      <c r="S291" s="163"/>
      <c r="T291" s="163"/>
      <c r="U291" s="163"/>
      <c r="V291" s="163"/>
      <c r="W291" s="163"/>
      <c r="X291" s="163"/>
      <c r="Y291" s="163"/>
      <c r="Z291" s="163"/>
    </row>
    <row r="292" spans="16:26" ht="10.199999999999999" customHeight="1">
      <c r="P292" s="163"/>
      <c r="Q292" s="163"/>
      <c r="R292" s="163"/>
      <c r="S292" s="163"/>
      <c r="T292" s="163"/>
      <c r="U292" s="163"/>
      <c r="V292" s="163"/>
      <c r="W292" s="163"/>
      <c r="X292" s="163"/>
      <c r="Y292" s="163"/>
      <c r="Z292" s="163"/>
    </row>
    <row r="293" spans="16:26" ht="10.199999999999999" customHeight="1">
      <c r="P293" s="163"/>
      <c r="Q293" s="163"/>
      <c r="R293" s="163"/>
      <c r="S293" s="163"/>
      <c r="T293" s="163"/>
      <c r="U293" s="163"/>
      <c r="V293" s="163"/>
      <c r="W293" s="163"/>
      <c r="X293" s="163"/>
      <c r="Y293" s="163"/>
      <c r="Z293" s="163"/>
    </row>
    <row r="294" spans="16:26" ht="10.199999999999999" customHeight="1">
      <c r="P294" s="163"/>
      <c r="Q294" s="163"/>
      <c r="R294" s="163"/>
      <c r="S294" s="163"/>
      <c r="T294" s="163"/>
      <c r="U294" s="163"/>
      <c r="V294" s="163"/>
      <c r="W294" s="163"/>
      <c r="X294" s="163"/>
      <c r="Y294" s="163"/>
      <c r="Z294" s="163"/>
    </row>
    <row r="295" spans="16:26" ht="10.199999999999999" customHeight="1">
      <c r="P295" s="163"/>
      <c r="Q295" s="163"/>
      <c r="R295" s="163"/>
      <c r="S295" s="163"/>
      <c r="T295" s="163"/>
      <c r="U295" s="163"/>
      <c r="V295" s="163"/>
      <c r="W295" s="163"/>
      <c r="X295" s="163"/>
      <c r="Y295" s="163"/>
      <c r="Z295" s="163"/>
    </row>
    <row r="296" spans="16:26" ht="10.199999999999999" customHeight="1">
      <c r="P296" s="163"/>
      <c r="Q296" s="163"/>
      <c r="R296" s="163"/>
      <c r="S296" s="163"/>
      <c r="T296" s="163"/>
      <c r="U296" s="163"/>
      <c r="V296" s="163"/>
      <c r="W296" s="163"/>
      <c r="X296" s="163"/>
      <c r="Y296" s="163"/>
      <c r="Z296" s="163"/>
    </row>
    <row r="297" spans="16:26" ht="10.199999999999999" customHeight="1">
      <c r="P297" s="163"/>
      <c r="Q297" s="163"/>
      <c r="R297" s="163"/>
      <c r="S297" s="163"/>
      <c r="T297" s="163"/>
      <c r="U297" s="163"/>
      <c r="V297" s="163"/>
      <c r="W297" s="163"/>
      <c r="X297" s="163"/>
      <c r="Y297" s="163"/>
      <c r="Z297" s="163"/>
    </row>
    <row r="298" spans="16:26" ht="10.199999999999999" customHeight="1">
      <c r="P298" s="163"/>
      <c r="Q298" s="163"/>
      <c r="R298" s="163"/>
      <c r="S298" s="163"/>
      <c r="T298" s="163"/>
      <c r="U298" s="163"/>
      <c r="V298" s="163"/>
      <c r="W298" s="163"/>
      <c r="X298" s="163"/>
      <c r="Y298" s="163"/>
      <c r="Z298" s="163"/>
    </row>
    <row r="299" spans="16:26" ht="10.199999999999999" customHeight="1">
      <c r="P299" s="163"/>
      <c r="Q299" s="163"/>
      <c r="R299" s="163"/>
      <c r="S299" s="163"/>
      <c r="T299" s="163"/>
      <c r="U299" s="163"/>
      <c r="V299" s="163"/>
      <c r="W299" s="163"/>
      <c r="X299" s="163"/>
      <c r="Y299" s="163"/>
      <c r="Z299" s="163"/>
    </row>
    <row r="300" spans="16:26" ht="10.199999999999999" customHeight="1">
      <c r="P300" s="163"/>
      <c r="Q300" s="163"/>
      <c r="R300" s="163"/>
      <c r="S300" s="163"/>
      <c r="T300" s="163"/>
      <c r="U300" s="163"/>
      <c r="V300" s="163"/>
      <c r="W300" s="163"/>
      <c r="X300" s="163"/>
      <c r="Y300" s="163"/>
      <c r="Z300" s="163"/>
    </row>
    <row r="301" spans="16:26" ht="10.199999999999999" customHeight="1">
      <c r="P301" s="163"/>
      <c r="Q301" s="163"/>
      <c r="R301" s="163"/>
      <c r="S301" s="163"/>
      <c r="T301" s="163"/>
      <c r="U301" s="163"/>
      <c r="V301" s="163"/>
      <c r="W301" s="163"/>
      <c r="X301" s="163"/>
      <c r="Y301" s="163"/>
      <c r="Z301" s="163"/>
    </row>
    <row r="302" spans="16:26" ht="10.199999999999999" customHeight="1">
      <c r="P302" s="163"/>
      <c r="Q302" s="163"/>
      <c r="R302" s="163"/>
      <c r="S302" s="163"/>
      <c r="T302" s="163"/>
      <c r="U302" s="163"/>
      <c r="V302" s="163"/>
      <c r="W302" s="163"/>
      <c r="X302" s="163"/>
      <c r="Y302" s="163"/>
      <c r="Z302" s="163"/>
    </row>
    <row r="303" spans="16:26" ht="10.199999999999999" customHeight="1">
      <c r="P303" s="163"/>
      <c r="Q303" s="163"/>
      <c r="R303" s="163"/>
      <c r="S303" s="163"/>
      <c r="T303" s="163"/>
      <c r="U303" s="163"/>
      <c r="V303" s="163"/>
      <c r="W303" s="163"/>
      <c r="X303" s="163"/>
      <c r="Y303" s="163"/>
      <c r="Z303" s="163"/>
    </row>
    <row r="304" spans="16:26" ht="10.199999999999999" customHeight="1">
      <c r="P304" s="163"/>
      <c r="Q304" s="163"/>
      <c r="R304" s="163"/>
      <c r="S304" s="163"/>
      <c r="T304" s="163"/>
      <c r="U304" s="163"/>
      <c r="V304" s="163"/>
      <c r="W304" s="163"/>
      <c r="X304" s="163"/>
      <c r="Y304" s="163"/>
      <c r="Z304" s="163"/>
    </row>
    <row r="305" spans="16:26" ht="10.199999999999999" customHeight="1">
      <c r="P305" s="163"/>
      <c r="Q305" s="163"/>
      <c r="R305" s="163"/>
      <c r="S305" s="163"/>
      <c r="T305" s="163"/>
      <c r="U305" s="163"/>
      <c r="V305" s="163"/>
      <c r="W305" s="163"/>
      <c r="X305" s="163"/>
      <c r="Y305" s="163"/>
      <c r="Z305" s="163"/>
    </row>
    <row r="306" spans="16:26" ht="10.199999999999999" customHeight="1">
      <c r="P306" s="163"/>
      <c r="Q306" s="163"/>
      <c r="R306" s="163"/>
      <c r="S306" s="163"/>
      <c r="T306" s="163"/>
      <c r="U306" s="163"/>
      <c r="V306" s="163"/>
      <c r="W306" s="163"/>
      <c r="X306" s="163"/>
      <c r="Y306" s="163"/>
      <c r="Z306" s="163"/>
    </row>
    <row r="307" spans="16:26" ht="10.199999999999999" customHeight="1">
      <c r="P307" s="163"/>
      <c r="Q307" s="163"/>
      <c r="R307" s="163"/>
      <c r="S307" s="163"/>
      <c r="T307" s="163"/>
      <c r="U307" s="163"/>
      <c r="V307" s="163"/>
      <c r="W307" s="163"/>
      <c r="X307" s="163"/>
      <c r="Y307" s="163"/>
      <c r="Z307" s="163"/>
    </row>
    <row r="308" spans="16:26" ht="10.199999999999999" customHeight="1">
      <c r="P308" s="163"/>
      <c r="Q308" s="163"/>
      <c r="R308" s="163"/>
      <c r="S308" s="163"/>
      <c r="T308" s="163"/>
      <c r="U308" s="163"/>
      <c r="V308" s="163"/>
      <c r="W308" s="163"/>
      <c r="X308" s="163"/>
      <c r="Y308" s="163"/>
      <c r="Z308" s="163"/>
    </row>
    <row r="309" spans="16:26" ht="10.199999999999999" customHeight="1">
      <c r="P309" s="163"/>
      <c r="Q309" s="163"/>
      <c r="R309" s="163"/>
      <c r="S309" s="163"/>
      <c r="T309" s="163"/>
      <c r="U309" s="163"/>
      <c r="V309" s="163"/>
      <c r="W309" s="163"/>
      <c r="X309" s="163"/>
      <c r="Y309" s="163"/>
      <c r="Z309" s="163"/>
    </row>
    <row r="310" spans="16:26" ht="10.199999999999999" customHeight="1">
      <c r="P310" s="163"/>
      <c r="Q310" s="163"/>
      <c r="R310" s="163"/>
      <c r="S310" s="163"/>
      <c r="T310" s="163"/>
      <c r="U310" s="163"/>
      <c r="V310" s="163"/>
      <c r="W310" s="163"/>
      <c r="X310" s="163"/>
      <c r="Y310" s="163"/>
      <c r="Z310" s="163"/>
    </row>
    <row r="311" spans="16:26" ht="10.199999999999999" customHeight="1">
      <c r="P311" s="163"/>
      <c r="Q311" s="163"/>
      <c r="R311" s="163"/>
      <c r="S311" s="163"/>
      <c r="T311" s="163"/>
      <c r="U311" s="163"/>
      <c r="V311" s="163"/>
      <c r="W311" s="163"/>
      <c r="X311" s="163"/>
      <c r="Y311" s="163"/>
      <c r="Z311" s="163"/>
    </row>
    <row r="312" spans="16:26" ht="10.199999999999999" customHeight="1">
      <c r="P312" s="163"/>
      <c r="Q312" s="163"/>
      <c r="R312" s="163"/>
      <c r="S312" s="163"/>
      <c r="T312" s="163"/>
      <c r="U312" s="163"/>
      <c r="V312" s="163"/>
      <c r="W312" s="163"/>
      <c r="X312" s="163"/>
      <c r="Y312" s="163"/>
      <c r="Z312" s="163"/>
    </row>
    <row r="313" spans="16:26" ht="10.199999999999999" customHeight="1">
      <c r="P313" s="163"/>
      <c r="Q313" s="163"/>
      <c r="R313" s="163"/>
      <c r="S313" s="163"/>
      <c r="T313" s="163"/>
      <c r="U313" s="163"/>
      <c r="V313" s="163"/>
      <c r="W313" s="163"/>
      <c r="X313" s="163"/>
      <c r="Y313" s="163"/>
      <c r="Z313" s="163"/>
    </row>
    <row r="314" spans="16:26" ht="10.199999999999999" customHeight="1">
      <c r="P314" s="163"/>
      <c r="Q314" s="163"/>
      <c r="R314" s="163"/>
      <c r="S314" s="163"/>
      <c r="T314" s="163"/>
      <c r="U314" s="163"/>
      <c r="V314" s="163"/>
      <c r="W314" s="163"/>
      <c r="X314" s="163"/>
      <c r="Y314" s="163"/>
      <c r="Z314" s="163"/>
    </row>
    <row r="315" spans="16:26" ht="10.199999999999999" customHeight="1">
      <c r="P315" s="163"/>
      <c r="Q315" s="163"/>
      <c r="R315" s="163"/>
      <c r="S315" s="163"/>
      <c r="T315" s="163"/>
      <c r="U315" s="163"/>
      <c r="V315" s="163"/>
      <c r="W315" s="163"/>
      <c r="X315" s="163"/>
      <c r="Y315" s="163"/>
      <c r="Z315" s="163"/>
    </row>
    <row r="316" spans="16:26" ht="10.199999999999999" customHeight="1">
      <c r="P316" s="163"/>
      <c r="Q316" s="163"/>
      <c r="R316" s="163"/>
      <c r="S316" s="163"/>
      <c r="T316" s="163"/>
      <c r="U316" s="163"/>
      <c r="V316" s="163"/>
      <c r="W316" s="163"/>
      <c r="X316" s="163"/>
      <c r="Y316" s="163"/>
      <c r="Z316" s="163"/>
    </row>
    <row r="317" spans="16:26" ht="10.199999999999999" customHeight="1">
      <c r="P317" s="163"/>
      <c r="Q317" s="163"/>
      <c r="R317" s="163"/>
      <c r="S317" s="163"/>
      <c r="T317" s="163"/>
      <c r="U317" s="163"/>
      <c r="V317" s="163"/>
      <c r="W317" s="163"/>
      <c r="X317" s="163"/>
      <c r="Y317" s="163"/>
      <c r="Z317" s="163"/>
    </row>
    <row r="318" spans="16:26" ht="10.199999999999999" customHeight="1">
      <c r="P318" s="163"/>
      <c r="Q318" s="163"/>
      <c r="R318" s="163"/>
      <c r="S318" s="163"/>
      <c r="T318" s="163"/>
      <c r="U318" s="163"/>
      <c r="V318" s="163"/>
      <c r="W318" s="163"/>
      <c r="X318" s="163"/>
      <c r="Y318" s="163"/>
      <c r="Z318" s="163"/>
    </row>
    <row r="319" spans="16:26" ht="10.199999999999999" customHeight="1">
      <c r="P319" s="163"/>
      <c r="Q319" s="163"/>
      <c r="R319" s="163"/>
      <c r="S319" s="163"/>
      <c r="T319" s="163"/>
      <c r="U319" s="163"/>
      <c r="V319" s="163"/>
      <c r="W319" s="163"/>
      <c r="X319" s="163"/>
      <c r="Y319" s="163"/>
      <c r="Z319" s="163"/>
    </row>
    <row r="320" spans="16:26" ht="10.199999999999999" customHeight="1">
      <c r="P320" s="163"/>
      <c r="Q320" s="163"/>
      <c r="R320" s="163"/>
      <c r="S320" s="163"/>
      <c r="T320" s="163"/>
      <c r="U320" s="163"/>
      <c r="V320" s="163"/>
      <c r="W320" s="163"/>
      <c r="X320" s="163"/>
      <c r="Y320" s="163"/>
      <c r="Z320" s="163"/>
    </row>
    <row r="321" spans="16:26" ht="10.199999999999999" customHeight="1">
      <c r="P321" s="163"/>
      <c r="Q321" s="163"/>
      <c r="R321" s="163"/>
      <c r="S321" s="163"/>
      <c r="T321" s="163"/>
      <c r="U321" s="163"/>
      <c r="V321" s="163"/>
      <c r="W321" s="163"/>
      <c r="X321" s="163"/>
      <c r="Y321" s="163"/>
      <c r="Z321" s="163"/>
    </row>
    <row r="322" spans="16:26" ht="10.199999999999999" customHeight="1">
      <c r="P322" s="163"/>
      <c r="Q322" s="163"/>
      <c r="R322" s="163"/>
      <c r="S322" s="163"/>
      <c r="T322" s="163"/>
      <c r="U322" s="163"/>
      <c r="V322" s="163"/>
      <c r="W322" s="163"/>
      <c r="X322" s="163"/>
      <c r="Y322" s="163"/>
      <c r="Z322" s="163"/>
    </row>
    <row r="323" spans="16:26" ht="10.199999999999999" customHeight="1">
      <c r="P323" s="163"/>
      <c r="Q323" s="163"/>
      <c r="R323" s="163"/>
      <c r="S323" s="163"/>
      <c r="T323" s="163"/>
      <c r="U323" s="163"/>
      <c r="V323" s="163"/>
      <c r="W323" s="163"/>
      <c r="X323" s="163"/>
      <c r="Y323" s="163"/>
      <c r="Z323" s="163"/>
    </row>
    <row r="324" spans="16:26" ht="10.199999999999999" customHeight="1">
      <c r="P324" s="163"/>
      <c r="Q324" s="163"/>
      <c r="R324" s="163"/>
      <c r="S324" s="163"/>
      <c r="T324" s="163"/>
      <c r="U324" s="163"/>
      <c r="V324" s="163"/>
      <c r="W324" s="163"/>
      <c r="X324" s="163"/>
      <c r="Y324" s="163"/>
      <c r="Z324" s="163"/>
    </row>
    <row r="325" spans="16:26" ht="10.199999999999999" customHeight="1">
      <c r="P325" s="163"/>
      <c r="Q325" s="163"/>
      <c r="R325" s="163"/>
      <c r="S325" s="163"/>
      <c r="T325" s="163"/>
      <c r="U325" s="163"/>
      <c r="V325" s="163"/>
      <c r="W325" s="163"/>
      <c r="X325" s="163"/>
      <c r="Y325" s="163"/>
      <c r="Z325" s="163"/>
    </row>
    <row r="326" spans="16:26" ht="10.199999999999999" customHeight="1">
      <c r="P326" s="163"/>
      <c r="Q326" s="163"/>
      <c r="R326" s="163"/>
      <c r="S326" s="163"/>
      <c r="T326" s="163"/>
      <c r="U326" s="163"/>
      <c r="V326" s="163"/>
      <c r="W326" s="163"/>
      <c r="X326" s="163"/>
      <c r="Y326" s="163"/>
      <c r="Z326" s="163"/>
    </row>
    <row r="327" spans="16:26" ht="10.199999999999999" customHeight="1">
      <c r="P327" s="163"/>
      <c r="Q327" s="163"/>
      <c r="R327" s="163"/>
      <c r="S327" s="163"/>
      <c r="T327" s="163"/>
      <c r="U327" s="163"/>
      <c r="V327" s="163"/>
      <c r="W327" s="163"/>
      <c r="X327" s="163"/>
      <c r="Y327" s="163"/>
      <c r="Z327" s="163"/>
    </row>
    <row r="328" spans="16:26" ht="10.199999999999999" customHeight="1">
      <c r="P328" s="163"/>
      <c r="Q328" s="163"/>
      <c r="R328" s="163"/>
      <c r="S328" s="163"/>
      <c r="T328" s="163"/>
      <c r="U328" s="163"/>
      <c r="V328" s="163"/>
      <c r="W328" s="163"/>
      <c r="X328" s="163"/>
      <c r="Y328" s="163"/>
      <c r="Z328" s="163"/>
    </row>
    <row r="329" spans="16:26" ht="10.199999999999999" customHeight="1">
      <c r="P329" s="163"/>
      <c r="Q329" s="163"/>
      <c r="R329" s="163"/>
      <c r="S329" s="163"/>
      <c r="T329" s="163"/>
      <c r="U329" s="163"/>
      <c r="V329" s="163"/>
      <c r="W329" s="163"/>
      <c r="X329" s="163"/>
      <c r="Y329" s="163"/>
      <c r="Z329" s="163"/>
    </row>
    <row r="330" spans="16:26" ht="10.199999999999999" customHeight="1">
      <c r="P330" s="163"/>
      <c r="Q330" s="163"/>
      <c r="R330" s="163"/>
      <c r="S330" s="163"/>
      <c r="T330" s="163"/>
      <c r="U330" s="163"/>
      <c r="V330" s="163"/>
      <c r="W330" s="163"/>
      <c r="X330" s="163"/>
      <c r="Y330" s="163"/>
      <c r="Z330" s="163"/>
    </row>
    <row r="331" spans="16:26" ht="10.199999999999999" customHeight="1">
      <c r="P331" s="163"/>
      <c r="Q331" s="163"/>
      <c r="R331" s="163"/>
      <c r="S331" s="163"/>
      <c r="T331" s="163"/>
      <c r="U331" s="163"/>
      <c r="V331" s="163"/>
      <c r="W331" s="163"/>
      <c r="X331" s="163"/>
      <c r="Y331" s="163"/>
      <c r="Z331" s="163"/>
    </row>
    <row r="332" spans="16:26" ht="10.199999999999999" customHeight="1">
      <c r="P332" s="163"/>
      <c r="Q332" s="163"/>
      <c r="R332" s="163"/>
      <c r="S332" s="163"/>
      <c r="T332" s="163"/>
      <c r="U332" s="163"/>
      <c r="V332" s="163"/>
      <c r="W332" s="163"/>
      <c r="X332" s="163"/>
      <c r="Y332" s="163"/>
      <c r="Z332" s="163"/>
    </row>
    <row r="333" spans="16:26" ht="10.199999999999999" customHeight="1">
      <c r="P333" s="163"/>
      <c r="Q333" s="163"/>
      <c r="R333" s="163"/>
      <c r="S333" s="163"/>
      <c r="T333" s="163"/>
      <c r="U333" s="163"/>
      <c r="V333" s="163"/>
      <c r="W333" s="163"/>
      <c r="X333" s="163"/>
      <c r="Y333" s="163"/>
      <c r="Z333" s="163"/>
    </row>
    <row r="334" spans="16:26" ht="10.199999999999999" customHeight="1">
      <c r="P334" s="163"/>
      <c r="Q334" s="163"/>
      <c r="R334" s="163"/>
      <c r="S334" s="163"/>
      <c r="T334" s="163"/>
      <c r="U334" s="163"/>
      <c r="V334" s="163"/>
      <c r="W334" s="163"/>
      <c r="X334" s="163"/>
      <c r="Y334" s="163"/>
      <c r="Z334" s="163"/>
    </row>
    <row r="335" spans="16:26" ht="10.199999999999999" customHeight="1">
      <c r="P335" s="163"/>
      <c r="Q335" s="163"/>
      <c r="R335" s="163"/>
      <c r="S335" s="163"/>
      <c r="T335" s="163"/>
      <c r="U335" s="163"/>
      <c r="V335" s="163"/>
      <c r="W335" s="163"/>
      <c r="X335" s="163"/>
      <c r="Y335" s="163"/>
      <c r="Z335" s="163"/>
    </row>
    <row r="336" spans="16:26" ht="10.199999999999999" customHeight="1">
      <c r="P336" s="163"/>
      <c r="Q336" s="163"/>
      <c r="R336" s="163"/>
      <c r="S336" s="163"/>
      <c r="T336" s="163"/>
      <c r="U336" s="163"/>
      <c r="V336" s="163"/>
      <c r="W336" s="163"/>
      <c r="X336" s="163"/>
      <c r="Y336" s="163"/>
      <c r="Z336" s="163"/>
    </row>
    <row r="337" spans="16:26" ht="10.199999999999999" customHeight="1">
      <c r="P337" s="163"/>
      <c r="Q337" s="163"/>
      <c r="R337" s="163"/>
      <c r="S337" s="163"/>
      <c r="T337" s="163"/>
      <c r="U337" s="163"/>
      <c r="V337" s="163"/>
      <c r="W337" s="163"/>
      <c r="X337" s="163"/>
      <c r="Y337" s="163"/>
      <c r="Z337" s="163"/>
    </row>
    <row r="338" spans="16:26" ht="10.199999999999999" customHeight="1">
      <c r="P338" s="163"/>
      <c r="Q338" s="163"/>
      <c r="R338" s="163"/>
      <c r="S338" s="163"/>
      <c r="T338" s="163"/>
      <c r="U338" s="163"/>
      <c r="V338" s="163"/>
      <c r="W338" s="163"/>
      <c r="X338" s="163"/>
      <c r="Y338" s="163"/>
      <c r="Z338" s="163"/>
    </row>
    <row r="339" spans="16:26" ht="10.199999999999999" customHeight="1">
      <c r="P339" s="163"/>
      <c r="Q339" s="163"/>
      <c r="R339" s="163"/>
      <c r="S339" s="163"/>
      <c r="T339" s="163"/>
      <c r="U339" s="163"/>
      <c r="V339" s="163"/>
      <c r="W339" s="163"/>
      <c r="X339" s="163"/>
      <c r="Y339" s="163"/>
      <c r="Z339" s="163"/>
    </row>
    <row r="340" spans="16:26" ht="10.199999999999999" customHeight="1">
      <c r="P340" s="163"/>
      <c r="Q340" s="163"/>
      <c r="R340" s="163"/>
      <c r="S340" s="163"/>
      <c r="T340" s="163"/>
      <c r="U340" s="163"/>
      <c r="V340" s="163"/>
      <c r="W340" s="163"/>
      <c r="X340" s="163"/>
      <c r="Y340" s="163"/>
      <c r="Z340" s="163"/>
    </row>
    <row r="341" spans="16:26" ht="10.199999999999999" customHeight="1">
      <c r="P341" s="163"/>
      <c r="Q341" s="163"/>
      <c r="R341" s="163"/>
      <c r="S341" s="163"/>
      <c r="T341" s="163"/>
      <c r="U341" s="163"/>
      <c r="V341" s="163"/>
      <c r="W341" s="163"/>
      <c r="X341" s="163"/>
      <c r="Y341" s="163"/>
      <c r="Z341" s="163"/>
    </row>
    <row r="342" spans="16:26" ht="10.199999999999999" customHeight="1">
      <c r="P342" s="163"/>
      <c r="Q342" s="163"/>
      <c r="R342" s="163"/>
      <c r="S342" s="163"/>
      <c r="T342" s="163"/>
      <c r="U342" s="163"/>
      <c r="V342" s="163"/>
      <c r="W342" s="163"/>
      <c r="X342" s="163"/>
      <c r="Y342" s="163"/>
      <c r="Z342" s="163"/>
    </row>
    <row r="343" spans="16:26" ht="10.199999999999999" customHeight="1">
      <c r="P343" s="163"/>
      <c r="Q343" s="163"/>
      <c r="R343" s="163"/>
      <c r="S343" s="163"/>
      <c r="T343" s="163"/>
      <c r="U343" s="163"/>
      <c r="V343" s="163"/>
      <c r="W343" s="163"/>
      <c r="X343" s="163"/>
      <c r="Y343" s="163"/>
      <c r="Z343" s="163"/>
    </row>
    <row r="344" spans="16:26" ht="10.199999999999999" customHeight="1">
      <c r="P344" s="163"/>
      <c r="Q344" s="163"/>
      <c r="R344" s="163"/>
      <c r="S344" s="163"/>
      <c r="T344" s="163"/>
      <c r="U344" s="163"/>
      <c r="V344" s="163"/>
      <c r="W344" s="163"/>
      <c r="X344" s="163"/>
      <c r="Y344" s="163"/>
      <c r="Z344" s="163"/>
    </row>
    <row r="345" spans="16:26" ht="10.199999999999999" customHeight="1">
      <c r="P345" s="163"/>
      <c r="Q345" s="163"/>
      <c r="R345" s="163"/>
      <c r="S345" s="163"/>
      <c r="T345" s="163"/>
      <c r="U345" s="163"/>
      <c r="V345" s="163"/>
      <c r="W345" s="163"/>
      <c r="X345" s="163"/>
      <c r="Y345" s="163"/>
      <c r="Z345" s="163"/>
    </row>
    <row r="346" spans="16:26" ht="10.199999999999999" customHeight="1">
      <c r="P346" s="163"/>
      <c r="Q346" s="163"/>
      <c r="R346" s="163"/>
      <c r="S346" s="163"/>
      <c r="T346" s="163"/>
      <c r="U346" s="163"/>
      <c r="V346" s="163"/>
      <c r="W346" s="163"/>
      <c r="X346" s="163"/>
      <c r="Y346" s="163"/>
      <c r="Z346" s="163"/>
    </row>
    <row r="347" spans="16:26" ht="10.199999999999999" customHeight="1">
      <c r="P347" s="163"/>
      <c r="Q347" s="163"/>
      <c r="R347" s="163"/>
      <c r="S347" s="163"/>
      <c r="T347" s="163"/>
      <c r="U347" s="163"/>
      <c r="V347" s="163"/>
      <c r="W347" s="163"/>
      <c r="X347" s="163"/>
      <c r="Y347" s="163"/>
      <c r="Z347" s="163"/>
    </row>
    <row r="348" spans="16:26" ht="10.199999999999999" customHeight="1">
      <c r="P348" s="163"/>
      <c r="Q348" s="163"/>
      <c r="R348" s="163"/>
      <c r="S348" s="163"/>
      <c r="T348" s="163"/>
      <c r="U348" s="163"/>
      <c r="V348" s="163"/>
      <c r="W348" s="163"/>
      <c r="X348" s="163"/>
      <c r="Y348" s="163"/>
      <c r="Z348" s="163"/>
    </row>
    <row r="349" spans="16:26" ht="10.199999999999999" customHeight="1">
      <c r="P349" s="163"/>
      <c r="Q349" s="163"/>
      <c r="R349" s="163"/>
      <c r="S349" s="163"/>
      <c r="T349" s="163"/>
      <c r="U349" s="163"/>
      <c r="V349" s="163"/>
      <c r="W349" s="163"/>
      <c r="X349" s="163"/>
      <c r="Y349" s="163"/>
      <c r="Z349" s="163"/>
    </row>
    <row r="350" spans="16:26" ht="10.199999999999999" customHeight="1">
      <c r="P350" s="163"/>
      <c r="Q350" s="163"/>
      <c r="R350" s="163"/>
      <c r="S350" s="163"/>
      <c r="T350" s="163"/>
      <c r="U350" s="163"/>
      <c r="V350" s="163"/>
      <c r="W350" s="163"/>
      <c r="X350" s="163"/>
      <c r="Y350" s="163"/>
      <c r="Z350" s="163"/>
    </row>
    <row r="351" spans="16:26" ht="10.199999999999999" customHeight="1">
      <c r="P351" s="163"/>
      <c r="Q351" s="163"/>
      <c r="R351" s="163"/>
      <c r="S351" s="163"/>
      <c r="T351" s="163"/>
      <c r="U351" s="163"/>
      <c r="V351" s="163"/>
      <c r="W351" s="163"/>
      <c r="X351" s="163"/>
      <c r="Y351" s="163"/>
      <c r="Z351" s="163"/>
    </row>
    <row r="352" spans="16:26" ht="10.199999999999999" customHeight="1">
      <c r="P352" s="163"/>
      <c r="Q352" s="163"/>
      <c r="R352" s="163"/>
      <c r="S352" s="163"/>
      <c r="T352" s="163"/>
      <c r="U352" s="163"/>
      <c r="V352" s="163"/>
      <c r="W352" s="163"/>
      <c r="X352" s="163"/>
      <c r="Y352" s="163"/>
      <c r="Z352" s="163"/>
    </row>
    <row r="353" spans="16:26" ht="10.199999999999999" customHeight="1">
      <c r="P353" s="163"/>
      <c r="Q353" s="163"/>
      <c r="R353" s="163"/>
      <c r="S353" s="163"/>
      <c r="T353" s="163"/>
      <c r="U353" s="163"/>
      <c r="V353" s="163"/>
      <c r="W353" s="163"/>
      <c r="X353" s="163"/>
      <c r="Y353" s="163"/>
      <c r="Z353" s="163"/>
    </row>
    <row r="354" spans="16:26" ht="10.199999999999999" customHeight="1">
      <c r="P354" s="163"/>
      <c r="Q354" s="163"/>
      <c r="R354" s="163"/>
      <c r="S354" s="163"/>
      <c r="T354" s="163"/>
      <c r="U354" s="163"/>
      <c r="V354" s="163"/>
      <c r="W354" s="163"/>
      <c r="X354" s="163"/>
      <c r="Y354" s="163"/>
      <c r="Z354" s="163"/>
    </row>
    <row r="355" spans="16:26" ht="10.199999999999999" customHeight="1">
      <c r="P355" s="163"/>
      <c r="Q355" s="163"/>
      <c r="R355" s="163"/>
      <c r="S355" s="163"/>
      <c r="T355" s="163"/>
      <c r="U355" s="163"/>
      <c r="V355" s="163"/>
      <c r="W355" s="163"/>
      <c r="X355" s="163"/>
      <c r="Y355" s="163"/>
      <c r="Z355" s="163"/>
    </row>
    <row r="356" spans="16:26" ht="10.199999999999999" customHeight="1">
      <c r="P356" s="163"/>
      <c r="Q356" s="163"/>
      <c r="R356" s="163"/>
      <c r="S356" s="163"/>
      <c r="T356" s="163"/>
      <c r="U356" s="163"/>
      <c r="V356" s="163"/>
      <c r="W356" s="163"/>
      <c r="X356" s="163"/>
      <c r="Y356" s="163"/>
      <c r="Z356" s="163"/>
    </row>
    <row r="357" spans="16:26" ht="10.199999999999999" customHeight="1">
      <c r="P357" s="163"/>
      <c r="Q357" s="163"/>
      <c r="R357" s="163"/>
      <c r="S357" s="163"/>
      <c r="T357" s="163"/>
      <c r="U357" s="163"/>
      <c r="V357" s="163"/>
      <c r="W357" s="163"/>
      <c r="X357" s="163"/>
      <c r="Y357" s="163"/>
      <c r="Z357" s="163"/>
    </row>
    <row r="358" spans="16:26" ht="10.199999999999999" customHeight="1">
      <c r="P358" s="163"/>
      <c r="Q358" s="163"/>
      <c r="R358" s="163"/>
      <c r="S358" s="163"/>
      <c r="T358" s="163"/>
      <c r="U358" s="163"/>
      <c r="V358" s="163"/>
      <c r="W358" s="163"/>
      <c r="X358" s="163"/>
      <c r="Y358" s="163"/>
      <c r="Z358" s="163"/>
    </row>
    <row r="359" spans="16:26" ht="10.199999999999999" customHeight="1">
      <c r="P359" s="163"/>
      <c r="Q359" s="163"/>
      <c r="R359" s="163"/>
      <c r="S359" s="163"/>
      <c r="T359" s="163"/>
      <c r="U359" s="163"/>
      <c r="V359" s="163"/>
      <c r="W359" s="163"/>
      <c r="X359" s="163"/>
      <c r="Y359" s="163"/>
      <c r="Z359" s="163"/>
    </row>
    <row r="360" spans="16:26" ht="10.199999999999999" customHeight="1">
      <c r="P360" s="163"/>
      <c r="Q360" s="163"/>
      <c r="R360" s="163"/>
      <c r="S360" s="163"/>
      <c r="T360" s="163"/>
      <c r="U360" s="163"/>
      <c r="V360" s="163"/>
      <c r="W360" s="163"/>
      <c r="X360" s="163"/>
      <c r="Y360" s="163"/>
      <c r="Z360" s="163"/>
    </row>
    <row r="361" spans="16:26" ht="10.199999999999999" customHeight="1">
      <c r="P361" s="163"/>
      <c r="Q361" s="163"/>
      <c r="R361" s="163"/>
      <c r="S361" s="163"/>
      <c r="T361" s="163"/>
      <c r="U361" s="163"/>
      <c r="V361" s="163"/>
      <c r="W361" s="163"/>
      <c r="X361" s="163"/>
      <c r="Y361" s="163"/>
      <c r="Z361" s="163"/>
    </row>
    <row r="362" spans="16:26" ht="10.199999999999999" customHeight="1">
      <c r="P362" s="163"/>
      <c r="Q362" s="163"/>
      <c r="R362" s="163"/>
      <c r="S362" s="163"/>
      <c r="T362" s="163"/>
      <c r="U362" s="163"/>
      <c r="V362" s="163"/>
      <c r="W362" s="163"/>
      <c r="X362" s="163"/>
      <c r="Y362" s="163"/>
      <c r="Z362" s="163"/>
    </row>
    <row r="363" spans="16:26" ht="10.199999999999999" customHeight="1">
      <c r="P363" s="163"/>
      <c r="Q363" s="163"/>
      <c r="R363" s="163"/>
      <c r="S363" s="163"/>
      <c r="T363" s="163"/>
      <c r="U363" s="163"/>
      <c r="V363" s="163"/>
      <c r="W363" s="163"/>
      <c r="X363" s="163"/>
      <c r="Y363" s="163"/>
      <c r="Z363" s="163"/>
    </row>
    <row r="364" spans="16:26" ht="10.199999999999999" customHeight="1">
      <c r="P364" s="163"/>
      <c r="Q364" s="163"/>
      <c r="R364" s="163"/>
      <c r="S364" s="163"/>
      <c r="T364" s="163"/>
      <c r="U364" s="163"/>
      <c r="V364" s="163"/>
      <c r="W364" s="163"/>
      <c r="X364" s="163"/>
      <c r="Y364" s="163"/>
      <c r="Z364" s="163"/>
    </row>
    <row r="365" spans="16:26" ht="10.199999999999999" customHeight="1">
      <c r="P365" s="163"/>
      <c r="Q365" s="163"/>
      <c r="R365" s="163"/>
      <c r="S365" s="163"/>
      <c r="T365" s="163"/>
      <c r="U365" s="163"/>
      <c r="V365" s="163"/>
      <c r="W365" s="163"/>
      <c r="X365" s="163"/>
      <c r="Y365" s="163"/>
      <c r="Z365" s="163"/>
    </row>
    <row r="366" spans="16:26" ht="10.199999999999999" customHeight="1">
      <c r="P366" s="163"/>
      <c r="Q366" s="163"/>
      <c r="R366" s="163"/>
      <c r="S366" s="163"/>
      <c r="T366" s="163"/>
      <c r="U366" s="163"/>
      <c r="V366" s="163"/>
      <c r="W366" s="163"/>
      <c r="X366" s="163"/>
      <c r="Y366" s="163"/>
      <c r="Z366" s="163"/>
    </row>
    <row r="367" spans="16:26" ht="10.199999999999999" customHeight="1">
      <c r="P367" s="163"/>
      <c r="Q367" s="163"/>
      <c r="R367" s="163"/>
      <c r="S367" s="163"/>
      <c r="T367" s="163"/>
      <c r="U367" s="163"/>
      <c r="V367" s="163"/>
      <c r="W367" s="163"/>
      <c r="X367" s="163"/>
      <c r="Y367" s="163"/>
      <c r="Z367" s="163"/>
    </row>
    <row r="368" spans="16:26" ht="10.199999999999999" customHeight="1">
      <c r="P368" s="163"/>
      <c r="Q368" s="163"/>
      <c r="R368" s="163"/>
      <c r="S368" s="163"/>
      <c r="T368" s="163"/>
      <c r="U368" s="163"/>
      <c r="V368" s="163"/>
      <c r="W368" s="163"/>
      <c r="X368" s="163"/>
      <c r="Y368" s="163"/>
      <c r="Z368" s="163"/>
    </row>
    <row r="369" spans="16:26" ht="10.199999999999999" customHeight="1">
      <c r="P369" s="163"/>
      <c r="Q369" s="163"/>
      <c r="R369" s="163"/>
      <c r="S369" s="163"/>
      <c r="T369" s="163"/>
      <c r="U369" s="163"/>
      <c r="V369" s="163"/>
      <c r="W369" s="163"/>
      <c r="X369" s="163"/>
      <c r="Y369" s="163"/>
      <c r="Z369" s="163"/>
    </row>
    <row r="370" spans="16:26" ht="10.199999999999999" customHeight="1">
      <c r="P370" s="163"/>
      <c r="Q370" s="163"/>
      <c r="R370" s="163"/>
      <c r="S370" s="163"/>
      <c r="T370" s="163"/>
      <c r="U370" s="163"/>
      <c r="V370" s="163"/>
      <c r="W370" s="163"/>
      <c r="X370" s="163"/>
      <c r="Y370" s="163"/>
      <c r="Z370" s="163"/>
    </row>
    <row r="371" spans="16:26" ht="10.199999999999999" customHeight="1">
      <c r="P371" s="163"/>
      <c r="Q371" s="163"/>
      <c r="R371" s="163"/>
      <c r="S371" s="163"/>
      <c r="T371" s="163"/>
      <c r="U371" s="163"/>
      <c r="V371" s="163"/>
      <c r="W371" s="163"/>
      <c r="X371" s="163"/>
      <c r="Y371" s="163"/>
      <c r="Z371" s="163"/>
    </row>
    <row r="372" spans="16:26" ht="10.199999999999999" customHeight="1">
      <c r="P372" s="163"/>
      <c r="Q372" s="163"/>
      <c r="R372" s="163"/>
      <c r="S372" s="163"/>
      <c r="T372" s="163"/>
      <c r="U372" s="163"/>
      <c r="V372" s="163"/>
      <c r="W372" s="163"/>
      <c r="X372" s="163"/>
      <c r="Y372" s="163"/>
      <c r="Z372" s="163"/>
    </row>
    <row r="373" spans="16:26" ht="10.199999999999999" customHeight="1">
      <c r="P373" s="163"/>
      <c r="Q373" s="163"/>
      <c r="R373" s="163"/>
      <c r="S373" s="163"/>
      <c r="T373" s="163"/>
      <c r="U373" s="163"/>
      <c r="V373" s="163"/>
      <c r="W373" s="163"/>
      <c r="X373" s="163"/>
      <c r="Y373" s="163"/>
      <c r="Z373" s="163"/>
    </row>
    <row r="374" spans="16:26" ht="10.199999999999999" customHeight="1">
      <c r="P374" s="163"/>
      <c r="Q374" s="163"/>
      <c r="R374" s="163"/>
      <c r="S374" s="163"/>
      <c r="T374" s="163"/>
      <c r="U374" s="163"/>
      <c r="V374" s="163"/>
      <c r="W374" s="163"/>
      <c r="X374" s="163"/>
      <c r="Y374" s="163"/>
      <c r="Z374" s="163"/>
    </row>
    <row r="375" spans="16:26" ht="10.199999999999999" customHeight="1">
      <c r="P375" s="163"/>
      <c r="Q375" s="163"/>
      <c r="R375" s="163"/>
      <c r="S375" s="163"/>
      <c r="T375" s="163"/>
      <c r="U375" s="163"/>
      <c r="V375" s="163"/>
      <c r="W375" s="163"/>
      <c r="X375" s="163"/>
      <c r="Y375" s="163"/>
      <c r="Z375" s="163"/>
    </row>
    <row r="376" spans="16:26" ht="10.199999999999999" customHeight="1">
      <c r="P376" s="163"/>
      <c r="Q376" s="163"/>
      <c r="R376" s="163"/>
      <c r="S376" s="163"/>
      <c r="T376" s="163"/>
      <c r="U376" s="163"/>
      <c r="V376" s="163"/>
      <c r="W376" s="163"/>
      <c r="X376" s="163"/>
      <c r="Y376" s="163"/>
      <c r="Z376" s="163"/>
    </row>
    <row r="377" spans="16:26" ht="10.199999999999999" customHeight="1">
      <c r="P377" s="163"/>
      <c r="Q377" s="163"/>
      <c r="R377" s="163"/>
      <c r="S377" s="163"/>
      <c r="T377" s="163"/>
      <c r="U377" s="163"/>
      <c r="V377" s="163"/>
      <c r="W377" s="163"/>
      <c r="X377" s="163"/>
      <c r="Y377" s="163"/>
      <c r="Z377" s="163"/>
    </row>
    <row r="378" spans="16:26" ht="10.199999999999999" customHeight="1">
      <c r="P378" s="163"/>
      <c r="Q378" s="163"/>
      <c r="R378" s="163"/>
      <c r="S378" s="163"/>
      <c r="T378" s="163"/>
      <c r="U378" s="163"/>
      <c r="V378" s="163"/>
      <c r="W378" s="163"/>
      <c r="X378" s="163"/>
      <c r="Y378" s="163"/>
      <c r="Z378" s="163"/>
    </row>
    <row r="379" spans="16:26" ht="10.199999999999999" customHeight="1">
      <c r="P379" s="163"/>
      <c r="Q379" s="163"/>
      <c r="R379" s="163"/>
      <c r="S379" s="163"/>
      <c r="T379" s="163"/>
      <c r="U379" s="163"/>
      <c r="V379" s="163"/>
      <c r="W379" s="163"/>
      <c r="X379" s="163"/>
      <c r="Y379" s="163"/>
      <c r="Z379" s="163"/>
    </row>
    <row r="380" spans="16:26" ht="10.199999999999999" customHeight="1">
      <c r="P380" s="163"/>
      <c r="Q380" s="163"/>
      <c r="R380" s="163"/>
      <c r="S380" s="163"/>
      <c r="T380" s="163"/>
      <c r="U380" s="163"/>
      <c r="V380" s="163"/>
      <c r="W380" s="163"/>
      <c r="X380" s="163"/>
      <c r="Y380" s="163"/>
      <c r="Z380" s="163"/>
    </row>
    <row r="381" spans="16:26" ht="10.199999999999999" customHeight="1">
      <c r="P381" s="163"/>
      <c r="Q381" s="163"/>
      <c r="R381" s="163"/>
      <c r="S381" s="163"/>
      <c r="T381" s="163"/>
      <c r="U381" s="163"/>
      <c r="V381" s="163"/>
      <c r="W381" s="163"/>
      <c r="X381" s="163"/>
      <c r="Y381" s="163"/>
      <c r="Z381" s="163"/>
    </row>
    <row r="382" spans="16:26" ht="10.199999999999999" customHeight="1">
      <c r="P382" s="163"/>
      <c r="Q382" s="163"/>
      <c r="R382" s="163"/>
      <c r="S382" s="163"/>
      <c r="T382" s="163"/>
      <c r="U382" s="163"/>
      <c r="V382" s="163"/>
      <c r="W382" s="163"/>
      <c r="X382" s="163"/>
      <c r="Y382" s="163"/>
      <c r="Z382" s="163"/>
    </row>
    <row r="383" spans="16:26" ht="10.199999999999999" customHeight="1">
      <c r="P383" s="163"/>
      <c r="Q383" s="163"/>
      <c r="R383" s="163"/>
      <c r="S383" s="163"/>
      <c r="T383" s="163"/>
      <c r="U383" s="163"/>
      <c r="V383" s="163"/>
      <c r="W383" s="163"/>
      <c r="X383" s="163"/>
      <c r="Y383" s="163"/>
      <c r="Z383" s="163"/>
    </row>
    <row r="384" spans="16:26" ht="10.199999999999999" customHeight="1">
      <c r="P384" s="163"/>
      <c r="Q384" s="163"/>
      <c r="R384" s="163"/>
      <c r="S384" s="163"/>
      <c r="T384" s="163"/>
      <c r="U384" s="163"/>
      <c r="V384" s="163"/>
      <c r="W384" s="163"/>
      <c r="X384" s="163"/>
      <c r="Y384" s="163"/>
      <c r="Z384" s="163"/>
    </row>
    <row r="385" spans="16:26" ht="10.199999999999999" customHeight="1">
      <c r="P385" s="163"/>
      <c r="Q385" s="163"/>
      <c r="R385" s="163"/>
      <c r="S385" s="163"/>
      <c r="T385" s="163"/>
      <c r="U385" s="163"/>
      <c r="V385" s="163"/>
      <c r="W385" s="163"/>
      <c r="X385" s="163"/>
      <c r="Y385" s="163"/>
      <c r="Z385" s="163"/>
    </row>
    <row r="386" spans="16:26" ht="10.199999999999999" customHeight="1">
      <c r="P386" s="163"/>
      <c r="Q386" s="163"/>
      <c r="R386" s="163"/>
      <c r="S386" s="163"/>
      <c r="T386" s="163"/>
      <c r="U386" s="163"/>
      <c r="V386" s="163"/>
      <c r="W386" s="163"/>
      <c r="X386" s="163"/>
      <c r="Y386" s="163"/>
      <c r="Z386" s="163"/>
    </row>
    <row r="387" spans="16:26" ht="10.199999999999999" customHeight="1">
      <c r="P387" s="163"/>
      <c r="Q387" s="163"/>
      <c r="R387" s="163"/>
      <c r="S387" s="163"/>
      <c r="T387" s="163"/>
      <c r="U387" s="163"/>
      <c r="V387" s="163"/>
      <c r="W387" s="163"/>
      <c r="X387" s="163"/>
      <c r="Y387" s="163"/>
      <c r="Z387" s="163"/>
    </row>
    <row r="388" spans="16:26" ht="10.199999999999999" customHeight="1">
      <c r="P388" s="163"/>
      <c r="Q388" s="163"/>
      <c r="R388" s="163"/>
      <c r="S388" s="163"/>
      <c r="T388" s="163"/>
      <c r="U388" s="163"/>
      <c r="V388" s="163"/>
      <c r="W388" s="163"/>
      <c r="X388" s="163"/>
      <c r="Y388" s="163"/>
      <c r="Z388" s="163"/>
    </row>
    <row r="389" spans="16:26" ht="10.199999999999999" customHeight="1">
      <c r="P389" s="163"/>
      <c r="Q389" s="163"/>
      <c r="R389" s="163"/>
      <c r="S389" s="163"/>
      <c r="T389" s="163"/>
      <c r="U389" s="163"/>
      <c r="V389" s="163"/>
      <c r="W389" s="163"/>
      <c r="X389" s="163"/>
      <c r="Y389" s="163"/>
      <c r="Z389" s="163"/>
    </row>
    <row r="390" spans="16:26" ht="10.199999999999999" customHeight="1">
      <c r="P390" s="163"/>
      <c r="Q390" s="163"/>
      <c r="R390" s="163"/>
      <c r="S390" s="163"/>
      <c r="T390" s="163"/>
      <c r="U390" s="163"/>
      <c r="V390" s="163"/>
      <c r="W390" s="163"/>
      <c r="X390" s="163"/>
      <c r="Y390" s="163"/>
      <c r="Z390" s="163"/>
    </row>
    <row r="391" spans="16:26" ht="10.199999999999999" customHeight="1">
      <c r="P391" s="163"/>
      <c r="Q391" s="163"/>
      <c r="R391" s="163"/>
      <c r="S391" s="163"/>
      <c r="T391" s="163"/>
      <c r="U391" s="163"/>
      <c r="V391" s="163"/>
      <c r="W391" s="163"/>
      <c r="X391" s="163"/>
      <c r="Y391" s="163"/>
      <c r="Z391" s="163"/>
    </row>
    <row r="392" spans="16:26" ht="10.199999999999999" customHeight="1">
      <c r="P392" s="163"/>
      <c r="Q392" s="163"/>
      <c r="R392" s="163"/>
      <c r="S392" s="163"/>
      <c r="T392" s="163"/>
      <c r="U392" s="163"/>
      <c r="V392" s="163"/>
      <c r="W392" s="163"/>
      <c r="X392" s="163"/>
      <c r="Y392" s="163"/>
      <c r="Z392" s="163"/>
    </row>
    <row r="393" spans="16:26" ht="10.199999999999999" customHeight="1">
      <c r="P393" s="163"/>
      <c r="Q393" s="163"/>
      <c r="R393" s="163"/>
      <c r="S393" s="163"/>
      <c r="T393" s="163"/>
      <c r="U393" s="163"/>
      <c r="V393" s="163"/>
      <c r="W393" s="163"/>
      <c r="X393" s="163"/>
      <c r="Y393" s="163"/>
      <c r="Z393" s="163"/>
    </row>
    <row r="394" spans="16:26" ht="10.199999999999999" customHeight="1">
      <c r="P394" s="163"/>
      <c r="Q394" s="163"/>
      <c r="R394" s="163"/>
      <c r="S394" s="163"/>
      <c r="T394" s="163"/>
      <c r="U394" s="163"/>
      <c r="V394" s="163"/>
      <c r="W394" s="163"/>
      <c r="X394" s="163"/>
      <c r="Y394" s="163"/>
      <c r="Z394" s="163"/>
    </row>
    <row r="395" spans="16:26" ht="10.199999999999999" customHeight="1">
      <c r="P395" s="163"/>
      <c r="Q395" s="163"/>
      <c r="R395" s="163"/>
      <c r="S395" s="163"/>
      <c r="T395" s="163"/>
      <c r="U395" s="163"/>
      <c r="V395" s="163"/>
      <c r="W395" s="163"/>
      <c r="X395" s="163"/>
      <c r="Y395" s="163"/>
      <c r="Z395" s="163"/>
    </row>
    <row r="396" spans="16:26" ht="10.199999999999999" customHeight="1">
      <c r="P396" s="163"/>
      <c r="Q396" s="163"/>
      <c r="R396" s="163"/>
      <c r="S396" s="163"/>
      <c r="T396" s="163"/>
      <c r="U396" s="163"/>
      <c r="V396" s="163"/>
      <c r="W396" s="163"/>
      <c r="X396" s="163"/>
      <c r="Y396" s="163"/>
      <c r="Z396" s="163"/>
    </row>
    <row r="397" spans="16:26" ht="10.199999999999999" customHeight="1">
      <c r="P397" s="163"/>
      <c r="Q397" s="163"/>
      <c r="R397" s="163"/>
      <c r="S397" s="163"/>
      <c r="T397" s="163"/>
      <c r="U397" s="163"/>
      <c r="V397" s="163"/>
      <c r="W397" s="163"/>
      <c r="X397" s="163"/>
      <c r="Y397" s="163"/>
      <c r="Z397" s="163"/>
    </row>
    <row r="398" spans="16:26" ht="10.199999999999999" customHeight="1">
      <c r="P398" s="163"/>
      <c r="Q398" s="163"/>
      <c r="R398" s="163"/>
      <c r="S398" s="163"/>
      <c r="T398" s="163"/>
      <c r="U398" s="163"/>
      <c r="V398" s="163"/>
      <c r="W398" s="163"/>
      <c r="X398" s="163"/>
      <c r="Y398" s="163"/>
      <c r="Z398" s="163"/>
    </row>
    <row r="399" spans="16:26" ht="10.199999999999999" customHeight="1">
      <c r="P399" s="163"/>
      <c r="Q399" s="163"/>
      <c r="R399" s="163"/>
      <c r="S399" s="163"/>
      <c r="T399" s="163"/>
      <c r="U399" s="163"/>
      <c r="V399" s="163"/>
      <c r="W399" s="163"/>
      <c r="X399" s="163"/>
      <c r="Y399" s="163"/>
      <c r="Z399" s="163"/>
    </row>
    <row r="400" spans="16:26" ht="10.199999999999999" customHeight="1">
      <c r="P400" s="163"/>
      <c r="Q400" s="163"/>
      <c r="R400" s="163"/>
      <c r="S400" s="163"/>
      <c r="T400" s="163"/>
      <c r="U400" s="163"/>
      <c r="V400" s="163"/>
      <c r="W400" s="163"/>
      <c r="X400" s="163"/>
      <c r="Y400" s="163"/>
      <c r="Z400" s="163"/>
    </row>
    <row r="401" spans="16:26" ht="10.199999999999999" customHeight="1">
      <c r="P401" s="163"/>
      <c r="Q401" s="163"/>
      <c r="R401" s="163"/>
      <c r="S401" s="163"/>
      <c r="T401" s="163"/>
      <c r="U401" s="163"/>
      <c r="V401" s="163"/>
      <c r="W401" s="163"/>
      <c r="X401" s="163"/>
      <c r="Y401" s="163"/>
      <c r="Z401" s="163"/>
    </row>
    <row r="402" spans="16:26" ht="10.199999999999999" customHeight="1">
      <c r="P402" s="163"/>
      <c r="Q402" s="163"/>
      <c r="R402" s="163"/>
      <c r="S402" s="163"/>
      <c r="T402" s="163"/>
      <c r="U402" s="163"/>
      <c r="V402" s="163"/>
      <c r="W402" s="163"/>
      <c r="X402" s="163"/>
      <c r="Y402" s="163"/>
      <c r="Z402" s="163"/>
    </row>
    <row r="403" spans="16:26" ht="10.199999999999999" customHeight="1">
      <c r="P403" s="163"/>
      <c r="Q403" s="163"/>
      <c r="R403" s="163"/>
      <c r="S403" s="163"/>
      <c r="T403" s="163"/>
      <c r="U403" s="163"/>
      <c r="V403" s="163"/>
      <c r="W403" s="163"/>
      <c r="X403" s="163"/>
      <c r="Y403" s="163"/>
      <c r="Z403" s="163"/>
    </row>
    <row r="404" spans="16:26" ht="10.199999999999999" customHeight="1">
      <c r="P404" s="163"/>
      <c r="Q404" s="163"/>
      <c r="R404" s="163"/>
      <c r="S404" s="163"/>
      <c r="T404" s="163"/>
      <c r="U404" s="163"/>
      <c r="V404" s="163"/>
      <c r="W404" s="163"/>
      <c r="X404" s="163"/>
      <c r="Y404" s="163"/>
      <c r="Z404" s="163"/>
    </row>
    <row r="405" spans="16:26" ht="10.199999999999999" customHeight="1">
      <c r="P405" s="163"/>
      <c r="Q405" s="163"/>
      <c r="R405" s="163"/>
      <c r="S405" s="163"/>
      <c r="T405" s="163"/>
      <c r="U405" s="163"/>
      <c r="V405" s="163"/>
      <c r="W405" s="163"/>
      <c r="X405" s="163"/>
      <c r="Y405" s="163"/>
      <c r="Z405" s="163"/>
    </row>
    <row r="406" spans="16:26" ht="10.199999999999999" customHeight="1">
      <c r="P406" s="163"/>
      <c r="Q406" s="163"/>
      <c r="R406" s="163"/>
      <c r="S406" s="163"/>
      <c r="T406" s="163"/>
      <c r="U406" s="163"/>
      <c r="V406" s="163"/>
      <c r="W406" s="163"/>
      <c r="X406" s="163"/>
      <c r="Y406" s="163"/>
      <c r="Z406" s="163"/>
    </row>
    <row r="407" spans="16:26" ht="10.199999999999999" customHeight="1">
      <c r="P407" s="163"/>
      <c r="Q407" s="163"/>
      <c r="R407" s="163"/>
      <c r="S407" s="163"/>
      <c r="T407" s="163"/>
      <c r="U407" s="163"/>
      <c r="V407" s="163"/>
      <c r="W407" s="163"/>
      <c r="X407" s="163"/>
      <c r="Y407" s="163"/>
      <c r="Z407" s="163"/>
    </row>
    <row r="408" spans="16:26" ht="10.199999999999999" customHeight="1">
      <c r="P408" s="163"/>
      <c r="Q408" s="163"/>
      <c r="R408" s="163"/>
      <c r="S408" s="163"/>
      <c r="T408" s="163"/>
      <c r="U408" s="163"/>
      <c r="V408" s="163"/>
      <c r="W408" s="163"/>
      <c r="X408" s="163"/>
      <c r="Y408" s="163"/>
      <c r="Z408" s="163"/>
    </row>
    <row r="409" spans="16:26" ht="10.199999999999999" customHeight="1">
      <c r="P409" s="163"/>
      <c r="Q409" s="163"/>
      <c r="R409" s="163"/>
      <c r="S409" s="163"/>
      <c r="T409" s="163"/>
      <c r="U409" s="163"/>
      <c r="V409" s="163"/>
      <c r="W409" s="163"/>
      <c r="X409" s="163"/>
      <c r="Y409" s="163"/>
      <c r="Z409" s="163"/>
    </row>
    <row r="410" spans="16:26" ht="10.199999999999999" customHeight="1">
      <c r="P410" s="163"/>
      <c r="Q410" s="163"/>
      <c r="R410" s="163"/>
      <c r="S410" s="163"/>
      <c r="T410" s="163"/>
      <c r="U410" s="163"/>
      <c r="V410" s="163"/>
      <c r="W410" s="163"/>
      <c r="X410" s="163"/>
      <c r="Y410" s="163"/>
      <c r="Z410" s="163"/>
    </row>
    <row r="411" spans="16:26" ht="10.199999999999999" customHeight="1">
      <c r="P411" s="163"/>
      <c r="Q411" s="163"/>
      <c r="R411" s="163"/>
      <c r="S411" s="163"/>
      <c r="T411" s="163"/>
      <c r="U411" s="163"/>
      <c r="V411" s="163"/>
      <c r="W411" s="163"/>
      <c r="X411" s="163"/>
      <c r="Y411" s="163"/>
      <c r="Z411" s="163"/>
    </row>
    <row r="412" spans="16:26" ht="10.199999999999999" customHeight="1">
      <c r="P412" s="163"/>
      <c r="Q412" s="163"/>
      <c r="R412" s="163"/>
      <c r="S412" s="163"/>
      <c r="T412" s="163"/>
      <c r="U412" s="163"/>
      <c r="V412" s="163"/>
      <c r="W412" s="163"/>
      <c r="X412" s="163"/>
      <c r="Y412" s="163"/>
      <c r="Z412" s="163"/>
    </row>
    <row r="413" spans="16:26" ht="10.199999999999999" customHeight="1">
      <c r="P413" s="163"/>
      <c r="Q413" s="163"/>
      <c r="R413" s="163"/>
      <c r="S413" s="163"/>
      <c r="T413" s="163"/>
      <c r="U413" s="163"/>
      <c r="V413" s="163"/>
      <c r="W413" s="163"/>
      <c r="X413" s="163"/>
      <c r="Y413" s="163"/>
      <c r="Z413" s="163"/>
    </row>
    <row r="414" spans="16:26" ht="10.199999999999999" customHeight="1">
      <c r="P414" s="163"/>
      <c r="Q414" s="163"/>
      <c r="R414" s="163"/>
      <c r="S414" s="163"/>
      <c r="T414" s="163"/>
      <c r="U414" s="163"/>
      <c r="V414" s="163"/>
      <c r="W414" s="163"/>
      <c r="X414" s="163"/>
      <c r="Y414" s="163"/>
      <c r="Z414" s="163"/>
    </row>
    <row r="415" spans="16:26" ht="10.199999999999999" customHeight="1">
      <c r="P415" s="163"/>
      <c r="Q415" s="163"/>
      <c r="R415" s="163"/>
      <c r="S415" s="163"/>
      <c r="T415" s="163"/>
      <c r="U415" s="163"/>
      <c r="V415" s="163"/>
      <c r="W415" s="163"/>
      <c r="X415" s="163"/>
      <c r="Y415" s="163"/>
      <c r="Z415" s="163"/>
    </row>
    <row r="416" spans="16:26" ht="10.199999999999999" customHeight="1">
      <c r="P416" s="163"/>
      <c r="Q416" s="163"/>
      <c r="R416" s="163"/>
      <c r="S416" s="163"/>
      <c r="T416" s="163"/>
      <c r="U416" s="163"/>
      <c r="V416" s="163"/>
      <c r="W416" s="163"/>
      <c r="X416" s="163"/>
      <c r="Y416" s="163"/>
      <c r="Z416" s="163"/>
    </row>
    <row r="417" spans="16:26" ht="10.199999999999999" customHeight="1">
      <c r="P417" s="163"/>
      <c r="Q417" s="163"/>
      <c r="R417" s="163"/>
      <c r="S417" s="163"/>
      <c r="T417" s="163"/>
      <c r="U417" s="163"/>
      <c r="V417" s="163"/>
      <c r="W417" s="163"/>
      <c r="X417" s="163"/>
      <c r="Y417" s="163"/>
      <c r="Z417" s="163"/>
    </row>
    <row r="418" spans="16:26" ht="10.199999999999999" customHeight="1">
      <c r="P418" s="163"/>
      <c r="Q418" s="163"/>
      <c r="R418" s="163"/>
      <c r="S418" s="163"/>
      <c r="T418" s="163"/>
      <c r="U418" s="163"/>
      <c r="V418" s="163"/>
      <c r="W418" s="163"/>
      <c r="X418" s="163"/>
      <c r="Y418" s="163"/>
      <c r="Z418" s="163"/>
    </row>
    <row r="419" spans="16:26" ht="10.199999999999999" customHeight="1">
      <c r="P419" s="163"/>
      <c r="Q419" s="163"/>
      <c r="R419" s="163"/>
      <c r="S419" s="163"/>
      <c r="T419" s="163"/>
      <c r="U419" s="163"/>
      <c r="V419" s="163"/>
      <c r="W419" s="163"/>
      <c r="X419" s="163"/>
      <c r="Y419" s="163"/>
      <c r="Z419" s="163"/>
    </row>
    <row r="420" spans="16:26" ht="10.199999999999999" customHeight="1">
      <c r="P420" s="163"/>
      <c r="Q420" s="163"/>
      <c r="R420" s="163"/>
      <c r="S420" s="163"/>
      <c r="T420" s="163"/>
      <c r="U420" s="163"/>
      <c r="V420" s="163"/>
      <c r="W420" s="163"/>
      <c r="X420" s="163"/>
      <c r="Y420" s="163"/>
      <c r="Z420" s="163"/>
    </row>
    <row r="421" spans="16:26" ht="10.199999999999999" customHeight="1">
      <c r="P421" s="163"/>
      <c r="Q421" s="163"/>
      <c r="R421" s="163"/>
      <c r="S421" s="163"/>
      <c r="T421" s="163"/>
      <c r="U421" s="163"/>
      <c r="V421" s="163"/>
      <c r="W421" s="163"/>
      <c r="X421" s="163"/>
      <c r="Y421" s="163"/>
      <c r="Z421" s="163"/>
    </row>
    <row r="422" spans="16:26" ht="10.199999999999999" customHeight="1">
      <c r="P422" s="163"/>
      <c r="Q422" s="163"/>
      <c r="R422" s="163"/>
      <c r="S422" s="163"/>
      <c r="T422" s="163"/>
      <c r="U422" s="163"/>
      <c r="V422" s="163"/>
      <c r="W422" s="163"/>
      <c r="X422" s="163"/>
      <c r="Y422" s="163"/>
      <c r="Z422" s="163"/>
    </row>
    <row r="423" spans="16:26" ht="10.199999999999999" customHeight="1">
      <c r="P423" s="163"/>
      <c r="Q423" s="163"/>
      <c r="R423" s="163"/>
      <c r="S423" s="163"/>
      <c r="T423" s="163"/>
      <c r="U423" s="163"/>
      <c r="V423" s="163"/>
      <c r="W423" s="163"/>
      <c r="X423" s="163"/>
      <c r="Y423" s="163"/>
      <c r="Z423" s="163"/>
    </row>
    <row r="424" spans="16:26" ht="10.199999999999999" customHeight="1">
      <c r="P424" s="163"/>
      <c r="Q424" s="163"/>
      <c r="R424" s="163"/>
      <c r="S424" s="163"/>
      <c r="T424" s="163"/>
      <c r="U424" s="163"/>
      <c r="V424" s="163"/>
      <c r="W424" s="163"/>
      <c r="X424" s="163"/>
      <c r="Y424" s="163"/>
      <c r="Z424" s="163"/>
    </row>
    <row r="425" spans="16:26" ht="10.199999999999999" customHeight="1">
      <c r="P425" s="163"/>
      <c r="Q425" s="163"/>
      <c r="R425" s="163"/>
      <c r="S425" s="163"/>
      <c r="T425" s="163"/>
      <c r="U425" s="163"/>
      <c r="V425" s="163"/>
      <c r="W425" s="163"/>
      <c r="X425" s="163"/>
      <c r="Y425" s="163"/>
      <c r="Z425" s="163"/>
    </row>
    <row r="426" spans="16:26" ht="10.199999999999999" customHeight="1">
      <c r="P426" s="163"/>
      <c r="Q426" s="163"/>
      <c r="R426" s="163"/>
      <c r="S426" s="163"/>
      <c r="T426" s="163"/>
      <c r="U426" s="163"/>
      <c r="V426" s="163"/>
      <c r="W426" s="163"/>
      <c r="X426" s="163"/>
      <c r="Y426" s="163"/>
      <c r="Z426" s="163"/>
    </row>
    <row r="427" spans="16:26" ht="10.199999999999999" customHeight="1">
      <c r="P427" s="163"/>
      <c r="Q427" s="163"/>
      <c r="R427" s="163"/>
      <c r="S427" s="163"/>
      <c r="T427" s="163"/>
      <c r="U427" s="163"/>
      <c r="V427" s="163"/>
      <c r="W427" s="163"/>
      <c r="X427" s="163"/>
      <c r="Y427" s="163"/>
      <c r="Z427" s="163"/>
    </row>
    <row r="428" spans="16:26" ht="10.199999999999999" customHeight="1">
      <c r="P428" s="163"/>
      <c r="Q428" s="163"/>
      <c r="R428" s="163"/>
      <c r="S428" s="163"/>
      <c r="T428" s="163"/>
      <c r="U428" s="163"/>
      <c r="V428" s="163"/>
      <c r="W428" s="163"/>
      <c r="X428" s="163"/>
      <c r="Y428" s="163"/>
      <c r="Z428" s="163"/>
    </row>
    <row r="429" spans="16:26" ht="10.199999999999999" customHeight="1">
      <c r="P429" s="163"/>
      <c r="Q429" s="163"/>
      <c r="R429" s="163"/>
      <c r="S429" s="163"/>
      <c r="T429" s="163"/>
      <c r="U429" s="163"/>
      <c r="V429" s="163"/>
      <c r="W429" s="163"/>
      <c r="X429" s="163"/>
      <c r="Y429" s="163"/>
      <c r="Z429" s="163"/>
    </row>
    <row r="430" spans="16:26" ht="10.199999999999999" customHeight="1">
      <c r="P430" s="163"/>
      <c r="Q430" s="163"/>
      <c r="R430" s="163"/>
      <c r="S430" s="163"/>
      <c r="T430" s="163"/>
      <c r="U430" s="163"/>
      <c r="V430" s="163"/>
      <c r="W430" s="163"/>
      <c r="X430" s="163"/>
      <c r="Y430" s="163"/>
      <c r="Z430" s="163"/>
    </row>
    <row r="431" spans="16:26" ht="10.199999999999999" customHeight="1">
      <c r="P431" s="163"/>
      <c r="Q431" s="163"/>
      <c r="R431" s="163"/>
      <c r="S431" s="163"/>
      <c r="T431" s="163"/>
      <c r="U431" s="163"/>
      <c r="V431" s="163"/>
      <c r="W431" s="163"/>
      <c r="X431" s="163"/>
      <c r="Y431" s="163"/>
      <c r="Z431" s="163"/>
    </row>
    <row r="432" spans="16:26" ht="10.199999999999999" customHeight="1">
      <c r="P432" s="163"/>
      <c r="Q432" s="163"/>
      <c r="R432" s="163"/>
      <c r="S432" s="163"/>
      <c r="T432" s="163"/>
      <c r="U432" s="163"/>
      <c r="V432" s="163"/>
      <c r="W432" s="163"/>
      <c r="X432" s="163"/>
      <c r="Y432" s="163"/>
      <c r="Z432" s="163"/>
    </row>
    <row r="433" spans="16:26" ht="10.199999999999999" customHeight="1">
      <c r="P433" s="163"/>
      <c r="Q433" s="163"/>
      <c r="R433" s="163"/>
      <c r="S433" s="163"/>
      <c r="T433" s="163"/>
      <c r="U433" s="163"/>
      <c r="V433" s="163"/>
      <c r="W433" s="163"/>
      <c r="X433" s="163"/>
      <c r="Y433" s="163"/>
      <c r="Z433" s="163"/>
    </row>
    <row r="434" spans="16:26" ht="10.199999999999999" customHeight="1">
      <c r="P434" s="163"/>
      <c r="Q434" s="163"/>
      <c r="R434" s="163"/>
      <c r="S434" s="163"/>
      <c r="T434" s="163"/>
      <c r="U434" s="163"/>
      <c r="V434" s="163"/>
      <c r="W434" s="163"/>
      <c r="X434" s="163"/>
      <c r="Y434" s="163"/>
      <c r="Z434" s="163"/>
    </row>
    <row r="435" spans="16:26" ht="10.199999999999999" customHeight="1">
      <c r="P435" s="163"/>
      <c r="Q435" s="163"/>
      <c r="R435" s="163"/>
      <c r="S435" s="163"/>
      <c r="T435" s="163"/>
      <c r="U435" s="163"/>
      <c r="V435" s="163"/>
      <c r="W435" s="163"/>
      <c r="X435" s="163"/>
      <c r="Y435" s="163"/>
      <c r="Z435" s="163"/>
    </row>
    <row r="436" spans="16:26" ht="10.199999999999999" customHeight="1">
      <c r="P436" s="163"/>
      <c r="Q436" s="163"/>
      <c r="R436" s="163"/>
      <c r="S436" s="163"/>
      <c r="T436" s="163"/>
      <c r="U436" s="163"/>
      <c r="V436" s="163"/>
      <c r="W436" s="163"/>
      <c r="X436" s="163"/>
      <c r="Y436" s="163"/>
      <c r="Z436" s="163"/>
    </row>
    <row r="437" spans="16:26" ht="10.199999999999999" customHeight="1">
      <c r="P437" s="163"/>
      <c r="Q437" s="163"/>
      <c r="R437" s="163"/>
      <c r="S437" s="163"/>
      <c r="T437" s="163"/>
      <c r="U437" s="163"/>
      <c r="V437" s="163"/>
      <c r="W437" s="163"/>
      <c r="X437" s="163"/>
      <c r="Y437" s="163"/>
      <c r="Z437" s="163"/>
    </row>
    <row r="438" spans="16:26" ht="10.199999999999999" customHeight="1">
      <c r="P438" s="163"/>
      <c r="Q438" s="163"/>
      <c r="R438" s="163"/>
      <c r="S438" s="163"/>
      <c r="T438" s="163"/>
      <c r="U438" s="163"/>
      <c r="V438" s="163"/>
      <c r="W438" s="163"/>
      <c r="X438" s="163"/>
      <c r="Y438" s="163"/>
      <c r="Z438" s="163"/>
    </row>
    <row r="439" spans="16:26" ht="10.199999999999999" customHeight="1">
      <c r="P439" s="163"/>
      <c r="Q439" s="163"/>
      <c r="R439" s="163"/>
      <c r="S439" s="163"/>
      <c r="T439" s="163"/>
      <c r="U439" s="163"/>
      <c r="V439" s="163"/>
      <c r="W439" s="163"/>
      <c r="X439" s="163"/>
      <c r="Y439" s="163"/>
      <c r="Z439" s="163"/>
    </row>
    <row r="440" spans="16:26" ht="10.199999999999999" customHeight="1">
      <c r="P440" s="163"/>
      <c r="Q440" s="163"/>
      <c r="R440" s="163"/>
      <c r="S440" s="163"/>
      <c r="T440" s="163"/>
      <c r="U440" s="163"/>
      <c r="V440" s="163"/>
      <c r="W440" s="163"/>
      <c r="X440" s="163"/>
      <c r="Y440" s="163"/>
      <c r="Z440" s="163"/>
    </row>
    <row r="441" spans="16:26" ht="10.199999999999999" customHeight="1">
      <c r="P441" s="163"/>
      <c r="Q441" s="163"/>
      <c r="R441" s="163"/>
      <c r="S441" s="163"/>
      <c r="T441" s="163"/>
      <c r="U441" s="163"/>
      <c r="V441" s="163"/>
      <c r="W441" s="163"/>
      <c r="X441" s="163"/>
      <c r="Y441" s="163"/>
      <c r="Z441" s="163"/>
    </row>
    <row r="442" spans="16:26" ht="10.199999999999999" customHeight="1">
      <c r="P442" s="163"/>
      <c r="Q442" s="163"/>
      <c r="R442" s="163"/>
      <c r="S442" s="163"/>
      <c r="T442" s="163"/>
      <c r="U442" s="163"/>
      <c r="V442" s="163"/>
      <c r="W442" s="163"/>
      <c r="X442" s="163"/>
      <c r="Y442" s="163"/>
      <c r="Z442" s="163"/>
    </row>
    <row r="443" spans="16:26" ht="10.199999999999999" customHeight="1">
      <c r="P443" s="163"/>
      <c r="Q443" s="163"/>
      <c r="R443" s="163"/>
      <c r="S443" s="163"/>
      <c r="T443" s="163"/>
      <c r="U443" s="163"/>
      <c r="V443" s="163"/>
      <c r="W443" s="163"/>
      <c r="X443" s="163"/>
      <c r="Y443" s="163"/>
      <c r="Z443" s="163"/>
    </row>
    <row r="444" spans="16:26" ht="10.199999999999999" customHeight="1">
      <c r="P444" s="163"/>
      <c r="Q444" s="163"/>
      <c r="R444" s="163"/>
      <c r="S444" s="163"/>
      <c r="T444" s="163"/>
      <c r="U444" s="163"/>
      <c r="V444" s="163"/>
      <c r="W444" s="163"/>
      <c r="X444" s="163"/>
      <c r="Y444" s="163"/>
      <c r="Z444" s="163"/>
    </row>
    <row r="445" spans="16:26" ht="10.199999999999999" customHeight="1">
      <c r="P445" s="163"/>
      <c r="Q445" s="163"/>
      <c r="R445" s="163"/>
      <c r="S445" s="163"/>
      <c r="T445" s="163"/>
      <c r="U445" s="163"/>
      <c r="V445" s="163"/>
      <c r="W445" s="163"/>
      <c r="X445" s="163"/>
      <c r="Y445" s="163"/>
      <c r="Z445" s="163"/>
    </row>
    <row r="446" spans="16:26" ht="10.199999999999999" customHeight="1">
      <c r="P446" s="163"/>
      <c r="Q446" s="163"/>
      <c r="R446" s="163"/>
      <c r="S446" s="163"/>
      <c r="T446" s="163"/>
      <c r="U446" s="163"/>
      <c r="V446" s="163"/>
      <c r="W446" s="163"/>
      <c r="X446" s="163"/>
      <c r="Y446" s="163"/>
      <c r="Z446" s="163"/>
    </row>
    <row r="447" spans="16:26" ht="10.199999999999999" customHeight="1">
      <c r="P447" s="163"/>
      <c r="Q447" s="163"/>
      <c r="R447" s="163"/>
      <c r="S447" s="163"/>
      <c r="T447" s="163"/>
      <c r="U447" s="163"/>
      <c r="V447" s="163"/>
      <c r="W447" s="163"/>
      <c r="X447" s="163"/>
      <c r="Y447" s="163"/>
      <c r="Z447" s="163"/>
    </row>
    <row r="448" spans="16:26" ht="10.199999999999999" customHeight="1">
      <c r="P448" s="163"/>
      <c r="Q448" s="163"/>
      <c r="R448" s="163"/>
      <c r="S448" s="163"/>
      <c r="T448" s="163"/>
      <c r="U448" s="163"/>
      <c r="V448" s="163"/>
      <c r="W448" s="163"/>
      <c r="X448" s="163"/>
      <c r="Y448" s="163"/>
      <c r="Z448" s="163"/>
    </row>
    <row r="449" spans="16:26" ht="10.199999999999999" customHeight="1">
      <c r="P449" s="163"/>
      <c r="Q449" s="163"/>
      <c r="R449" s="163"/>
      <c r="S449" s="163"/>
      <c r="T449" s="163"/>
      <c r="U449" s="163"/>
      <c r="V449" s="163"/>
      <c r="W449" s="163"/>
      <c r="X449" s="163"/>
      <c r="Y449" s="163"/>
      <c r="Z449" s="163"/>
    </row>
    <row r="450" spans="16:26" ht="10.199999999999999" customHeight="1">
      <c r="P450" s="163"/>
      <c r="Q450" s="163"/>
      <c r="R450" s="163"/>
      <c r="S450" s="163"/>
      <c r="T450" s="163"/>
      <c r="U450" s="163"/>
      <c r="V450" s="163"/>
      <c r="W450" s="163"/>
      <c r="X450" s="163"/>
      <c r="Y450" s="163"/>
      <c r="Z450" s="163"/>
    </row>
    <row r="451" spans="16:26" ht="10.199999999999999" customHeight="1">
      <c r="P451" s="163"/>
      <c r="Q451" s="163"/>
      <c r="R451" s="163"/>
      <c r="S451" s="163"/>
      <c r="T451" s="163"/>
      <c r="U451" s="163"/>
      <c r="V451" s="163"/>
      <c r="W451" s="163"/>
      <c r="X451" s="163"/>
      <c r="Y451" s="163"/>
      <c r="Z451" s="163"/>
    </row>
    <row r="452" spans="16:26" ht="10.199999999999999" customHeight="1">
      <c r="P452" s="163"/>
      <c r="Q452" s="163"/>
      <c r="R452" s="163"/>
      <c r="S452" s="163"/>
      <c r="T452" s="163"/>
      <c r="U452" s="163"/>
      <c r="V452" s="163"/>
      <c r="W452" s="163"/>
      <c r="X452" s="163"/>
      <c r="Y452" s="163"/>
      <c r="Z452" s="163"/>
    </row>
    <row r="453" spans="16:26" ht="10.199999999999999" customHeight="1">
      <c r="P453" s="163"/>
      <c r="Q453" s="163"/>
      <c r="R453" s="163"/>
      <c r="S453" s="163"/>
      <c r="T453" s="163"/>
      <c r="U453" s="163"/>
      <c r="V453" s="163"/>
      <c r="W453" s="163"/>
      <c r="X453" s="163"/>
      <c r="Y453" s="163"/>
      <c r="Z453" s="163"/>
    </row>
    <row r="454" spans="16:26" ht="10.199999999999999" customHeight="1">
      <c r="P454" s="163"/>
      <c r="Q454" s="163"/>
      <c r="R454" s="163"/>
      <c r="S454" s="163"/>
      <c r="T454" s="163"/>
      <c r="U454" s="163"/>
      <c r="V454" s="163"/>
      <c r="W454" s="163"/>
      <c r="X454" s="163"/>
      <c r="Y454" s="163"/>
      <c r="Z454" s="163"/>
    </row>
    <row r="455" spans="16:26" ht="10.199999999999999" customHeight="1">
      <c r="P455" s="163"/>
      <c r="Q455" s="163"/>
      <c r="R455" s="163"/>
      <c r="S455" s="163"/>
      <c r="T455" s="163"/>
      <c r="U455" s="163"/>
      <c r="V455" s="163"/>
      <c r="W455" s="163"/>
      <c r="X455" s="163"/>
      <c r="Y455" s="163"/>
      <c r="Z455" s="163"/>
    </row>
    <row r="456" spans="16:26" ht="10.199999999999999" customHeight="1">
      <c r="P456" s="163"/>
      <c r="Q456" s="163"/>
      <c r="R456" s="163"/>
      <c r="S456" s="163"/>
      <c r="T456" s="163"/>
      <c r="U456" s="163"/>
      <c r="V456" s="163"/>
      <c r="W456" s="163"/>
      <c r="X456" s="163"/>
      <c r="Y456" s="163"/>
      <c r="Z456" s="163"/>
    </row>
    <row r="457" spans="16:26" ht="10.199999999999999" customHeight="1">
      <c r="P457" s="163"/>
      <c r="Q457" s="163"/>
      <c r="R457" s="163"/>
      <c r="S457" s="163"/>
      <c r="T457" s="163"/>
      <c r="U457" s="163"/>
      <c r="V457" s="163"/>
      <c r="W457" s="163"/>
      <c r="X457" s="163"/>
      <c r="Y457" s="163"/>
      <c r="Z457" s="163"/>
    </row>
    <row r="458" spans="16:26" ht="10.199999999999999" customHeight="1">
      <c r="P458" s="163"/>
      <c r="Q458" s="163"/>
      <c r="R458" s="163"/>
      <c r="S458" s="163"/>
      <c r="T458" s="163"/>
      <c r="U458" s="163"/>
      <c r="V458" s="163"/>
      <c r="W458" s="163"/>
      <c r="X458" s="163"/>
      <c r="Y458" s="163"/>
      <c r="Z458" s="163"/>
    </row>
    <row r="459" spans="16:26" ht="10.199999999999999" customHeight="1">
      <c r="P459" s="163"/>
      <c r="Q459" s="163"/>
      <c r="R459" s="163"/>
      <c r="S459" s="163"/>
      <c r="T459" s="163"/>
      <c r="U459" s="163"/>
      <c r="V459" s="163"/>
      <c r="W459" s="163"/>
      <c r="X459" s="163"/>
      <c r="Y459" s="163"/>
      <c r="Z459" s="163"/>
    </row>
    <row r="460" spans="16:26" ht="10.199999999999999" customHeight="1">
      <c r="P460" s="163"/>
      <c r="Q460" s="163"/>
      <c r="R460" s="163"/>
      <c r="S460" s="163"/>
      <c r="T460" s="163"/>
      <c r="U460" s="163"/>
      <c r="V460" s="163"/>
      <c r="W460" s="163"/>
      <c r="X460" s="163"/>
      <c r="Y460" s="163"/>
      <c r="Z460" s="163"/>
    </row>
    <row r="461" spans="16:26" ht="10.199999999999999" customHeight="1">
      <c r="P461" s="163"/>
      <c r="Q461" s="163"/>
      <c r="R461" s="163"/>
      <c r="S461" s="163"/>
      <c r="T461" s="163"/>
      <c r="U461" s="163"/>
      <c r="V461" s="163"/>
      <c r="W461" s="163"/>
      <c r="X461" s="163"/>
      <c r="Y461" s="163"/>
      <c r="Z461" s="163"/>
    </row>
    <row r="462" spans="16:26" ht="10.199999999999999" customHeight="1">
      <c r="P462" s="163"/>
      <c r="Q462" s="163"/>
      <c r="R462" s="163"/>
      <c r="S462" s="163"/>
      <c r="T462" s="163"/>
      <c r="U462" s="163"/>
      <c r="V462" s="163"/>
      <c r="W462" s="163"/>
      <c r="X462" s="163"/>
      <c r="Y462" s="163"/>
      <c r="Z462" s="163"/>
    </row>
    <row r="463" spans="16:26" ht="10.199999999999999" customHeight="1">
      <c r="P463" s="163"/>
      <c r="Q463" s="163"/>
      <c r="R463" s="163"/>
      <c r="S463" s="163"/>
      <c r="T463" s="163"/>
      <c r="U463" s="163"/>
      <c r="V463" s="163"/>
      <c r="W463" s="163"/>
      <c r="X463" s="163"/>
      <c r="Y463" s="163"/>
      <c r="Z463" s="163"/>
    </row>
    <row r="464" spans="16:26" ht="10.199999999999999" customHeight="1">
      <c r="P464" s="163"/>
      <c r="Q464" s="163"/>
      <c r="R464" s="163"/>
      <c r="S464" s="163"/>
      <c r="T464" s="163"/>
      <c r="U464" s="163"/>
      <c r="V464" s="163"/>
      <c r="W464" s="163"/>
      <c r="X464" s="163"/>
      <c r="Y464" s="163"/>
      <c r="Z464" s="163"/>
    </row>
    <row r="465" spans="16:26" ht="10.199999999999999" customHeight="1">
      <c r="P465" s="163"/>
      <c r="Q465" s="163"/>
      <c r="R465" s="163"/>
      <c r="S465" s="163"/>
      <c r="T465" s="163"/>
      <c r="U465" s="163"/>
      <c r="V465" s="163"/>
      <c r="W465" s="163"/>
      <c r="X465" s="163"/>
      <c r="Y465" s="163"/>
      <c r="Z465" s="163"/>
    </row>
    <row r="466" spans="16:26" ht="10.199999999999999" customHeight="1">
      <c r="P466" s="163"/>
      <c r="Q466" s="163"/>
      <c r="R466" s="163"/>
      <c r="S466" s="163"/>
      <c r="T466" s="163"/>
      <c r="U466" s="163"/>
      <c r="V466" s="163"/>
      <c r="W466" s="163"/>
      <c r="X466" s="163"/>
      <c r="Y466" s="163"/>
      <c r="Z466" s="163"/>
    </row>
    <row r="467" spans="16:26" ht="10.199999999999999" customHeight="1">
      <c r="P467" s="163"/>
      <c r="Q467" s="163"/>
      <c r="R467" s="163"/>
      <c r="S467" s="163"/>
      <c r="T467" s="163"/>
      <c r="U467" s="163"/>
      <c r="V467" s="163"/>
      <c r="W467" s="163"/>
      <c r="X467" s="163"/>
      <c r="Y467" s="163"/>
      <c r="Z467" s="163"/>
    </row>
    <row r="468" spans="16:26" ht="10.199999999999999" customHeight="1">
      <c r="P468" s="163"/>
      <c r="Q468" s="163"/>
      <c r="R468" s="163"/>
      <c r="S468" s="163"/>
      <c r="T468" s="163"/>
      <c r="U468" s="163"/>
      <c r="V468" s="163"/>
      <c r="W468" s="163"/>
      <c r="X468" s="163"/>
      <c r="Y468" s="163"/>
      <c r="Z468" s="163"/>
    </row>
    <row r="469" spans="16:26" ht="10.199999999999999" customHeight="1">
      <c r="P469" s="163"/>
      <c r="Q469" s="163"/>
      <c r="R469" s="163"/>
      <c r="S469" s="163"/>
      <c r="T469" s="163"/>
      <c r="U469" s="163"/>
      <c r="V469" s="163"/>
      <c r="W469" s="163"/>
      <c r="X469" s="163"/>
      <c r="Y469" s="163"/>
      <c r="Z469" s="163"/>
    </row>
    <row r="470" spans="16:26" ht="10.199999999999999" customHeight="1">
      <c r="P470" s="163"/>
      <c r="Q470" s="163"/>
      <c r="R470" s="163"/>
      <c r="S470" s="163"/>
      <c r="T470" s="163"/>
      <c r="U470" s="163"/>
      <c r="V470" s="163"/>
      <c r="W470" s="163"/>
      <c r="X470" s="163"/>
      <c r="Y470" s="163"/>
      <c r="Z470" s="163"/>
    </row>
    <row r="471" spans="16:26" ht="10.199999999999999" customHeight="1">
      <c r="P471" s="163"/>
      <c r="Q471" s="163"/>
      <c r="R471" s="163"/>
      <c r="S471" s="163"/>
      <c r="T471" s="163"/>
      <c r="U471" s="163"/>
      <c r="V471" s="163"/>
      <c r="W471" s="163"/>
      <c r="X471" s="163"/>
      <c r="Y471" s="163"/>
      <c r="Z471" s="163"/>
    </row>
    <row r="472" spans="16:26" ht="10.199999999999999" customHeight="1">
      <c r="P472" s="163"/>
      <c r="Q472" s="163"/>
      <c r="R472" s="163"/>
      <c r="S472" s="163"/>
      <c r="T472" s="163"/>
      <c r="U472" s="163"/>
      <c r="V472" s="163"/>
      <c r="W472" s="163"/>
      <c r="X472" s="163"/>
      <c r="Y472" s="163"/>
      <c r="Z472" s="163"/>
    </row>
    <row r="473" spans="16:26" ht="10.199999999999999" customHeight="1">
      <c r="P473" s="163"/>
      <c r="Q473" s="163"/>
      <c r="R473" s="163"/>
      <c r="S473" s="163"/>
      <c r="T473" s="163"/>
      <c r="U473" s="163"/>
      <c r="V473" s="163"/>
      <c r="W473" s="163"/>
      <c r="X473" s="163"/>
      <c r="Y473" s="163"/>
      <c r="Z473" s="163"/>
    </row>
    <row r="474" spans="16:26" ht="10.199999999999999" customHeight="1">
      <c r="P474" s="163"/>
      <c r="Q474" s="163"/>
      <c r="R474" s="163"/>
      <c r="S474" s="163"/>
      <c r="T474" s="163"/>
      <c r="U474" s="163"/>
      <c r="V474" s="163"/>
      <c r="W474" s="163"/>
      <c r="X474" s="163"/>
      <c r="Y474" s="163"/>
      <c r="Z474" s="163"/>
    </row>
    <row r="475" spans="16:26" ht="10.199999999999999" customHeight="1">
      <c r="P475" s="163"/>
      <c r="Q475" s="163"/>
      <c r="R475" s="163"/>
      <c r="S475" s="163"/>
      <c r="T475" s="163"/>
      <c r="U475" s="163"/>
      <c r="V475" s="163"/>
      <c r="W475" s="163"/>
      <c r="X475" s="163"/>
      <c r="Y475" s="163"/>
      <c r="Z475" s="163"/>
    </row>
    <row r="476" spans="16:26" ht="10.199999999999999" customHeight="1">
      <c r="P476" s="163"/>
      <c r="Q476" s="163"/>
      <c r="R476" s="163"/>
      <c r="S476" s="163"/>
      <c r="T476" s="163"/>
      <c r="U476" s="163"/>
      <c r="V476" s="163"/>
      <c r="W476" s="163"/>
      <c r="X476" s="163"/>
      <c r="Y476" s="163"/>
      <c r="Z476" s="163"/>
    </row>
    <row r="477" spans="16:26" ht="10.199999999999999" customHeight="1">
      <c r="P477" s="163"/>
      <c r="Q477" s="163"/>
      <c r="R477" s="163"/>
      <c r="S477" s="163"/>
      <c r="T477" s="163"/>
      <c r="U477" s="163"/>
      <c r="V477" s="163"/>
      <c r="W477" s="163"/>
      <c r="X477" s="163"/>
      <c r="Y477" s="163"/>
      <c r="Z477" s="163"/>
    </row>
    <row r="478" spans="16:26" ht="10.199999999999999" customHeight="1">
      <c r="P478" s="163"/>
      <c r="Q478" s="163"/>
      <c r="R478" s="163"/>
      <c r="S478" s="163"/>
      <c r="T478" s="163"/>
      <c r="U478" s="163"/>
      <c r="V478" s="163"/>
      <c r="W478" s="163"/>
      <c r="X478" s="163"/>
      <c r="Y478" s="163"/>
      <c r="Z478" s="163"/>
    </row>
    <row r="479" spans="16:26" ht="10.199999999999999" customHeight="1">
      <c r="P479" s="163"/>
      <c r="Q479" s="163"/>
      <c r="R479" s="163"/>
      <c r="S479" s="163"/>
      <c r="T479" s="163"/>
      <c r="U479" s="163"/>
      <c r="V479" s="163"/>
      <c r="W479" s="163"/>
      <c r="X479" s="163"/>
      <c r="Y479" s="163"/>
      <c r="Z479" s="163"/>
    </row>
    <row r="480" spans="16:26" ht="10.199999999999999" customHeight="1">
      <c r="P480" s="163"/>
      <c r="Q480" s="163"/>
      <c r="R480" s="163"/>
      <c r="S480" s="163"/>
      <c r="T480" s="163"/>
      <c r="U480" s="163"/>
      <c r="V480" s="163"/>
      <c r="W480" s="163"/>
      <c r="X480" s="163"/>
      <c r="Y480" s="163"/>
      <c r="Z480" s="163"/>
    </row>
    <row r="481" spans="16:26" ht="10.199999999999999" customHeight="1">
      <c r="P481" s="163"/>
      <c r="Q481" s="163"/>
      <c r="R481" s="163"/>
      <c r="S481" s="163"/>
      <c r="T481" s="163"/>
      <c r="U481" s="163"/>
      <c r="V481" s="163"/>
      <c r="W481" s="163"/>
      <c r="X481" s="163"/>
      <c r="Y481" s="163"/>
      <c r="Z481" s="163"/>
    </row>
    <row r="482" spans="16:26" ht="10.199999999999999" customHeight="1">
      <c r="P482" s="163"/>
      <c r="Q482" s="163"/>
      <c r="R482" s="163"/>
      <c r="S482" s="163"/>
      <c r="T482" s="163"/>
      <c r="U482" s="163"/>
      <c r="V482" s="163"/>
      <c r="W482" s="163"/>
      <c r="X482" s="163"/>
      <c r="Y482" s="163"/>
      <c r="Z482" s="163"/>
    </row>
    <row r="483" spans="16:26" ht="10.199999999999999" customHeight="1">
      <c r="P483" s="163"/>
      <c r="Q483" s="163"/>
      <c r="R483" s="163"/>
      <c r="S483" s="163"/>
      <c r="T483" s="163"/>
      <c r="U483" s="163"/>
      <c r="V483" s="163"/>
      <c r="W483" s="163"/>
      <c r="X483" s="163"/>
      <c r="Y483" s="163"/>
      <c r="Z483" s="163"/>
    </row>
    <row r="484" spans="16:26" ht="10.199999999999999" customHeight="1">
      <c r="P484" s="163"/>
      <c r="Q484" s="163"/>
      <c r="R484" s="163"/>
      <c r="S484" s="163"/>
      <c r="T484" s="163"/>
      <c r="U484" s="163"/>
      <c r="V484" s="163"/>
      <c r="W484" s="163"/>
      <c r="X484" s="163"/>
      <c r="Y484" s="163"/>
      <c r="Z484" s="163"/>
    </row>
    <row r="485" spans="16:26" ht="10.199999999999999" customHeight="1">
      <c r="P485" s="163"/>
      <c r="Q485" s="163"/>
      <c r="R485" s="163"/>
      <c r="S485" s="163"/>
      <c r="T485" s="163"/>
      <c r="U485" s="163"/>
      <c r="V485" s="163"/>
      <c r="W485" s="163"/>
      <c r="X485" s="163"/>
      <c r="Y485" s="163"/>
      <c r="Z485" s="163"/>
    </row>
    <row r="486" spans="16:26" ht="10.199999999999999" customHeight="1">
      <c r="P486" s="163"/>
      <c r="Q486" s="163"/>
      <c r="R486" s="163"/>
      <c r="S486" s="163"/>
      <c r="T486" s="163"/>
      <c r="U486" s="163"/>
      <c r="V486" s="163"/>
      <c r="W486" s="163"/>
      <c r="X486" s="163"/>
      <c r="Y486" s="163"/>
      <c r="Z486" s="163"/>
    </row>
    <row r="487" spans="16:26" ht="10.199999999999999" customHeight="1">
      <c r="P487" s="163"/>
      <c r="Q487" s="163"/>
      <c r="R487" s="163"/>
      <c r="S487" s="163"/>
      <c r="T487" s="163"/>
      <c r="U487" s="163"/>
      <c r="V487" s="163"/>
      <c r="W487" s="163"/>
      <c r="X487" s="163"/>
      <c r="Y487" s="163"/>
      <c r="Z487" s="163"/>
    </row>
    <row r="488" spans="16:26" ht="10.199999999999999" customHeight="1">
      <c r="P488" s="163"/>
      <c r="Q488" s="163"/>
      <c r="R488" s="163"/>
      <c r="S488" s="163"/>
      <c r="T488" s="163"/>
      <c r="U488" s="163"/>
      <c r="V488" s="163"/>
      <c r="W488" s="163"/>
      <c r="X488" s="163"/>
      <c r="Y488" s="163"/>
      <c r="Z488" s="163"/>
    </row>
    <row r="489" spans="16:26" ht="10.199999999999999" customHeight="1">
      <c r="P489" s="163"/>
      <c r="Q489" s="163"/>
      <c r="R489" s="163"/>
      <c r="S489" s="163"/>
      <c r="T489" s="163"/>
      <c r="U489" s="163"/>
      <c r="V489" s="163"/>
      <c r="W489" s="163"/>
      <c r="X489" s="163"/>
      <c r="Y489" s="163"/>
      <c r="Z489" s="163"/>
    </row>
    <row r="490" spans="16:26" ht="10.199999999999999" customHeight="1">
      <c r="P490" s="163"/>
      <c r="Q490" s="163"/>
      <c r="R490" s="163"/>
      <c r="S490" s="163"/>
      <c r="T490" s="163"/>
      <c r="U490" s="163"/>
      <c r="V490" s="163"/>
      <c r="W490" s="163"/>
      <c r="X490" s="163"/>
      <c r="Y490" s="163"/>
      <c r="Z490" s="163"/>
    </row>
    <row r="491" spans="16:26" ht="10.199999999999999" customHeight="1">
      <c r="P491" s="163"/>
      <c r="Q491" s="163"/>
      <c r="R491" s="163"/>
      <c r="S491" s="163"/>
      <c r="T491" s="163"/>
      <c r="U491" s="163"/>
      <c r="V491" s="163"/>
      <c r="W491" s="163"/>
      <c r="X491" s="163"/>
      <c r="Y491" s="163"/>
      <c r="Z491" s="163"/>
    </row>
    <row r="492" spans="16:26" ht="10.199999999999999" customHeight="1">
      <c r="P492" s="163"/>
      <c r="Q492" s="163"/>
      <c r="R492" s="163"/>
      <c r="S492" s="163"/>
      <c r="T492" s="163"/>
      <c r="U492" s="163"/>
      <c r="V492" s="163"/>
      <c r="W492" s="163"/>
      <c r="X492" s="163"/>
      <c r="Y492" s="163"/>
      <c r="Z492" s="163"/>
    </row>
    <row r="493" spans="16:26" ht="10.199999999999999" customHeight="1">
      <c r="P493" s="163"/>
      <c r="Q493" s="163"/>
      <c r="R493" s="163"/>
      <c r="S493" s="163"/>
      <c r="T493" s="163"/>
      <c r="U493" s="163"/>
      <c r="V493" s="163"/>
      <c r="W493" s="163"/>
      <c r="X493" s="163"/>
      <c r="Y493" s="163"/>
      <c r="Z493" s="163"/>
    </row>
    <row r="494" spans="16:26" ht="10.199999999999999" customHeight="1">
      <c r="P494" s="163"/>
      <c r="Q494" s="163"/>
      <c r="R494" s="163"/>
      <c r="S494" s="163"/>
      <c r="T494" s="163"/>
      <c r="U494" s="163"/>
      <c r="V494" s="163"/>
      <c r="W494" s="163"/>
      <c r="X494" s="163"/>
      <c r="Y494" s="163"/>
      <c r="Z494" s="163"/>
    </row>
    <row r="495" spans="16:26" ht="10.199999999999999" customHeight="1">
      <c r="P495" s="163"/>
      <c r="Q495" s="163"/>
      <c r="R495" s="163"/>
      <c r="S495" s="163"/>
      <c r="T495" s="163"/>
      <c r="U495" s="163"/>
      <c r="V495" s="163"/>
      <c r="W495" s="163"/>
      <c r="X495" s="163"/>
      <c r="Y495" s="163"/>
      <c r="Z495" s="163"/>
    </row>
    <row r="496" spans="16:26" ht="10.199999999999999" customHeight="1">
      <c r="P496" s="163"/>
      <c r="Q496" s="163"/>
      <c r="R496" s="163"/>
      <c r="S496" s="163"/>
      <c r="T496" s="163"/>
      <c r="U496" s="163"/>
      <c r="V496" s="163"/>
      <c r="W496" s="163"/>
      <c r="X496" s="163"/>
      <c r="Y496" s="163"/>
      <c r="Z496" s="163"/>
    </row>
    <row r="497" spans="16:26" ht="10.199999999999999" customHeight="1">
      <c r="P497" s="163"/>
      <c r="Q497" s="163"/>
      <c r="R497" s="163"/>
      <c r="S497" s="163"/>
      <c r="T497" s="163"/>
      <c r="U497" s="163"/>
      <c r="V497" s="163"/>
      <c r="W497" s="163"/>
      <c r="X497" s="163"/>
      <c r="Y497" s="163"/>
      <c r="Z497" s="163"/>
    </row>
    <row r="498" spans="16:26" ht="10.199999999999999" customHeight="1">
      <c r="P498" s="163"/>
      <c r="Q498" s="163"/>
      <c r="R498" s="163"/>
      <c r="S498" s="163"/>
      <c r="T498" s="163"/>
      <c r="U498" s="163"/>
      <c r="V498" s="163"/>
      <c r="W498" s="163"/>
      <c r="X498" s="163"/>
      <c r="Y498" s="163"/>
      <c r="Z498" s="163"/>
    </row>
    <row r="499" spans="16:26" ht="10.199999999999999" customHeight="1">
      <c r="P499" s="163"/>
      <c r="Q499" s="163"/>
      <c r="R499" s="163"/>
      <c r="S499" s="163"/>
      <c r="T499" s="163"/>
      <c r="U499" s="163"/>
      <c r="V499" s="163"/>
      <c r="W499" s="163"/>
      <c r="X499" s="163"/>
      <c r="Y499" s="163"/>
      <c r="Z499" s="163"/>
    </row>
    <row r="500" spans="16:26" ht="10.199999999999999" customHeight="1">
      <c r="P500" s="163"/>
      <c r="Q500" s="163"/>
      <c r="R500" s="163"/>
      <c r="S500" s="163"/>
      <c r="T500" s="163"/>
      <c r="U500" s="163"/>
      <c r="V500" s="163"/>
      <c r="W500" s="163"/>
      <c r="X500" s="163"/>
      <c r="Y500" s="163"/>
      <c r="Z500" s="163"/>
    </row>
    <row r="501" spans="16:26" ht="10.199999999999999" customHeight="1">
      <c r="P501" s="163"/>
      <c r="Q501" s="163"/>
      <c r="R501" s="163"/>
      <c r="S501" s="163"/>
      <c r="T501" s="163"/>
      <c r="U501" s="163"/>
      <c r="V501" s="163"/>
      <c r="W501" s="163"/>
      <c r="X501" s="163"/>
      <c r="Y501" s="163"/>
      <c r="Z501" s="163"/>
    </row>
    <row r="502" spans="16:26" ht="10.199999999999999" customHeight="1">
      <c r="P502" s="163"/>
      <c r="Q502" s="163"/>
      <c r="R502" s="163"/>
      <c r="S502" s="163"/>
      <c r="T502" s="163"/>
      <c r="U502" s="163"/>
      <c r="V502" s="163"/>
      <c r="W502" s="163"/>
      <c r="X502" s="163"/>
      <c r="Y502" s="163"/>
      <c r="Z502" s="163"/>
    </row>
    <row r="503" spans="16:26" ht="10.199999999999999" customHeight="1">
      <c r="P503" s="163"/>
      <c r="Q503" s="163"/>
      <c r="R503" s="163"/>
      <c r="S503" s="163"/>
      <c r="T503" s="163"/>
      <c r="U503" s="163"/>
      <c r="V503" s="163"/>
      <c r="W503" s="163"/>
      <c r="X503" s="163"/>
      <c r="Y503" s="163"/>
      <c r="Z503" s="163"/>
    </row>
    <row r="504" spans="16:26" ht="10.199999999999999" customHeight="1">
      <c r="P504" s="163"/>
      <c r="Q504" s="163"/>
      <c r="R504" s="163"/>
      <c r="S504" s="163"/>
      <c r="T504" s="163"/>
      <c r="U504" s="163"/>
      <c r="V504" s="163"/>
      <c r="W504" s="163"/>
      <c r="X504" s="163"/>
      <c r="Y504" s="163"/>
      <c r="Z504" s="163"/>
    </row>
    <row r="505" spans="16:26" ht="10.199999999999999" customHeight="1">
      <c r="P505" s="163"/>
      <c r="Q505" s="163"/>
      <c r="R505" s="163"/>
      <c r="S505" s="163"/>
      <c r="T505" s="163"/>
      <c r="U505" s="163"/>
      <c r="V505" s="163"/>
      <c r="W505" s="163"/>
      <c r="X505" s="163"/>
      <c r="Y505" s="163"/>
      <c r="Z505" s="163"/>
    </row>
    <row r="506" spans="16:26" ht="10.199999999999999" customHeight="1">
      <c r="P506" s="163"/>
      <c r="Q506" s="163"/>
      <c r="R506" s="163"/>
      <c r="S506" s="163"/>
      <c r="T506" s="163"/>
      <c r="U506" s="163"/>
      <c r="V506" s="163"/>
      <c r="W506" s="163"/>
      <c r="X506" s="163"/>
      <c r="Y506" s="163"/>
      <c r="Z506" s="163"/>
    </row>
    <row r="507" spans="16:26" ht="10.199999999999999" customHeight="1">
      <c r="P507" s="163"/>
      <c r="Q507" s="163"/>
      <c r="R507" s="163"/>
      <c r="S507" s="163"/>
      <c r="T507" s="163"/>
      <c r="U507" s="163"/>
      <c r="V507" s="163"/>
      <c r="W507" s="163"/>
      <c r="X507" s="163"/>
      <c r="Y507" s="163"/>
      <c r="Z507" s="163"/>
    </row>
    <row r="508" spans="16:26" ht="10.199999999999999" customHeight="1">
      <c r="P508" s="163"/>
      <c r="Q508" s="163"/>
      <c r="R508" s="163"/>
      <c r="S508" s="163"/>
      <c r="T508" s="163"/>
      <c r="U508" s="163"/>
      <c r="V508" s="163"/>
      <c r="W508" s="163"/>
      <c r="X508" s="163"/>
      <c r="Y508" s="163"/>
      <c r="Z508" s="163"/>
    </row>
    <row r="509" spans="16:26" ht="10.199999999999999" customHeight="1">
      <c r="P509" s="163"/>
      <c r="Q509" s="163"/>
      <c r="R509" s="163"/>
      <c r="S509" s="163"/>
      <c r="T509" s="163"/>
      <c r="U509" s="163"/>
      <c r="V509" s="163"/>
      <c r="W509" s="163"/>
      <c r="X509" s="163"/>
      <c r="Y509" s="163"/>
      <c r="Z509" s="163"/>
    </row>
    <row r="510" spans="16:26" ht="10.199999999999999" customHeight="1">
      <c r="P510" s="163"/>
      <c r="Q510" s="163"/>
      <c r="R510" s="163"/>
      <c r="S510" s="163"/>
      <c r="T510" s="163"/>
      <c r="U510" s="163"/>
      <c r="V510" s="163"/>
      <c r="W510" s="163"/>
      <c r="X510" s="163"/>
      <c r="Y510" s="163"/>
      <c r="Z510" s="163"/>
    </row>
    <row r="511" spans="16:26" ht="10.199999999999999" customHeight="1">
      <c r="P511" s="163"/>
      <c r="Q511" s="163"/>
      <c r="R511" s="163"/>
      <c r="S511" s="163"/>
      <c r="T511" s="163"/>
      <c r="U511" s="163"/>
      <c r="V511" s="163"/>
      <c r="W511" s="163"/>
      <c r="X511" s="163"/>
      <c r="Y511" s="163"/>
      <c r="Z511" s="163"/>
    </row>
    <row r="512" spans="16:26" ht="10.199999999999999" customHeight="1">
      <c r="P512" s="163"/>
      <c r="Q512" s="163"/>
      <c r="R512" s="163"/>
      <c r="S512" s="163"/>
      <c r="T512" s="163"/>
      <c r="U512" s="163"/>
      <c r="V512" s="163"/>
      <c r="W512" s="163"/>
      <c r="X512" s="163"/>
      <c r="Y512" s="163"/>
      <c r="Z512" s="163"/>
    </row>
    <row r="513" spans="16:26" ht="10.199999999999999" customHeight="1">
      <c r="P513" s="163"/>
      <c r="Q513" s="163"/>
      <c r="R513" s="163"/>
      <c r="S513" s="163"/>
      <c r="T513" s="163"/>
      <c r="U513" s="163"/>
      <c r="V513" s="163"/>
      <c r="W513" s="163"/>
      <c r="X513" s="163"/>
      <c r="Y513" s="163"/>
      <c r="Z513" s="163"/>
    </row>
    <row r="514" spans="16:26" ht="10.199999999999999" customHeight="1">
      <c r="P514" s="163"/>
      <c r="Q514" s="163"/>
      <c r="R514" s="163"/>
      <c r="S514" s="163"/>
      <c r="T514" s="163"/>
      <c r="U514" s="163"/>
      <c r="V514" s="163"/>
      <c r="W514" s="163"/>
      <c r="X514" s="163"/>
      <c r="Y514" s="163"/>
      <c r="Z514" s="163"/>
    </row>
    <row r="515" spans="16:26" ht="10.199999999999999" customHeight="1">
      <c r="P515" s="163"/>
      <c r="Q515" s="163"/>
      <c r="R515" s="163"/>
      <c r="S515" s="163"/>
      <c r="T515" s="163"/>
      <c r="U515" s="163"/>
      <c r="V515" s="163"/>
      <c r="W515" s="163"/>
      <c r="X515" s="163"/>
      <c r="Y515" s="163"/>
      <c r="Z515" s="163"/>
    </row>
    <row r="516" spans="16:26" ht="10.199999999999999" customHeight="1">
      <c r="P516" s="163"/>
      <c r="Q516" s="163"/>
      <c r="R516" s="163"/>
      <c r="S516" s="163"/>
      <c r="T516" s="163"/>
      <c r="U516" s="163"/>
      <c r="V516" s="163"/>
      <c r="W516" s="163"/>
      <c r="X516" s="163"/>
      <c r="Y516" s="163"/>
      <c r="Z516" s="163"/>
    </row>
    <row r="517" spans="16:26" ht="10.199999999999999" customHeight="1">
      <c r="P517" s="163"/>
      <c r="Q517" s="163"/>
      <c r="R517" s="163"/>
      <c r="S517" s="163"/>
      <c r="T517" s="163"/>
      <c r="U517" s="163"/>
      <c r="V517" s="163"/>
      <c r="W517" s="163"/>
      <c r="X517" s="163"/>
      <c r="Y517" s="163"/>
      <c r="Z517" s="163"/>
    </row>
    <row r="518" spans="16:26" ht="10.199999999999999" customHeight="1">
      <c r="P518" s="163"/>
      <c r="Q518" s="163"/>
      <c r="R518" s="163"/>
      <c r="S518" s="163"/>
      <c r="T518" s="163"/>
      <c r="U518" s="163"/>
      <c r="V518" s="163"/>
      <c r="W518" s="163"/>
      <c r="X518" s="163"/>
      <c r="Y518" s="163"/>
      <c r="Z518" s="163"/>
    </row>
    <row r="519" spans="16:26" ht="10.199999999999999" customHeight="1">
      <c r="P519" s="163"/>
      <c r="Q519" s="163"/>
      <c r="R519" s="163"/>
      <c r="S519" s="163"/>
      <c r="T519" s="163"/>
      <c r="U519" s="163"/>
      <c r="V519" s="163"/>
      <c r="W519" s="163"/>
      <c r="X519" s="163"/>
      <c r="Y519" s="163"/>
      <c r="Z519" s="163"/>
    </row>
    <row r="520" spans="16:26" ht="10.199999999999999" customHeight="1">
      <c r="P520" s="163"/>
      <c r="Q520" s="163"/>
      <c r="R520" s="163"/>
      <c r="S520" s="163"/>
      <c r="T520" s="163"/>
      <c r="U520" s="163"/>
      <c r="V520" s="163"/>
      <c r="W520" s="163"/>
      <c r="X520" s="163"/>
      <c r="Y520" s="163"/>
      <c r="Z520" s="163"/>
    </row>
    <row r="521" spans="16:26" ht="10.199999999999999" customHeight="1">
      <c r="P521" s="163"/>
      <c r="Q521" s="163"/>
      <c r="R521" s="163"/>
      <c r="S521" s="163"/>
      <c r="T521" s="163"/>
      <c r="U521" s="163"/>
      <c r="V521" s="163"/>
      <c r="W521" s="163"/>
      <c r="X521" s="163"/>
      <c r="Y521" s="163"/>
      <c r="Z521" s="163"/>
    </row>
    <row r="522" spans="16:26" ht="10.199999999999999" customHeight="1">
      <c r="P522" s="163"/>
      <c r="Q522" s="163"/>
      <c r="R522" s="163"/>
      <c r="S522" s="163"/>
      <c r="T522" s="163"/>
      <c r="U522" s="163"/>
      <c r="V522" s="163"/>
      <c r="W522" s="163"/>
      <c r="X522" s="163"/>
      <c r="Y522" s="163"/>
      <c r="Z522" s="163"/>
    </row>
    <row r="523" spans="16:26" ht="10.199999999999999" customHeight="1">
      <c r="P523" s="163"/>
      <c r="Q523" s="163"/>
      <c r="R523" s="163"/>
      <c r="S523" s="163"/>
      <c r="T523" s="163"/>
      <c r="U523" s="163"/>
      <c r="V523" s="163"/>
      <c r="W523" s="163"/>
      <c r="X523" s="163"/>
      <c r="Y523" s="163"/>
      <c r="Z523" s="163"/>
    </row>
    <row r="524" spans="16:26" ht="10.199999999999999" customHeight="1">
      <c r="P524" s="163"/>
      <c r="Q524" s="163"/>
      <c r="R524" s="163"/>
      <c r="S524" s="163"/>
      <c r="T524" s="163"/>
      <c r="U524" s="163"/>
      <c r="V524" s="163"/>
      <c r="W524" s="163"/>
      <c r="X524" s="163"/>
      <c r="Y524" s="163"/>
      <c r="Z524" s="163"/>
    </row>
    <row r="525" spans="16:26" ht="10.199999999999999" customHeight="1">
      <c r="P525" s="163"/>
      <c r="Q525" s="163"/>
      <c r="R525" s="163"/>
      <c r="S525" s="163"/>
      <c r="T525" s="163"/>
      <c r="U525" s="163"/>
      <c r="V525" s="163"/>
      <c r="W525" s="163"/>
      <c r="X525" s="163"/>
      <c r="Y525" s="163"/>
      <c r="Z525" s="163"/>
    </row>
    <row r="526" spans="16:26" ht="10.199999999999999" customHeight="1">
      <c r="P526" s="163"/>
      <c r="Q526" s="163"/>
      <c r="R526" s="163"/>
      <c r="S526" s="163"/>
      <c r="T526" s="163"/>
      <c r="U526" s="163"/>
      <c r="V526" s="163"/>
      <c r="W526" s="163"/>
      <c r="X526" s="163"/>
      <c r="Y526" s="163"/>
      <c r="Z526" s="163"/>
    </row>
    <row r="527" spans="16:26" ht="10.199999999999999" customHeight="1">
      <c r="P527" s="163"/>
      <c r="Q527" s="163"/>
      <c r="R527" s="163"/>
      <c r="S527" s="163"/>
      <c r="T527" s="163"/>
      <c r="U527" s="163"/>
      <c r="V527" s="163"/>
      <c r="W527" s="163"/>
      <c r="X527" s="163"/>
      <c r="Y527" s="163"/>
      <c r="Z527" s="163"/>
    </row>
    <row r="528" spans="16:26" ht="10.199999999999999" customHeight="1">
      <c r="P528" s="163"/>
      <c r="Q528" s="163"/>
      <c r="R528" s="163"/>
      <c r="S528" s="163"/>
      <c r="T528" s="163"/>
      <c r="U528" s="163"/>
      <c r="V528" s="163"/>
      <c r="W528" s="163"/>
      <c r="X528" s="163"/>
      <c r="Y528" s="163"/>
      <c r="Z528" s="163"/>
    </row>
    <row r="529" spans="16:26" ht="10.199999999999999" customHeight="1">
      <c r="P529" s="163"/>
      <c r="Q529" s="163"/>
      <c r="R529" s="163"/>
      <c r="S529" s="163"/>
      <c r="T529" s="163"/>
      <c r="U529" s="163"/>
      <c r="V529" s="163"/>
      <c r="W529" s="163"/>
      <c r="X529" s="163"/>
      <c r="Y529" s="163"/>
      <c r="Z529" s="163"/>
    </row>
    <row r="530" spans="16:26" ht="10.199999999999999" customHeight="1">
      <c r="P530" s="163"/>
      <c r="Q530" s="163"/>
      <c r="R530" s="163"/>
      <c r="S530" s="163"/>
      <c r="T530" s="163"/>
      <c r="U530" s="163"/>
      <c r="V530" s="163"/>
      <c r="W530" s="163"/>
      <c r="X530" s="163"/>
      <c r="Y530" s="163"/>
      <c r="Z530" s="163"/>
    </row>
    <row r="531" spans="16:26" ht="10.199999999999999" customHeight="1">
      <c r="P531" s="163"/>
      <c r="Q531" s="163"/>
      <c r="R531" s="163"/>
      <c r="S531" s="163"/>
      <c r="T531" s="163"/>
      <c r="U531" s="163"/>
      <c r="V531" s="163"/>
      <c r="W531" s="163"/>
      <c r="X531" s="163"/>
      <c r="Y531" s="163"/>
      <c r="Z531" s="163"/>
    </row>
    <row r="532" spans="16:26" ht="10.199999999999999" customHeight="1">
      <c r="P532" s="163"/>
      <c r="Q532" s="163"/>
      <c r="R532" s="163"/>
      <c r="S532" s="163"/>
      <c r="T532" s="163"/>
      <c r="U532" s="163"/>
      <c r="V532" s="163"/>
      <c r="W532" s="163"/>
      <c r="X532" s="163"/>
      <c r="Y532" s="163"/>
      <c r="Z532" s="163"/>
    </row>
    <row r="533" spans="16:26" ht="10.199999999999999" customHeight="1">
      <c r="P533" s="163"/>
      <c r="Q533" s="163"/>
      <c r="R533" s="163"/>
      <c r="S533" s="163"/>
      <c r="T533" s="163"/>
      <c r="U533" s="163"/>
      <c r="V533" s="163"/>
      <c r="W533" s="163"/>
      <c r="X533" s="163"/>
      <c r="Y533" s="163"/>
      <c r="Z533" s="163"/>
    </row>
    <row r="534" spans="16:26" ht="10.199999999999999" customHeight="1">
      <c r="P534" s="163"/>
      <c r="Q534" s="163"/>
      <c r="R534" s="163"/>
      <c r="S534" s="163"/>
      <c r="T534" s="163"/>
      <c r="U534" s="163"/>
      <c r="V534" s="163"/>
      <c r="W534" s="163"/>
      <c r="X534" s="163"/>
      <c r="Y534" s="163"/>
      <c r="Z534" s="163"/>
    </row>
    <row r="535" spans="16:26" ht="10.199999999999999" customHeight="1">
      <c r="P535" s="163"/>
      <c r="Q535" s="163"/>
      <c r="R535" s="163"/>
      <c r="S535" s="163"/>
      <c r="T535" s="163"/>
      <c r="U535" s="163"/>
      <c r="V535" s="163"/>
      <c r="W535" s="163"/>
      <c r="X535" s="163"/>
      <c r="Y535" s="163"/>
      <c r="Z535" s="163"/>
    </row>
    <row r="536" spans="16:26" ht="10.199999999999999" customHeight="1">
      <c r="P536" s="163"/>
      <c r="Q536" s="163"/>
      <c r="R536" s="163"/>
      <c r="S536" s="163"/>
      <c r="T536" s="163"/>
      <c r="U536" s="163"/>
      <c r="V536" s="163"/>
      <c r="W536" s="163"/>
      <c r="X536" s="163"/>
      <c r="Y536" s="163"/>
      <c r="Z536" s="163"/>
    </row>
    <row r="537" spans="16:26" ht="10.199999999999999" customHeight="1">
      <c r="P537" s="163"/>
      <c r="Q537" s="163"/>
      <c r="R537" s="163"/>
      <c r="S537" s="163"/>
      <c r="T537" s="163"/>
      <c r="U537" s="163"/>
      <c r="V537" s="163"/>
      <c r="W537" s="163"/>
      <c r="X537" s="163"/>
      <c r="Y537" s="163"/>
      <c r="Z537" s="163"/>
    </row>
    <row r="538" spans="16:26" ht="10.199999999999999" customHeight="1">
      <c r="P538" s="163"/>
      <c r="Q538" s="163"/>
      <c r="R538" s="163"/>
      <c r="S538" s="163"/>
      <c r="T538" s="163"/>
      <c r="U538" s="163"/>
      <c r="V538" s="163"/>
      <c r="W538" s="163"/>
      <c r="X538" s="163"/>
      <c r="Y538" s="163"/>
      <c r="Z538" s="163"/>
    </row>
    <row r="539" spans="16:26" ht="10.199999999999999" customHeight="1">
      <c r="P539" s="163"/>
      <c r="Q539" s="163"/>
      <c r="R539" s="163"/>
      <c r="S539" s="163"/>
      <c r="T539" s="163"/>
      <c r="U539" s="163"/>
      <c r="V539" s="163"/>
      <c r="W539" s="163"/>
      <c r="X539" s="163"/>
      <c r="Y539" s="163"/>
      <c r="Z539" s="163"/>
    </row>
    <row r="540" spans="16:26" ht="10.199999999999999" customHeight="1">
      <c r="P540" s="163"/>
      <c r="Q540" s="163"/>
      <c r="R540" s="163"/>
      <c r="S540" s="163"/>
      <c r="T540" s="163"/>
      <c r="U540" s="163"/>
      <c r="V540" s="163"/>
      <c r="W540" s="163"/>
      <c r="X540" s="163"/>
      <c r="Y540" s="163"/>
      <c r="Z540" s="163"/>
    </row>
    <row r="541" spans="16:26" ht="10.199999999999999" customHeight="1">
      <c r="P541" s="163"/>
      <c r="Q541" s="163"/>
      <c r="R541" s="163"/>
      <c r="S541" s="163"/>
      <c r="T541" s="163"/>
      <c r="U541" s="163"/>
      <c r="V541" s="163"/>
      <c r="W541" s="163"/>
      <c r="X541" s="163"/>
      <c r="Y541" s="163"/>
      <c r="Z541" s="163"/>
    </row>
    <row r="542" spans="16:26" ht="10.199999999999999" customHeight="1">
      <c r="P542" s="163"/>
      <c r="Q542" s="163"/>
      <c r="R542" s="163"/>
      <c r="S542" s="163"/>
      <c r="T542" s="163"/>
      <c r="U542" s="163"/>
      <c r="V542" s="163"/>
      <c r="W542" s="163"/>
      <c r="X542" s="163"/>
      <c r="Y542" s="163"/>
      <c r="Z542" s="163"/>
    </row>
    <row r="543" spans="16:26" ht="10.199999999999999" customHeight="1">
      <c r="P543" s="163"/>
      <c r="Q543" s="163"/>
      <c r="R543" s="163"/>
      <c r="S543" s="163"/>
      <c r="T543" s="163"/>
      <c r="U543" s="163"/>
      <c r="V543" s="163"/>
      <c r="W543" s="163"/>
      <c r="X543" s="163"/>
      <c r="Y543" s="163"/>
      <c r="Z543" s="163"/>
    </row>
    <row r="544" spans="16:26" ht="10.199999999999999" customHeight="1">
      <c r="P544" s="163"/>
      <c r="Q544" s="163"/>
      <c r="R544" s="163"/>
      <c r="S544" s="163"/>
      <c r="T544" s="163"/>
      <c r="U544" s="163"/>
      <c r="V544" s="163"/>
      <c r="W544" s="163"/>
      <c r="X544" s="163"/>
      <c r="Y544" s="163"/>
      <c r="Z544" s="163"/>
    </row>
    <row r="545" spans="16:26" ht="10.199999999999999" customHeight="1">
      <c r="P545" s="163"/>
      <c r="Q545" s="163"/>
      <c r="R545" s="163"/>
      <c r="S545" s="163"/>
      <c r="T545" s="163"/>
      <c r="U545" s="163"/>
      <c r="V545" s="163"/>
      <c r="W545" s="163"/>
      <c r="X545" s="163"/>
      <c r="Y545" s="163"/>
      <c r="Z545" s="163"/>
    </row>
    <row r="546" spans="16:26" ht="10.199999999999999" customHeight="1">
      <c r="P546" s="163"/>
      <c r="Q546" s="163"/>
      <c r="R546" s="163"/>
      <c r="S546" s="163"/>
      <c r="T546" s="163"/>
      <c r="U546" s="163"/>
      <c r="V546" s="163"/>
      <c r="W546" s="163"/>
      <c r="X546" s="163"/>
      <c r="Y546" s="163"/>
      <c r="Z546" s="163"/>
    </row>
    <row r="547" spans="16:26" ht="10.199999999999999" customHeight="1">
      <c r="P547" s="163"/>
      <c r="Q547" s="163"/>
      <c r="R547" s="163"/>
      <c r="S547" s="163"/>
      <c r="T547" s="163"/>
      <c r="U547" s="163"/>
      <c r="V547" s="163"/>
      <c r="W547" s="163"/>
      <c r="X547" s="163"/>
      <c r="Y547" s="163"/>
      <c r="Z547" s="163"/>
    </row>
    <row r="548" spans="16:26" ht="10.199999999999999" customHeight="1">
      <c r="P548" s="163"/>
      <c r="Q548" s="163"/>
      <c r="R548" s="163"/>
      <c r="S548" s="163"/>
      <c r="T548" s="163"/>
      <c r="U548" s="163"/>
      <c r="V548" s="163"/>
      <c r="W548" s="163"/>
      <c r="X548" s="163"/>
      <c r="Y548" s="163"/>
      <c r="Z548" s="163"/>
    </row>
    <row r="549" spans="16:26" ht="10.199999999999999" customHeight="1">
      <c r="P549" s="163"/>
      <c r="Q549" s="163"/>
      <c r="R549" s="163"/>
      <c r="S549" s="163"/>
      <c r="T549" s="163"/>
      <c r="U549" s="163"/>
      <c r="V549" s="163"/>
      <c r="W549" s="163"/>
      <c r="X549" s="163"/>
      <c r="Y549" s="163"/>
      <c r="Z549" s="163"/>
    </row>
    <row r="550" spans="16:26" ht="10.199999999999999" customHeight="1">
      <c r="P550" s="163"/>
      <c r="Q550" s="163"/>
      <c r="R550" s="163"/>
      <c r="S550" s="163"/>
      <c r="T550" s="163"/>
      <c r="U550" s="163"/>
      <c r="V550" s="163"/>
      <c r="W550" s="163"/>
      <c r="X550" s="163"/>
      <c r="Y550" s="163"/>
      <c r="Z550" s="163"/>
    </row>
    <row r="551" spans="16:26" ht="10.199999999999999" customHeight="1">
      <c r="P551" s="163"/>
      <c r="Q551" s="163"/>
      <c r="R551" s="163"/>
      <c r="S551" s="163"/>
      <c r="T551" s="163"/>
      <c r="U551" s="163"/>
      <c r="V551" s="163"/>
      <c r="W551" s="163"/>
      <c r="X551" s="163"/>
      <c r="Y551" s="163"/>
      <c r="Z551" s="163"/>
    </row>
    <row r="552" spans="16:26" ht="10.199999999999999" customHeight="1">
      <c r="P552" s="163"/>
      <c r="Q552" s="163"/>
      <c r="R552" s="163"/>
      <c r="S552" s="163"/>
      <c r="T552" s="163"/>
      <c r="U552" s="163"/>
      <c r="V552" s="163"/>
      <c r="W552" s="163"/>
      <c r="X552" s="163"/>
      <c r="Y552" s="163"/>
      <c r="Z552" s="163"/>
    </row>
    <row r="553" spans="16:26" ht="10.199999999999999" customHeight="1">
      <c r="P553" s="163"/>
      <c r="Q553" s="163"/>
      <c r="R553" s="163"/>
      <c r="S553" s="163"/>
      <c r="T553" s="163"/>
      <c r="U553" s="163"/>
      <c r="V553" s="163"/>
      <c r="W553" s="163"/>
      <c r="X553" s="163"/>
      <c r="Y553" s="163"/>
      <c r="Z553" s="163"/>
    </row>
    <row r="554" spans="16:26" ht="10.199999999999999" customHeight="1">
      <c r="P554" s="163"/>
      <c r="Q554" s="163"/>
      <c r="R554" s="163"/>
      <c r="S554" s="163"/>
      <c r="T554" s="163"/>
      <c r="U554" s="163"/>
      <c r="V554" s="163"/>
      <c r="W554" s="163"/>
      <c r="X554" s="163"/>
      <c r="Y554" s="163"/>
      <c r="Z554" s="163"/>
    </row>
    <row r="555" spans="16:26" ht="10.199999999999999" customHeight="1">
      <c r="P555" s="163"/>
      <c r="Q555" s="163"/>
      <c r="R555" s="163"/>
      <c r="S555" s="163"/>
      <c r="T555" s="163"/>
      <c r="U555" s="163"/>
      <c r="V555" s="163"/>
      <c r="W555" s="163"/>
      <c r="X555" s="163"/>
      <c r="Y555" s="163"/>
      <c r="Z555" s="163"/>
    </row>
    <row r="556" spans="16:26" ht="10.199999999999999" customHeight="1">
      <c r="P556" s="163"/>
      <c r="Q556" s="163"/>
      <c r="R556" s="163"/>
      <c r="S556" s="163"/>
      <c r="T556" s="163"/>
      <c r="U556" s="163"/>
      <c r="V556" s="163"/>
      <c r="W556" s="163"/>
      <c r="X556" s="163"/>
      <c r="Y556" s="163"/>
      <c r="Z556" s="163"/>
    </row>
    <row r="557" spans="16:26" ht="10.199999999999999" customHeight="1">
      <c r="P557" s="163"/>
      <c r="Q557" s="163"/>
      <c r="R557" s="163"/>
      <c r="S557" s="163"/>
      <c r="T557" s="163"/>
      <c r="U557" s="163"/>
      <c r="V557" s="163"/>
      <c r="W557" s="163"/>
      <c r="X557" s="163"/>
      <c r="Y557" s="163"/>
      <c r="Z557" s="163"/>
    </row>
    <row r="558" spans="16:26" ht="10.199999999999999" customHeight="1">
      <c r="P558" s="163"/>
      <c r="Q558" s="163"/>
      <c r="R558" s="163"/>
      <c r="S558" s="163"/>
      <c r="T558" s="163"/>
      <c r="U558" s="163"/>
      <c r="V558" s="163"/>
      <c r="W558" s="163"/>
      <c r="X558" s="163"/>
      <c r="Y558" s="163"/>
      <c r="Z558" s="163"/>
    </row>
    <row r="559" spans="16:26" ht="10.199999999999999" customHeight="1">
      <c r="P559" s="163"/>
      <c r="Q559" s="163"/>
      <c r="R559" s="163"/>
      <c r="S559" s="163"/>
      <c r="T559" s="163"/>
      <c r="U559" s="163"/>
      <c r="V559" s="163"/>
      <c r="W559" s="163"/>
      <c r="X559" s="163"/>
      <c r="Y559" s="163"/>
      <c r="Z559" s="163"/>
    </row>
    <row r="560" spans="16:26" ht="10.199999999999999" customHeight="1">
      <c r="P560" s="163"/>
      <c r="Q560" s="163"/>
      <c r="R560" s="163"/>
      <c r="S560" s="163"/>
      <c r="T560" s="163"/>
      <c r="U560" s="163"/>
      <c r="V560" s="163"/>
      <c r="W560" s="163"/>
      <c r="X560" s="163"/>
      <c r="Y560" s="163"/>
      <c r="Z560" s="163"/>
    </row>
    <row r="561" spans="16:26" ht="10.199999999999999" customHeight="1">
      <c r="P561" s="163"/>
      <c r="Q561" s="163"/>
      <c r="R561" s="163"/>
      <c r="S561" s="163"/>
      <c r="T561" s="163"/>
      <c r="U561" s="163"/>
      <c r="V561" s="163"/>
      <c r="W561" s="163"/>
      <c r="X561" s="163"/>
      <c r="Y561" s="163"/>
      <c r="Z561" s="163"/>
    </row>
    <row r="562" spans="16:26" ht="10.199999999999999" customHeight="1">
      <c r="P562" s="163"/>
      <c r="Q562" s="163"/>
      <c r="R562" s="163"/>
      <c r="S562" s="163"/>
      <c r="T562" s="163"/>
      <c r="U562" s="163"/>
      <c r="V562" s="163"/>
      <c r="W562" s="163"/>
      <c r="X562" s="163"/>
      <c r="Y562" s="163"/>
      <c r="Z562" s="163"/>
    </row>
    <row r="563" spans="16:26" ht="10.199999999999999" customHeight="1">
      <c r="P563" s="163"/>
      <c r="Q563" s="163"/>
      <c r="R563" s="163"/>
      <c r="S563" s="163"/>
      <c r="T563" s="163"/>
      <c r="U563" s="163"/>
      <c r="V563" s="163"/>
      <c r="W563" s="163"/>
      <c r="X563" s="163"/>
      <c r="Y563" s="163"/>
      <c r="Z563" s="163"/>
    </row>
    <row r="564" spans="16:26" ht="10.199999999999999" customHeight="1">
      <c r="P564" s="163"/>
      <c r="Q564" s="163"/>
      <c r="R564" s="163"/>
      <c r="S564" s="163"/>
      <c r="T564" s="163"/>
      <c r="U564" s="163"/>
      <c r="V564" s="163"/>
      <c r="W564" s="163"/>
      <c r="X564" s="163"/>
      <c r="Y564" s="163"/>
      <c r="Z564" s="163"/>
    </row>
    <row r="565" spans="16:26" ht="10.199999999999999" customHeight="1">
      <c r="P565" s="163"/>
      <c r="Q565" s="163"/>
      <c r="R565" s="163"/>
      <c r="S565" s="163"/>
      <c r="T565" s="163"/>
      <c r="U565" s="163"/>
      <c r="V565" s="163"/>
      <c r="W565" s="163"/>
      <c r="X565" s="163"/>
      <c r="Y565" s="163"/>
      <c r="Z565" s="163"/>
    </row>
    <row r="566" spans="16:26" ht="10.199999999999999" customHeight="1">
      <c r="P566" s="163"/>
      <c r="Q566" s="163"/>
      <c r="R566" s="163"/>
      <c r="S566" s="163"/>
      <c r="T566" s="163"/>
      <c r="U566" s="163"/>
      <c r="V566" s="163"/>
      <c r="W566" s="163"/>
      <c r="X566" s="163"/>
      <c r="Y566" s="163"/>
      <c r="Z566" s="163"/>
    </row>
    <row r="567" spans="16:26" ht="10.199999999999999" customHeight="1">
      <c r="P567" s="163"/>
      <c r="Q567" s="163"/>
      <c r="R567" s="163"/>
      <c r="S567" s="163"/>
      <c r="T567" s="163"/>
      <c r="U567" s="163"/>
      <c r="V567" s="163"/>
      <c r="W567" s="163"/>
      <c r="X567" s="163"/>
      <c r="Y567" s="163"/>
      <c r="Z567" s="163"/>
    </row>
    <row r="568" spans="16:26" ht="10.199999999999999" customHeight="1">
      <c r="P568" s="163"/>
      <c r="Q568" s="163"/>
      <c r="R568" s="163"/>
      <c r="S568" s="163"/>
      <c r="T568" s="163"/>
      <c r="U568" s="163"/>
      <c r="V568" s="163"/>
      <c r="W568" s="163"/>
      <c r="X568" s="163"/>
      <c r="Y568" s="163"/>
      <c r="Z568" s="163"/>
    </row>
    <row r="569" spans="16:26" ht="10.199999999999999" customHeight="1">
      <c r="P569" s="163"/>
      <c r="Q569" s="163"/>
      <c r="R569" s="163"/>
      <c r="S569" s="163"/>
      <c r="T569" s="163"/>
      <c r="U569" s="163"/>
      <c r="V569" s="163"/>
      <c r="W569" s="163"/>
      <c r="X569" s="163"/>
      <c r="Y569" s="163"/>
      <c r="Z569" s="163"/>
    </row>
    <row r="570" spans="16:26" ht="10.199999999999999" customHeight="1">
      <c r="P570" s="163"/>
      <c r="Q570" s="163"/>
      <c r="R570" s="163"/>
      <c r="S570" s="163"/>
      <c r="T570" s="163"/>
      <c r="U570" s="163"/>
      <c r="V570" s="163"/>
      <c r="W570" s="163"/>
      <c r="X570" s="163"/>
      <c r="Y570" s="163"/>
      <c r="Z570" s="163"/>
    </row>
    <row r="571" spans="16:26" ht="10.199999999999999" customHeight="1">
      <c r="P571" s="163"/>
      <c r="Q571" s="163"/>
      <c r="R571" s="163"/>
      <c r="S571" s="163"/>
      <c r="T571" s="163"/>
      <c r="U571" s="163"/>
      <c r="V571" s="163"/>
      <c r="W571" s="163"/>
      <c r="X571" s="163"/>
      <c r="Y571" s="163"/>
      <c r="Z571" s="163"/>
    </row>
    <row r="572" spans="16:26" ht="10.199999999999999" customHeight="1">
      <c r="P572" s="163"/>
      <c r="Q572" s="163"/>
      <c r="R572" s="163"/>
      <c r="S572" s="163"/>
      <c r="T572" s="163"/>
      <c r="U572" s="163"/>
      <c r="V572" s="163"/>
      <c r="W572" s="163"/>
      <c r="X572" s="163"/>
      <c r="Y572" s="163"/>
      <c r="Z572" s="163"/>
    </row>
    <row r="573" spans="16:26" ht="10.199999999999999" customHeight="1">
      <c r="P573" s="163"/>
      <c r="Q573" s="163"/>
      <c r="R573" s="163"/>
      <c r="S573" s="163"/>
      <c r="T573" s="163"/>
      <c r="U573" s="163"/>
      <c r="V573" s="163"/>
      <c r="W573" s="163"/>
      <c r="X573" s="163"/>
      <c r="Y573" s="163"/>
      <c r="Z573" s="163"/>
    </row>
    <row r="574" spans="16:26" ht="10.199999999999999" customHeight="1">
      <c r="P574" s="163"/>
      <c r="Q574" s="163"/>
      <c r="R574" s="163"/>
      <c r="S574" s="163"/>
      <c r="T574" s="163"/>
      <c r="U574" s="163"/>
      <c r="V574" s="163"/>
      <c r="W574" s="163"/>
      <c r="X574" s="163"/>
      <c r="Y574" s="163"/>
      <c r="Z574" s="163"/>
    </row>
    <row r="575" spans="16:26" ht="10.199999999999999" customHeight="1">
      <c r="P575" s="163"/>
      <c r="Q575" s="163"/>
      <c r="R575" s="163"/>
      <c r="S575" s="163"/>
      <c r="T575" s="163"/>
      <c r="U575" s="163"/>
      <c r="V575" s="163"/>
      <c r="W575" s="163"/>
      <c r="X575" s="163"/>
      <c r="Y575" s="163"/>
      <c r="Z575" s="163"/>
    </row>
    <row r="576" spans="16:26" ht="10.199999999999999" customHeight="1">
      <c r="P576" s="163"/>
      <c r="Q576" s="163"/>
      <c r="R576" s="163"/>
      <c r="S576" s="163"/>
      <c r="T576" s="163"/>
      <c r="U576" s="163"/>
      <c r="V576" s="163"/>
      <c r="W576" s="163"/>
      <c r="X576" s="163"/>
      <c r="Y576" s="163"/>
      <c r="Z576" s="163"/>
    </row>
    <row r="577" spans="16:26" ht="10.199999999999999" customHeight="1">
      <c r="P577" s="163"/>
      <c r="Q577" s="163"/>
      <c r="R577" s="163"/>
      <c r="S577" s="163"/>
      <c r="T577" s="163"/>
      <c r="U577" s="163"/>
      <c r="V577" s="163"/>
      <c r="W577" s="163"/>
      <c r="X577" s="163"/>
      <c r="Y577" s="163"/>
      <c r="Z577" s="163"/>
    </row>
    <row r="578" spans="16:26" ht="10.199999999999999" customHeight="1">
      <c r="P578" s="163"/>
      <c r="Q578" s="163"/>
      <c r="R578" s="163"/>
      <c r="S578" s="163"/>
      <c r="T578" s="163"/>
      <c r="U578" s="163"/>
      <c r="V578" s="163"/>
      <c r="W578" s="163"/>
      <c r="X578" s="163"/>
      <c r="Y578" s="163"/>
      <c r="Z578" s="163"/>
    </row>
    <row r="579" spans="16:26" ht="10.199999999999999" customHeight="1">
      <c r="P579" s="163"/>
      <c r="Q579" s="163"/>
      <c r="R579" s="163"/>
      <c r="S579" s="163"/>
      <c r="T579" s="163"/>
      <c r="U579" s="163"/>
      <c r="V579" s="163"/>
      <c r="W579" s="163"/>
      <c r="X579" s="163"/>
      <c r="Y579" s="163"/>
      <c r="Z579" s="163"/>
    </row>
    <row r="580" spans="16:26" ht="10.199999999999999" customHeight="1">
      <c r="P580" s="163"/>
      <c r="Q580" s="163"/>
      <c r="R580" s="163"/>
      <c r="S580" s="163"/>
      <c r="T580" s="163"/>
      <c r="U580" s="163"/>
      <c r="V580" s="163"/>
      <c r="W580" s="163"/>
      <c r="X580" s="163"/>
      <c r="Y580" s="163"/>
      <c r="Z580" s="163"/>
    </row>
    <row r="581" spans="16:26" ht="10.199999999999999" customHeight="1">
      <c r="P581" s="163"/>
      <c r="Q581" s="163"/>
      <c r="R581" s="163"/>
      <c r="S581" s="163"/>
      <c r="T581" s="163"/>
      <c r="U581" s="163"/>
      <c r="V581" s="163"/>
      <c r="W581" s="163"/>
      <c r="X581" s="163"/>
      <c r="Y581" s="163"/>
      <c r="Z581" s="163"/>
    </row>
    <row r="582" spans="16:26" ht="10.199999999999999" customHeight="1">
      <c r="P582" s="163"/>
      <c r="Q582" s="163"/>
      <c r="R582" s="163"/>
      <c r="S582" s="163"/>
      <c r="T582" s="163"/>
      <c r="U582" s="163"/>
      <c r="V582" s="163"/>
      <c r="W582" s="163"/>
      <c r="X582" s="163"/>
      <c r="Y582" s="163"/>
      <c r="Z582" s="163"/>
    </row>
    <row r="583" spans="16:26" ht="10.199999999999999" customHeight="1">
      <c r="P583" s="163"/>
      <c r="Q583" s="163"/>
      <c r="R583" s="163"/>
      <c r="S583" s="163"/>
      <c r="T583" s="163"/>
      <c r="U583" s="163"/>
      <c r="V583" s="163"/>
      <c r="W583" s="163"/>
      <c r="X583" s="163"/>
      <c r="Y583" s="163"/>
      <c r="Z583" s="163"/>
    </row>
    <row r="584" spans="16:26" ht="10.199999999999999" customHeight="1">
      <c r="P584" s="163"/>
      <c r="Q584" s="163"/>
      <c r="R584" s="163"/>
      <c r="S584" s="163"/>
      <c r="T584" s="163"/>
      <c r="U584" s="163"/>
      <c r="V584" s="163"/>
      <c r="W584" s="163"/>
      <c r="X584" s="163"/>
      <c r="Y584" s="163"/>
      <c r="Z584" s="163"/>
    </row>
    <row r="585" spans="16:26" ht="10.199999999999999" customHeight="1">
      <c r="P585" s="163"/>
      <c r="Q585" s="163"/>
      <c r="R585" s="163"/>
      <c r="S585" s="163"/>
      <c r="T585" s="163"/>
      <c r="U585" s="163"/>
      <c r="V585" s="163"/>
      <c r="W585" s="163"/>
      <c r="X585" s="163"/>
      <c r="Y585" s="163"/>
      <c r="Z585" s="163"/>
    </row>
    <row r="586" spans="16:26" ht="10.199999999999999" customHeight="1">
      <c r="P586" s="163"/>
      <c r="Q586" s="163"/>
      <c r="R586" s="163"/>
      <c r="S586" s="163"/>
      <c r="T586" s="163"/>
      <c r="U586" s="163"/>
      <c r="V586" s="163"/>
      <c r="W586" s="163"/>
      <c r="X586" s="163"/>
      <c r="Y586" s="163"/>
      <c r="Z586" s="163"/>
    </row>
    <row r="587" spans="16:26" ht="10.199999999999999" customHeight="1">
      <c r="P587" s="163"/>
      <c r="Q587" s="163"/>
      <c r="R587" s="163"/>
      <c r="S587" s="163"/>
      <c r="T587" s="163"/>
      <c r="U587" s="163"/>
      <c r="V587" s="163"/>
      <c r="W587" s="163"/>
      <c r="X587" s="163"/>
      <c r="Y587" s="163"/>
      <c r="Z587" s="163"/>
    </row>
    <row r="588" spans="16:26" ht="10.199999999999999" customHeight="1">
      <c r="P588" s="163"/>
      <c r="Q588" s="163"/>
      <c r="R588" s="163"/>
      <c r="S588" s="163"/>
      <c r="T588" s="163"/>
      <c r="U588" s="163"/>
      <c r="V588" s="163"/>
      <c r="W588" s="163"/>
      <c r="X588" s="163"/>
      <c r="Y588" s="163"/>
      <c r="Z588" s="163"/>
    </row>
    <row r="589" spans="16:26" ht="10.199999999999999" customHeight="1">
      <c r="P589" s="163"/>
      <c r="Q589" s="163"/>
      <c r="R589" s="163"/>
      <c r="S589" s="163"/>
      <c r="T589" s="163"/>
      <c r="U589" s="163"/>
      <c r="V589" s="163"/>
      <c r="W589" s="163"/>
      <c r="X589" s="163"/>
      <c r="Y589" s="163"/>
      <c r="Z589" s="163"/>
    </row>
    <row r="590" spans="16:26" ht="10.199999999999999" customHeight="1">
      <c r="P590" s="163"/>
      <c r="Q590" s="163"/>
      <c r="R590" s="163"/>
      <c r="S590" s="163"/>
      <c r="T590" s="163"/>
      <c r="U590" s="163"/>
      <c r="V590" s="163"/>
      <c r="W590" s="163"/>
      <c r="X590" s="163"/>
      <c r="Y590" s="163"/>
      <c r="Z590" s="163"/>
    </row>
    <row r="591" spans="16:26" ht="10.199999999999999" customHeight="1">
      <c r="P591" s="163"/>
      <c r="Q591" s="163"/>
      <c r="R591" s="163"/>
      <c r="S591" s="163"/>
      <c r="T591" s="163"/>
      <c r="U591" s="163"/>
      <c r="V591" s="163"/>
      <c r="W591" s="163"/>
      <c r="X591" s="163"/>
      <c r="Y591" s="163"/>
      <c r="Z591" s="163"/>
    </row>
    <row r="592" spans="16:26" ht="10.199999999999999" customHeight="1">
      <c r="P592" s="163"/>
      <c r="Q592" s="163"/>
      <c r="R592" s="163"/>
      <c r="S592" s="163"/>
      <c r="T592" s="163"/>
      <c r="U592" s="163"/>
      <c r="V592" s="163"/>
      <c r="W592" s="163"/>
      <c r="X592" s="163"/>
      <c r="Y592" s="163"/>
      <c r="Z592" s="163"/>
    </row>
    <row r="593" spans="16:26" ht="10.199999999999999" customHeight="1">
      <c r="P593" s="163"/>
      <c r="Q593" s="163"/>
      <c r="R593" s="163"/>
      <c r="S593" s="163"/>
      <c r="T593" s="163"/>
      <c r="U593" s="163"/>
      <c r="V593" s="163"/>
      <c r="W593" s="163"/>
      <c r="X593" s="163"/>
      <c r="Y593" s="163"/>
      <c r="Z593" s="163"/>
    </row>
    <row r="594" spans="16:26" ht="10.199999999999999" customHeight="1">
      <c r="P594" s="163"/>
      <c r="Q594" s="163"/>
      <c r="R594" s="163"/>
      <c r="S594" s="163"/>
      <c r="T594" s="163"/>
      <c r="U594" s="163"/>
      <c r="V594" s="163"/>
      <c r="W594" s="163"/>
      <c r="X594" s="163"/>
      <c r="Y594" s="163"/>
      <c r="Z594" s="163"/>
    </row>
    <row r="595" spans="16:26" ht="10.199999999999999" customHeight="1">
      <c r="P595" s="163"/>
      <c r="Q595" s="163"/>
      <c r="R595" s="163"/>
      <c r="S595" s="163"/>
      <c r="T595" s="163"/>
      <c r="U595" s="163"/>
      <c r="V595" s="163"/>
      <c r="W595" s="163"/>
      <c r="X595" s="163"/>
      <c r="Y595" s="163"/>
      <c r="Z595" s="163"/>
    </row>
    <row r="596" spans="16:26" ht="10.199999999999999" customHeight="1">
      <c r="P596" s="163"/>
      <c r="Q596" s="163"/>
      <c r="R596" s="163"/>
      <c r="S596" s="163"/>
      <c r="T596" s="163"/>
      <c r="U596" s="163"/>
      <c r="V596" s="163"/>
      <c r="W596" s="163"/>
      <c r="X596" s="163"/>
      <c r="Y596" s="163"/>
      <c r="Z596" s="163"/>
    </row>
    <row r="597" spans="16:26" ht="10.199999999999999" customHeight="1">
      <c r="P597" s="163"/>
      <c r="Q597" s="163"/>
      <c r="R597" s="163"/>
      <c r="S597" s="163"/>
      <c r="T597" s="163"/>
      <c r="U597" s="163"/>
      <c r="V597" s="163"/>
      <c r="W597" s="163"/>
      <c r="X597" s="163"/>
      <c r="Y597" s="163"/>
      <c r="Z597" s="163"/>
    </row>
    <row r="598" spans="16:26" ht="10.199999999999999" customHeight="1">
      <c r="P598" s="163"/>
      <c r="Q598" s="163"/>
      <c r="R598" s="163"/>
      <c r="S598" s="163"/>
      <c r="T598" s="163"/>
      <c r="U598" s="163"/>
      <c r="V598" s="163"/>
      <c r="W598" s="163"/>
      <c r="X598" s="163"/>
      <c r="Y598" s="163"/>
      <c r="Z598" s="163"/>
    </row>
    <row r="599" spans="16:26" ht="10.199999999999999" customHeight="1">
      <c r="P599" s="163"/>
      <c r="Q599" s="163"/>
      <c r="R599" s="163"/>
      <c r="S599" s="163"/>
      <c r="T599" s="163"/>
      <c r="U599" s="163"/>
      <c r="V599" s="163"/>
      <c r="W599" s="163"/>
      <c r="X599" s="163"/>
      <c r="Y599" s="163"/>
      <c r="Z599" s="163"/>
    </row>
    <row r="600" spans="16:26" ht="10.199999999999999" customHeight="1">
      <c r="P600" s="163"/>
      <c r="Q600" s="163"/>
      <c r="R600" s="163"/>
      <c r="S600" s="163"/>
      <c r="T600" s="163"/>
      <c r="U600" s="163"/>
      <c r="V600" s="163"/>
      <c r="W600" s="163"/>
      <c r="X600" s="163"/>
      <c r="Y600" s="163"/>
      <c r="Z600" s="163"/>
    </row>
    <row r="601" spans="16:26" ht="10.199999999999999" customHeight="1">
      <c r="P601" s="163"/>
      <c r="Q601" s="163"/>
      <c r="R601" s="163"/>
      <c r="S601" s="163"/>
      <c r="T601" s="163"/>
      <c r="U601" s="163"/>
      <c r="V601" s="163"/>
      <c r="W601" s="163"/>
      <c r="X601" s="163"/>
      <c r="Y601" s="163"/>
      <c r="Z601" s="163"/>
    </row>
    <row r="602" spans="16:26" ht="10.199999999999999" customHeight="1">
      <c r="P602" s="163"/>
      <c r="Q602" s="163"/>
      <c r="R602" s="163"/>
      <c r="S602" s="163"/>
      <c r="T602" s="163"/>
      <c r="U602" s="163"/>
      <c r="V602" s="163"/>
      <c r="W602" s="163"/>
      <c r="X602" s="163"/>
      <c r="Y602" s="163"/>
      <c r="Z602" s="163"/>
    </row>
    <row r="603" spans="16:26" ht="10.199999999999999" customHeight="1">
      <c r="P603" s="163"/>
      <c r="Q603" s="163"/>
      <c r="R603" s="163"/>
      <c r="S603" s="163"/>
      <c r="T603" s="163"/>
      <c r="U603" s="163"/>
      <c r="V603" s="163"/>
      <c r="W603" s="163"/>
      <c r="X603" s="163"/>
      <c r="Y603" s="163"/>
      <c r="Z603" s="163"/>
    </row>
    <row r="604" spans="16:26" ht="10.199999999999999" customHeight="1">
      <c r="P604" s="163"/>
      <c r="Q604" s="163"/>
      <c r="R604" s="163"/>
      <c r="S604" s="163"/>
      <c r="T604" s="163"/>
      <c r="U604" s="163"/>
      <c r="V604" s="163"/>
      <c r="W604" s="163"/>
      <c r="X604" s="163"/>
      <c r="Y604" s="163"/>
      <c r="Z604" s="163"/>
    </row>
    <row r="605" spans="16:26" ht="10.199999999999999" customHeight="1">
      <c r="P605" s="163"/>
      <c r="Q605" s="163"/>
      <c r="R605" s="163"/>
      <c r="S605" s="163"/>
      <c r="T605" s="163"/>
      <c r="U605" s="163"/>
      <c r="V605" s="163"/>
      <c r="W605" s="163"/>
      <c r="X605" s="163"/>
      <c r="Y605" s="163"/>
      <c r="Z605" s="163"/>
    </row>
    <row r="606" spans="16:26" ht="10.199999999999999" customHeight="1">
      <c r="P606" s="163"/>
      <c r="Q606" s="163"/>
      <c r="R606" s="163"/>
      <c r="S606" s="163"/>
      <c r="T606" s="163"/>
      <c r="U606" s="163"/>
      <c r="V606" s="163"/>
      <c r="W606" s="163"/>
      <c r="X606" s="163"/>
      <c r="Y606" s="163"/>
      <c r="Z606" s="163"/>
    </row>
    <row r="607" spans="16:26" ht="10.199999999999999" customHeight="1">
      <c r="P607" s="163"/>
      <c r="Q607" s="163"/>
      <c r="R607" s="163"/>
      <c r="S607" s="163"/>
      <c r="T607" s="163"/>
      <c r="U607" s="163"/>
      <c r="V607" s="163"/>
      <c r="W607" s="163"/>
      <c r="X607" s="163"/>
      <c r="Y607" s="163"/>
      <c r="Z607" s="163"/>
    </row>
    <row r="608" spans="16:26" ht="10.199999999999999" customHeight="1">
      <c r="P608" s="163"/>
      <c r="Q608" s="163"/>
      <c r="R608" s="163"/>
      <c r="S608" s="163"/>
      <c r="T608" s="163"/>
      <c r="U608" s="163"/>
      <c r="V608" s="163"/>
      <c r="W608" s="163"/>
      <c r="X608" s="163"/>
      <c r="Y608" s="163"/>
      <c r="Z608" s="163"/>
    </row>
    <row r="609" spans="16:26" ht="10.199999999999999" customHeight="1">
      <c r="P609" s="163"/>
      <c r="Q609" s="163"/>
      <c r="R609" s="163"/>
      <c r="S609" s="163"/>
      <c r="T609" s="163"/>
      <c r="U609" s="163"/>
      <c r="V609" s="163"/>
      <c r="W609" s="163"/>
      <c r="X609" s="163"/>
      <c r="Y609" s="163"/>
      <c r="Z609" s="163"/>
    </row>
    <row r="610" spans="16:26" ht="10.199999999999999" customHeight="1">
      <c r="P610" s="163"/>
      <c r="Q610" s="163"/>
      <c r="R610" s="163"/>
      <c r="S610" s="163"/>
      <c r="T610" s="163"/>
      <c r="U610" s="163"/>
      <c r="V610" s="163"/>
      <c r="W610" s="163"/>
      <c r="X610" s="163"/>
      <c r="Y610" s="163"/>
      <c r="Z610" s="163"/>
    </row>
    <row r="611" spans="16:26" ht="10.199999999999999" customHeight="1">
      <c r="P611" s="163"/>
      <c r="Q611" s="163"/>
      <c r="R611" s="163"/>
      <c r="S611" s="163"/>
      <c r="T611" s="163"/>
      <c r="U611" s="163"/>
      <c r="V611" s="163"/>
      <c r="W611" s="163"/>
      <c r="X611" s="163"/>
      <c r="Y611" s="163"/>
      <c r="Z611" s="163"/>
    </row>
    <row r="612" spans="16:26" ht="10.199999999999999" customHeight="1">
      <c r="P612" s="163"/>
      <c r="Q612" s="163"/>
      <c r="R612" s="163"/>
      <c r="S612" s="163"/>
      <c r="T612" s="163"/>
      <c r="U612" s="163"/>
      <c r="V612" s="163"/>
      <c r="W612" s="163"/>
      <c r="X612" s="163"/>
      <c r="Y612" s="163"/>
      <c r="Z612" s="163"/>
    </row>
    <row r="613" spans="16:26" ht="10.199999999999999" customHeight="1">
      <c r="P613" s="163"/>
      <c r="Q613" s="163"/>
      <c r="R613" s="163"/>
      <c r="S613" s="163"/>
      <c r="T613" s="163"/>
      <c r="U613" s="163"/>
      <c r="V613" s="163"/>
      <c r="W613" s="163"/>
      <c r="X613" s="163"/>
      <c r="Y613" s="163"/>
      <c r="Z613" s="163"/>
    </row>
    <row r="614" spans="16:26" ht="10.199999999999999" customHeight="1">
      <c r="P614" s="163"/>
      <c r="Q614" s="163"/>
      <c r="R614" s="163"/>
      <c r="S614" s="163"/>
      <c r="T614" s="163"/>
      <c r="U614" s="163"/>
      <c r="V614" s="163"/>
      <c r="W614" s="163"/>
      <c r="X614" s="163"/>
      <c r="Y614" s="163"/>
      <c r="Z614" s="163"/>
    </row>
    <row r="615" spans="16:26" ht="10.199999999999999" customHeight="1">
      <c r="P615" s="163"/>
      <c r="Q615" s="163"/>
      <c r="R615" s="163"/>
      <c r="S615" s="163"/>
      <c r="T615" s="163"/>
      <c r="U615" s="163"/>
      <c r="V615" s="163"/>
      <c r="W615" s="163"/>
      <c r="X615" s="163"/>
      <c r="Y615" s="163"/>
      <c r="Z615" s="163"/>
    </row>
    <row r="616" spans="16:26" ht="10.199999999999999" customHeight="1">
      <c r="P616" s="163"/>
      <c r="Q616" s="163"/>
      <c r="R616" s="163"/>
      <c r="S616" s="163"/>
      <c r="T616" s="163"/>
      <c r="U616" s="163"/>
      <c r="V616" s="163"/>
      <c r="W616" s="163"/>
      <c r="X616" s="163"/>
      <c r="Y616" s="163"/>
      <c r="Z616" s="163"/>
    </row>
    <row r="617" spans="16:26" ht="10.199999999999999" customHeight="1">
      <c r="P617" s="163"/>
      <c r="Q617" s="163"/>
      <c r="R617" s="163"/>
      <c r="S617" s="163"/>
      <c r="T617" s="163"/>
      <c r="U617" s="163"/>
      <c r="V617" s="163"/>
      <c r="W617" s="163"/>
      <c r="X617" s="163"/>
      <c r="Y617" s="163"/>
      <c r="Z617" s="163"/>
    </row>
    <row r="618" spans="16:26" ht="10.199999999999999" customHeight="1">
      <c r="P618" s="163"/>
      <c r="Q618" s="163"/>
      <c r="R618" s="163"/>
      <c r="S618" s="163"/>
      <c r="T618" s="163"/>
      <c r="U618" s="163"/>
      <c r="V618" s="163"/>
      <c r="W618" s="163"/>
      <c r="X618" s="163"/>
      <c r="Y618" s="163"/>
      <c r="Z618" s="163"/>
    </row>
    <row r="619" spans="16:26" ht="10.199999999999999" customHeight="1">
      <c r="P619" s="163"/>
      <c r="Q619" s="163"/>
      <c r="R619" s="163"/>
      <c r="S619" s="163"/>
      <c r="T619" s="163"/>
      <c r="U619" s="163"/>
      <c r="V619" s="163"/>
      <c r="W619" s="163"/>
      <c r="X619" s="163"/>
      <c r="Y619" s="163"/>
      <c r="Z619" s="163"/>
    </row>
    <row r="620" spans="16:26" ht="10.199999999999999" customHeight="1">
      <c r="P620" s="163"/>
      <c r="Q620" s="163"/>
      <c r="R620" s="163"/>
      <c r="S620" s="163"/>
      <c r="T620" s="163"/>
      <c r="U620" s="163"/>
      <c r="V620" s="163"/>
      <c r="W620" s="163"/>
      <c r="X620" s="163"/>
      <c r="Y620" s="163"/>
      <c r="Z620" s="163"/>
    </row>
    <row r="621" spans="16:26" ht="10.199999999999999" customHeight="1">
      <c r="P621" s="163"/>
      <c r="Q621" s="163"/>
      <c r="R621" s="163"/>
      <c r="S621" s="163"/>
      <c r="T621" s="163"/>
      <c r="U621" s="163"/>
      <c r="V621" s="163"/>
      <c r="W621" s="163"/>
      <c r="X621" s="163"/>
      <c r="Y621" s="163"/>
      <c r="Z621" s="163"/>
    </row>
    <row r="622" spans="16:26" ht="10.199999999999999" customHeight="1">
      <c r="P622" s="163"/>
      <c r="Q622" s="163"/>
      <c r="R622" s="163"/>
      <c r="S622" s="163"/>
      <c r="T622" s="163"/>
      <c r="U622" s="163"/>
      <c r="V622" s="163"/>
      <c r="W622" s="163"/>
      <c r="X622" s="163"/>
      <c r="Y622" s="163"/>
      <c r="Z622" s="163"/>
    </row>
    <row r="623" spans="16:26" ht="10.199999999999999" customHeight="1">
      <c r="P623" s="163"/>
      <c r="Q623" s="163"/>
      <c r="R623" s="163"/>
      <c r="S623" s="163"/>
      <c r="T623" s="163"/>
      <c r="U623" s="163"/>
      <c r="V623" s="163"/>
      <c r="W623" s="163"/>
      <c r="X623" s="163"/>
      <c r="Y623" s="163"/>
      <c r="Z623" s="163"/>
    </row>
    <row r="624" spans="16:26" ht="10.199999999999999" customHeight="1">
      <c r="P624" s="163"/>
      <c r="Q624" s="163"/>
      <c r="R624" s="163"/>
      <c r="S624" s="163"/>
      <c r="T624" s="163"/>
      <c r="U624" s="163"/>
      <c r="V624" s="163"/>
      <c r="W624" s="163"/>
      <c r="X624" s="163"/>
      <c r="Y624" s="163"/>
      <c r="Z624" s="163"/>
    </row>
    <row r="625" spans="16:26" ht="10.199999999999999" customHeight="1">
      <c r="P625" s="163"/>
      <c r="Q625" s="163"/>
      <c r="R625" s="163"/>
      <c r="S625" s="163"/>
      <c r="T625" s="163"/>
      <c r="U625" s="163"/>
      <c r="V625" s="163"/>
      <c r="W625" s="163"/>
      <c r="X625" s="163"/>
      <c r="Y625" s="163"/>
      <c r="Z625" s="163"/>
    </row>
    <row r="626" spans="16:26" ht="10.199999999999999" customHeight="1">
      <c r="P626" s="163"/>
      <c r="Q626" s="163"/>
      <c r="R626" s="163"/>
      <c r="S626" s="163"/>
      <c r="T626" s="163"/>
      <c r="U626" s="163"/>
      <c r="V626" s="163"/>
      <c r="W626" s="163"/>
      <c r="X626" s="163"/>
      <c r="Y626" s="163"/>
      <c r="Z626" s="163"/>
    </row>
    <row r="627" spans="16:26" ht="10.199999999999999" customHeight="1">
      <c r="P627" s="163"/>
      <c r="Q627" s="163"/>
      <c r="R627" s="163"/>
      <c r="S627" s="163"/>
      <c r="T627" s="163"/>
      <c r="U627" s="163"/>
      <c r="V627" s="163"/>
      <c r="W627" s="163"/>
      <c r="X627" s="163"/>
      <c r="Y627" s="163"/>
      <c r="Z627" s="163"/>
    </row>
    <row r="628" spans="16:26" ht="10.199999999999999" customHeight="1">
      <c r="P628" s="163"/>
      <c r="Q628" s="163"/>
      <c r="R628" s="163"/>
      <c r="S628" s="163"/>
      <c r="T628" s="163"/>
      <c r="U628" s="163"/>
      <c r="V628" s="163"/>
      <c r="W628" s="163"/>
      <c r="X628" s="163"/>
      <c r="Y628" s="163"/>
      <c r="Z628" s="163"/>
    </row>
    <row r="629" spans="16:26" ht="10.199999999999999" customHeight="1">
      <c r="P629" s="163"/>
      <c r="Q629" s="163"/>
      <c r="R629" s="163"/>
      <c r="S629" s="163"/>
      <c r="T629" s="163"/>
      <c r="U629" s="163"/>
      <c r="V629" s="163"/>
      <c r="W629" s="163"/>
      <c r="X629" s="163"/>
      <c r="Y629" s="163"/>
      <c r="Z629" s="163"/>
    </row>
    <row r="630" spans="16:26" ht="10.199999999999999" customHeight="1">
      <c r="P630" s="163"/>
      <c r="Q630" s="163"/>
      <c r="R630" s="163"/>
      <c r="S630" s="163"/>
      <c r="T630" s="163"/>
      <c r="U630" s="163"/>
      <c r="V630" s="163"/>
      <c r="W630" s="163"/>
      <c r="X630" s="163"/>
      <c r="Y630" s="163"/>
      <c r="Z630" s="163"/>
    </row>
    <row r="631" spans="16:26" ht="10.199999999999999" customHeight="1">
      <c r="P631" s="163"/>
      <c r="Q631" s="163"/>
      <c r="R631" s="163"/>
      <c r="S631" s="163"/>
      <c r="T631" s="163"/>
      <c r="U631" s="163"/>
      <c r="V631" s="163"/>
      <c r="W631" s="163"/>
      <c r="X631" s="163"/>
      <c r="Y631" s="163"/>
      <c r="Z631" s="163"/>
    </row>
    <row r="632" spans="16:26" ht="10.199999999999999" customHeight="1">
      <c r="P632" s="163"/>
      <c r="Q632" s="163"/>
      <c r="R632" s="163"/>
      <c r="S632" s="163"/>
      <c r="T632" s="163"/>
      <c r="U632" s="163"/>
      <c r="V632" s="163"/>
      <c r="W632" s="163"/>
      <c r="X632" s="163"/>
      <c r="Y632" s="163"/>
      <c r="Z632" s="163"/>
    </row>
    <row r="633" spans="16:26" ht="10.199999999999999" customHeight="1">
      <c r="P633" s="163"/>
      <c r="Q633" s="163"/>
      <c r="R633" s="163"/>
      <c r="S633" s="163"/>
      <c r="T633" s="163"/>
      <c r="U633" s="163"/>
      <c r="V633" s="163"/>
      <c r="W633" s="163"/>
      <c r="X633" s="163"/>
      <c r="Y633" s="163"/>
      <c r="Z633" s="163"/>
    </row>
    <row r="634" spans="16:26" ht="10.199999999999999" customHeight="1">
      <c r="P634" s="163"/>
      <c r="Q634" s="163"/>
      <c r="R634" s="163"/>
      <c r="S634" s="163"/>
      <c r="T634" s="163"/>
      <c r="U634" s="163"/>
      <c r="V634" s="163"/>
      <c r="W634" s="163"/>
      <c r="X634" s="163"/>
      <c r="Y634" s="163"/>
      <c r="Z634" s="163"/>
    </row>
    <row r="635" spans="16:26" ht="10.199999999999999" customHeight="1">
      <c r="P635" s="163"/>
      <c r="Q635" s="163"/>
      <c r="R635" s="163"/>
      <c r="S635" s="163"/>
      <c r="T635" s="163"/>
      <c r="U635" s="163"/>
      <c r="V635" s="163"/>
      <c r="W635" s="163"/>
      <c r="X635" s="163"/>
      <c r="Y635" s="163"/>
      <c r="Z635" s="163"/>
    </row>
    <row r="636" spans="16:26" ht="10.199999999999999" customHeight="1">
      <c r="P636" s="163"/>
      <c r="Q636" s="163"/>
      <c r="R636" s="163"/>
      <c r="S636" s="163"/>
      <c r="T636" s="163"/>
      <c r="U636" s="163"/>
      <c r="V636" s="163"/>
      <c r="W636" s="163"/>
      <c r="X636" s="163"/>
      <c r="Y636" s="163"/>
      <c r="Z636" s="163"/>
    </row>
    <row r="637" spans="16:26" ht="10.199999999999999" customHeight="1">
      <c r="P637" s="163"/>
      <c r="Q637" s="163"/>
      <c r="R637" s="163"/>
      <c r="S637" s="163"/>
      <c r="T637" s="163"/>
      <c r="U637" s="163"/>
      <c r="V637" s="163"/>
      <c r="W637" s="163"/>
      <c r="X637" s="163"/>
      <c r="Y637" s="163"/>
      <c r="Z637" s="163"/>
    </row>
    <row r="638" spans="16:26" ht="10.199999999999999" customHeight="1">
      <c r="P638" s="163"/>
      <c r="Q638" s="163"/>
      <c r="R638" s="163"/>
      <c r="S638" s="163"/>
      <c r="T638" s="163"/>
      <c r="U638" s="163"/>
      <c r="V638" s="163"/>
      <c r="W638" s="163"/>
      <c r="X638" s="163"/>
      <c r="Y638" s="163"/>
      <c r="Z638" s="163"/>
    </row>
    <row r="639" spans="16:26" ht="10.199999999999999" customHeight="1">
      <c r="P639" s="163"/>
      <c r="Q639" s="163"/>
      <c r="R639" s="163"/>
      <c r="S639" s="163"/>
      <c r="T639" s="163"/>
      <c r="U639" s="163"/>
      <c r="V639" s="163"/>
      <c r="W639" s="163"/>
      <c r="X639" s="163"/>
      <c r="Y639" s="163"/>
      <c r="Z639" s="163"/>
    </row>
    <row r="640" spans="16:26" ht="10.199999999999999" customHeight="1">
      <c r="P640" s="163"/>
      <c r="Q640" s="163"/>
      <c r="R640" s="163"/>
      <c r="S640" s="163"/>
      <c r="T640" s="163"/>
      <c r="U640" s="163"/>
      <c r="V640" s="163"/>
      <c r="W640" s="163"/>
      <c r="X640" s="163"/>
      <c r="Y640" s="163"/>
      <c r="Z640" s="163"/>
    </row>
    <row r="641" spans="16:26" ht="10.199999999999999" customHeight="1">
      <c r="P641" s="163"/>
      <c r="Q641" s="163"/>
      <c r="R641" s="163"/>
      <c r="S641" s="163"/>
      <c r="T641" s="163"/>
      <c r="U641" s="163"/>
      <c r="V641" s="163"/>
      <c r="W641" s="163"/>
      <c r="X641" s="163"/>
      <c r="Y641" s="163"/>
      <c r="Z641" s="163"/>
    </row>
    <row r="642" spans="16:26" ht="10.199999999999999" customHeight="1">
      <c r="P642" s="163"/>
      <c r="Q642" s="163"/>
      <c r="R642" s="163"/>
      <c r="S642" s="163"/>
      <c r="T642" s="163"/>
      <c r="U642" s="163"/>
      <c r="V642" s="163"/>
      <c r="W642" s="163"/>
      <c r="X642" s="163"/>
      <c r="Y642" s="163"/>
      <c r="Z642" s="163"/>
    </row>
    <row r="643" spans="16:26" ht="10.199999999999999" customHeight="1">
      <c r="P643" s="163"/>
      <c r="Q643" s="163"/>
      <c r="R643" s="163"/>
      <c r="S643" s="163"/>
      <c r="T643" s="163"/>
      <c r="U643" s="163"/>
      <c r="V643" s="163"/>
      <c r="W643" s="163"/>
      <c r="X643" s="163"/>
      <c r="Y643" s="163"/>
      <c r="Z643" s="163"/>
    </row>
    <row r="644" spans="16:26" ht="10.199999999999999" customHeight="1">
      <c r="P644" s="163"/>
      <c r="Q644" s="163"/>
      <c r="R644" s="163"/>
      <c r="S644" s="163"/>
      <c r="T644" s="163"/>
      <c r="U644" s="163"/>
      <c r="V644" s="163"/>
      <c r="W644" s="163"/>
      <c r="X644" s="163"/>
      <c r="Y644" s="163"/>
      <c r="Z644" s="163"/>
    </row>
    <row r="645" spans="16:26" ht="10.199999999999999" customHeight="1">
      <c r="P645" s="163"/>
      <c r="Q645" s="163"/>
      <c r="R645" s="163"/>
      <c r="S645" s="163"/>
      <c r="T645" s="163"/>
      <c r="U645" s="163"/>
      <c r="V645" s="163"/>
      <c r="W645" s="163"/>
      <c r="X645" s="163"/>
      <c r="Y645" s="163"/>
      <c r="Z645" s="163"/>
    </row>
    <row r="646" spans="16:26" ht="10.199999999999999" customHeight="1">
      <c r="P646" s="163"/>
      <c r="Q646" s="163"/>
      <c r="R646" s="163"/>
      <c r="S646" s="163"/>
      <c r="T646" s="163"/>
      <c r="U646" s="163"/>
      <c r="V646" s="163"/>
      <c r="W646" s="163"/>
      <c r="X646" s="163"/>
      <c r="Y646" s="163"/>
      <c r="Z646" s="163"/>
    </row>
    <row r="647" spans="16:26" ht="10.199999999999999" customHeight="1">
      <c r="P647" s="163"/>
      <c r="Q647" s="163"/>
      <c r="R647" s="163"/>
      <c r="S647" s="163"/>
      <c r="T647" s="163"/>
      <c r="U647" s="163"/>
      <c r="V647" s="163"/>
      <c r="W647" s="163"/>
      <c r="X647" s="163"/>
      <c r="Y647" s="163"/>
      <c r="Z647" s="163"/>
    </row>
    <row r="648" spans="16:26" ht="10.199999999999999" customHeight="1">
      <c r="P648" s="163"/>
      <c r="Q648" s="163"/>
      <c r="R648" s="163"/>
      <c r="S648" s="163"/>
      <c r="T648" s="163"/>
      <c r="U648" s="163"/>
      <c r="V648" s="163"/>
      <c r="W648" s="163"/>
      <c r="X648" s="163"/>
      <c r="Y648" s="163"/>
      <c r="Z648" s="163"/>
    </row>
    <row r="649" spans="16:26" ht="10.199999999999999" customHeight="1">
      <c r="P649" s="163"/>
      <c r="Q649" s="163"/>
      <c r="R649" s="163"/>
      <c r="S649" s="163"/>
      <c r="T649" s="163"/>
      <c r="U649" s="163"/>
      <c r="V649" s="163"/>
      <c r="W649" s="163"/>
      <c r="X649" s="163"/>
      <c r="Y649" s="163"/>
      <c r="Z649" s="163"/>
    </row>
    <row r="650" spans="16:26" ht="10.199999999999999" customHeight="1">
      <c r="P650" s="163"/>
      <c r="Q650" s="163"/>
      <c r="R650" s="163"/>
      <c r="S650" s="163"/>
      <c r="T650" s="163"/>
      <c r="U650" s="163"/>
      <c r="V650" s="163"/>
      <c r="W650" s="163"/>
      <c r="X650" s="163"/>
      <c r="Y650" s="163"/>
      <c r="Z650" s="163"/>
    </row>
    <row r="651" spans="16:26" ht="10.199999999999999" customHeight="1">
      <c r="P651" s="163"/>
      <c r="Q651" s="163"/>
      <c r="R651" s="163"/>
      <c r="S651" s="163"/>
      <c r="T651" s="163"/>
      <c r="U651" s="163"/>
      <c r="V651" s="163"/>
      <c r="W651" s="163"/>
      <c r="X651" s="163"/>
      <c r="Y651" s="163"/>
      <c r="Z651" s="163"/>
    </row>
    <row r="652" spans="16:26" ht="10.199999999999999" customHeight="1">
      <c r="P652" s="163"/>
      <c r="Q652" s="163"/>
      <c r="R652" s="163"/>
      <c r="S652" s="163"/>
      <c r="T652" s="163"/>
      <c r="U652" s="163"/>
      <c r="V652" s="163"/>
      <c r="W652" s="163"/>
      <c r="X652" s="163"/>
      <c r="Y652" s="163"/>
      <c r="Z652" s="163"/>
    </row>
    <row r="653" spans="16:26" ht="10.199999999999999" customHeight="1">
      <c r="P653" s="163"/>
      <c r="Q653" s="163"/>
      <c r="R653" s="163"/>
      <c r="S653" s="163"/>
      <c r="T653" s="163"/>
      <c r="U653" s="163"/>
      <c r="V653" s="163"/>
      <c r="W653" s="163"/>
      <c r="X653" s="163"/>
      <c r="Y653" s="163"/>
      <c r="Z653" s="163"/>
    </row>
    <row r="654" spans="16:26" ht="10.199999999999999" customHeight="1">
      <c r="P654" s="163"/>
      <c r="Q654" s="163"/>
      <c r="R654" s="163"/>
      <c r="S654" s="163"/>
      <c r="T654" s="163"/>
      <c r="U654" s="163"/>
      <c r="V654" s="163"/>
      <c r="W654" s="163"/>
      <c r="X654" s="163"/>
      <c r="Y654" s="163"/>
      <c r="Z654" s="163"/>
    </row>
    <row r="655" spans="16:26" ht="10.199999999999999" customHeight="1">
      <c r="P655" s="163"/>
      <c r="Q655" s="163"/>
      <c r="R655" s="163"/>
      <c r="S655" s="163"/>
      <c r="T655" s="163"/>
      <c r="U655" s="163"/>
      <c r="V655" s="163"/>
      <c r="W655" s="163"/>
      <c r="X655" s="163"/>
      <c r="Y655" s="163"/>
      <c r="Z655" s="163"/>
    </row>
    <row r="656" spans="16:26" ht="10.199999999999999" customHeight="1">
      <c r="P656" s="163"/>
      <c r="Q656" s="163"/>
      <c r="R656" s="163"/>
      <c r="S656" s="163"/>
      <c r="T656" s="163"/>
      <c r="U656" s="163"/>
      <c r="V656" s="163"/>
      <c r="W656" s="163"/>
      <c r="X656" s="163"/>
      <c r="Y656" s="163"/>
      <c r="Z656" s="163"/>
    </row>
    <row r="657" spans="16:26" ht="10.199999999999999" customHeight="1">
      <c r="P657" s="163"/>
      <c r="Q657" s="163"/>
      <c r="R657" s="163"/>
      <c r="S657" s="163"/>
      <c r="T657" s="163"/>
      <c r="U657" s="163"/>
      <c r="V657" s="163"/>
      <c r="W657" s="163"/>
      <c r="X657" s="163"/>
      <c r="Y657" s="163"/>
      <c r="Z657" s="163"/>
    </row>
    <row r="658" spans="16:26" ht="10.199999999999999" customHeight="1">
      <c r="P658" s="163"/>
      <c r="Q658" s="163"/>
      <c r="R658" s="163"/>
      <c r="S658" s="163"/>
      <c r="T658" s="163"/>
      <c r="U658" s="163"/>
      <c r="V658" s="163"/>
      <c r="W658" s="163"/>
      <c r="X658" s="163"/>
      <c r="Y658" s="163"/>
      <c r="Z658" s="163"/>
    </row>
    <row r="659" spans="16:26" ht="10.199999999999999" customHeight="1">
      <c r="P659" s="163"/>
      <c r="Q659" s="163"/>
      <c r="R659" s="163"/>
      <c r="S659" s="163"/>
      <c r="T659" s="163"/>
      <c r="U659" s="163"/>
      <c r="V659" s="163"/>
      <c r="W659" s="163"/>
      <c r="X659" s="163"/>
      <c r="Y659" s="163"/>
      <c r="Z659" s="163"/>
    </row>
    <row r="660" spans="16:26" ht="10.199999999999999" customHeight="1">
      <c r="P660" s="163"/>
      <c r="Q660" s="163"/>
      <c r="R660" s="163"/>
      <c r="S660" s="163"/>
      <c r="T660" s="163"/>
      <c r="U660" s="163"/>
      <c r="V660" s="163"/>
      <c r="W660" s="163"/>
      <c r="X660" s="163"/>
      <c r="Y660" s="163"/>
      <c r="Z660" s="163"/>
    </row>
    <row r="661" spans="16:26" ht="10.199999999999999" customHeight="1">
      <c r="P661" s="163"/>
      <c r="Q661" s="163"/>
      <c r="R661" s="163"/>
      <c r="S661" s="163"/>
      <c r="T661" s="163"/>
      <c r="U661" s="163"/>
      <c r="V661" s="163"/>
      <c r="W661" s="163"/>
      <c r="X661" s="163"/>
      <c r="Y661" s="163"/>
      <c r="Z661" s="163"/>
    </row>
    <row r="662" spans="16:26" ht="10.199999999999999" customHeight="1">
      <c r="P662" s="163"/>
      <c r="Q662" s="163"/>
      <c r="R662" s="163"/>
      <c r="S662" s="163"/>
      <c r="T662" s="163"/>
      <c r="U662" s="163"/>
      <c r="V662" s="163"/>
      <c r="W662" s="163"/>
      <c r="X662" s="163"/>
      <c r="Y662" s="163"/>
      <c r="Z662" s="163"/>
    </row>
    <row r="663" spans="16:26" ht="10.199999999999999" customHeight="1">
      <c r="P663" s="163"/>
      <c r="Q663" s="163"/>
      <c r="R663" s="163"/>
      <c r="S663" s="163"/>
      <c r="T663" s="163"/>
      <c r="U663" s="163"/>
      <c r="V663" s="163"/>
      <c r="W663" s="163"/>
      <c r="X663" s="163"/>
      <c r="Y663" s="163"/>
      <c r="Z663" s="163"/>
    </row>
    <row r="664" spans="16:26" ht="10.199999999999999" customHeight="1">
      <c r="P664" s="163"/>
      <c r="Q664" s="163"/>
      <c r="R664" s="163"/>
      <c r="S664" s="163"/>
      <c r="T664" s="163"/>
      <c r="U664" s="163"/>
      <c r="V664" s="163"/>
      <c r="W664" s="163"/>
      <c r="X664" s="163"/>
      <c r="Y664" s="163"/>
      <c r="Z664" s="163"/>
    </row>
    <row r="665" spans="16:26" ht="10.199999999999999" customHeight="1">
      <c r="P665" s="163"/>
      <c r="Q665" s="163"/>
      <c r="R665" s="163"/>
      <c r="S665" s="163"/>
      <c r="T665" s="163"/>
      <c r="U665" s="163"/>
      <c r="V665" s="163"/>
      <c r="W665" s="163"/>
      <c r="X665" s="163"/>
      <c r="Y665" s="163"/>
      <c r="Z665" s="163"/>
    </row>
    <row r="666" spans="16:26" ht="10.199999999999999" customHeight="1">
      <c r="P666" s="163"/>
      <c r="Q666" s="163"/>
      <c r="R666" s="163"/>
      <c r="S666" s="163"/>
      <c r="T666" s="163"/>
      <c r="U666" s="163"/>
      <c r="V666" s="163"/>
      <c r="W666" s="163"/>
      <c r="X666" s="163"/>
      <c r="Y666" s="163"/>
      <c r="Z666" s="163"/>
    </row>
    <row r="667" spans="16:26" ht="10.199999999999999" customHeight="1">
      <c r="P667" s="163"/>
      <c r="Q667" s="163"/>
      <c r="R667" s="163"/>
      <c r="S667" s="163"/>
      <c r="T667" s="163"/>
      <c r="U667" s="163"/>
      <c r="V667" s="163"/>
      <c r="W667" s="163"/>
      <c r="X667" s="163"/>
      <c r="Y667" s="163"/>
      <c r="Z667" s="163"/>
    </row>
    <row r="668" spans="16:26" ht="10.199999999999999" customHeight="1">
      <c r="P668" s="163"/>
      <c r="Q668" s="163"/>
      <c r="R668" s="163"/>
      <c r="S668" s="163"/>
      <c r="T668" s="163"/>
      <c r="U668" s="163"/>
      <c r="V668" s="163"/>
      <c r="W668" s="163"/>
      <c r="X668" s="163"/>
      <c r="Y668" s="163"/>
      <c r="Z668" s="163"/>
    </row>
    <row r="669" spans="16:26" ht="10.199999999999999" customHeight="1">
      <c r="P669" s="163"/>
      <c r="Q669" s="163"/>
      <c r="R669" s="163"/>
      <c r="S669" s="163"/>
      <c r="T669" s="163"/>
      <c r="U669" s="163"/>
      <c r="V669" s="163"/>
      <c r="W669" s="163"/>
      <c r="X669" s="163"/>
      <c r="Y669" s="163"/>
      <c r="Z669" s="163"/>
    </row>
    <row r="670" spans="16:26" ht="10.199999999999999" customHeight="1">
      <c r="P670" s="163"/>
      <c r="Q670" s="163"/>
      <c r="R670" s="163"/>
      <c r="S670" s="163"/>
      <c r="T670" s="163"/>
      <c r="U670" s="163"/>
      <c r="V670" s="163"/>
      <c r="W670" s="163"/>
      <c r="X670" s="163"/>
      <c r="Y670" s="163"/>
      <c r="Z670" s="163"/>
    </row>
    <row r="671" spans="16:26" ht="10.199999999999999" customHeight="1">
      <c r="P671" s="163"/>
      <c r="Q671" s="163"/>
      <c r="R671" s="163"/>
      <c r="S671" s="163"/>
      <c r="T671" s="163"/>
      <c r="U671" s="163"/>
      <c r="V671" s="163"/>
      <c r="W671" s="163"/>
      <c r="X671" s="163"/>
      <c r="Y671" s="163"/>
      <c r="Z671" s="163"/>
    </row>
    <row r="672" spans="16:26" ht="10.199999999999999" customHeight="1">
      <c r="P672" s="163"/>
      <c r="Q672" s="163"/>
      <c r="R672" s="163"/>
      <c r="S672" s="163"/>
      <c r="T672" s="163"/>
      <c r="U672" s="163"/>
      <c r="V672" s="163"/>
      <c r="W672" s="163"/>
      <c r="X672" s="163"/>
      <c r="Y672" s="163"/>
      <c r="Z672" s="163"/>
    </row>
    <row r="673" spans="16:26" ht="10.199999999999999" customHeight="1">
      <c r="P673" s="163"/>
      <c r="Q673" s="163"/>
      <c r="R673" s="163"/>
      <c r="S673" s="163"/>
      <c r="T673" s="163"/>
      <c r="U673" s="163"/>
      <c r="V673" s="163"/>
      <c r="W673" s="163"/>
      <c r="X673" s="163"/>
      <c r="Y673" s="163"/>
      <c r="Z673" s="163"/>
    </row>
    <row r="674" spans="16:26" ht="10.199999999999999" customHeight="1">
      <c r="P674" s="163"/>
      <c r="Q674" s="163"/>
      <c r="R674" s="163"/>
      <c r="S674" s="163"/>
      <c r="T674" s="163"/>
      <c r="U674" s="163"/>
      <c r="V674" s="163"/>
      <c r="W674" s="163"/>
      <c r="X674" s="163"/>
      <c r="Y674" s="163"/>
      <c r="Z674" s="163"/>
    </row>
    <row r="675" spans="16:26" ht="10.199999999999999" customHeight="1">
      <c r="P675" s="163"/>
      <c r="Q675" s="163"/>
      <c r="R675" s="163"/>
      <c r="S675" s="163"/>
      <c r="T675" s="163"/>
      <c r="U675" s="163"/>
      <c r="V675" s="163"/>
      <c r="W675" s="163"/>
      <c r="X675" s="163"/>
      <c r="Y675" s="163"/>
      <c r="Z675" s="163"/>
    </row>
    <row r="676" spans="16:26" ht="10.199999999999999" customHeight="1">
      <c r="P676" s="163"/>
      <c r="Q676" s="163"/>
      <c r="R676" s="163"/>
      <c r="S676" s="163"/>
      <c r="T676" s="163"/>
      <c r="U676" s="163"/>
      <c r="V676" s="163"/>
      <c r="W676" s="163"/>
      <c r="X676" s="163"/>
      <c r="Y676" s="163"/>
      <c r="Z676" s="163"/>
    </row>
    <row r="677" spans="16:26" ht="10.199999999999999" customHeight="1">
      <c r="P677" s="163"/>
      <c r="Q677" s="163"/>
      <c r="R677" s="163"/>
      <c r="S677" s="163"/>
      <c r="T677" s="163"/>
      <c r="U677" s="163"/>
      <c r="V677" s="163"/>
      <c r="W677" s="163"/>
      <c r="X677" s="163"/>
      <c r="Y677" s="163"/>
      <c r="Z677" s="163"/>
    </row>
    <row r="678" spans="16:26" ht="10.199999999999999" customHeight="1">
      <c r="P678" s="163"/>
      <c r="Q678" s="163"/>
      <c r="R678" s="163"/>
      <c r="S678" s="163"/>
      <c r="T678" s="163"/>
      <c r="U678" s="163"/>
      <c r="V678" s="163"/>
      <c r="W678" s="163"/>
      <c r="X678" s="163"/>
      <c r="Y678" s="163"/>
      <c r="Z678" s="163"/>
    </row>
    <row r="679" spans="16:26" ht="10.199999999999999" customHeight="1">
      <c r="P679" s="163"/>
      <c r="Q679" s="163"/>
      <c r="R679" s="163"/>
      <c r="S679" s="163"/>
      <c r="T679" s="163"/>
      <c r="U679" s="163"/>
      <c r="V679" s="163"/>
      <c r="W679" s="163"/>
      <c r="X679" s="163"/>
      <c r="Y679" s="163"/>
      <c r="Z679" s="163"/>
    </row>
    <row r="680" spans="16:26" ht="10.199999999999999" customHeight="1">
      <c r="P680" s="163"/>
      <c r="Q680" s="163"/>
      <c r="R680" s="163"/>
      <c r="S680" s="163"/>
      <c r="T680" s="163"/>
      <c r="U680" s="163"/>
      <c r="V680" s="163"/>
      <c r="W680" s="163"/>
      <c r="X680" s="163"/>
      <c r="Y680" s="163"/>
      <c r="Z680" s="163"/>
    </row>
    <row r="681" spans="16:26" ht="10.199999999999999" customHeight="1">
      <c r="P681" s="163"/>
      <c r="Q681" s="163"/>
      <c r="R681" s="163"/>
      <c r="S681" s="163"/>
      <c r="T681" s="163"/>
      <c r="U681" s="163"/>
      <c r="V681" s="163"/>
      <c r="W681" s="163"/>
      <c r="X681" s="163"/>
      <c r="Y681" s="163"/>
      <c r="Z681" s="163"/>
    </row>
    <row r="682" spans="16:26" ht="10.199999999999999" customHeight="1">
      <c r="P682" s="163"/>
      <c r="Q682" s="163"/>
      <c r="R682" s="163"/>
      <c r="S682" s="163"/>
      <c r="T682" s="163"/>
      <c r="U682" s="163"/>
      <c r="V682" s="163"/>
      <c r="W682" s="163"/>
      <c r="X682" s="163"/>
      <c r="Y682" s="163"/>
      <c r="Z682" s="163"/>
    </row>
    <row r="683" spans="16:26" ht="10.199999999999999" customHeight="1">
      <c r="P683" s="163"/>
      <c r="Q683" s="163"/>
      <c r="R683" s="163"/>
      <c r="S683" s="163"/>
      <c r="T683" s="163"/>
      <c r="U683" s="163"/>
      <c r="V683" s="163"/>
      <c r="W683" s="163"/>
      <c r="X683" s="163"/>
      <c r="Y683" s="163"/>
      <c r="Z683" s="163"/>
    </row>
    <row r="684" spans="16:26" ht="10.199999999999999" customHeight="1">
      <c r="P684" s="163"/>
      <c r="Q684" s="163"/>
      <c r="R684" s="163"/>
      <c r="S684" s="163"/>
      <c r="T684" s="163"/>
      <c r="U684" s="163"/>
      <c r="V684" s="163"/>
      <c r="W684" s="163"/>
      <c r="X684" s="163"/>
      <c r="Y684" s="163"/>
      <c r="Z684" s="163"/>
    </row>
    <row r="685" spans="16:26" ht="10.199999999999999" customHeight="1">
      <c r="P685" s="163"/>
      <c r="Q685" s="163"/>
      <c r="R685" s="163"/>
      <c r="S685" s="163"/>
      <c r="T685" s="163"/>
      <c r="U685" s="163"/>
      <c r="V685" s="163"/>
      <c r="W685" s="163"/>
      <c r="X685" s="163"/>
      <c r="Y685" s="163"/>
      <c r="Z685" s="163"/>
    </row>
    <row r="686" spans="16:26" ht="10.199999999999999" customHeight="1">
      <c r="P686" s="163"/>
      <c r="Q686" s="163"/>
      <c r="R686" s="163"/>
      <c r="S686" s="163"/>
      <c r="T686" s="163"/>
      <c r="U686" s="163"/>
      <c r="V686" s="163"/>
      <c r="W686" s="163"/>
      <c r="X686" s="163"/>
      <c r="Y686" s="163"/>
      <c r="Z686" s="163"/>
    </row>
    <row r="687" spans="16:26" ht="10.199999999999999" customHeight="1">
      <c r="P687" s="163"/>
      <c r="Q687" s="163"/>
      <c r="R687" s="163"/>
      <c r="S687" s="163"/>
      <c r="T687" s="163"/>
      <c r="U687" s="163"/>
      <c r="V687" s="163"/>
      <c r="W687" s="163"/>
      <c r="X687" s="163"/>
      <c r="Y687" s="163"/>
      <c r="Z687" s="163"/>
    </row>
    <row r="688" spans="16:26" ht="10.199999999999999" customHeight="1">
      <c r="P688" s="163"/>
      <c r="Q688" s="163"/>
      <c r="R688" s="163"/>
      <c r="S688" s="163"/>
      <c r="T688" s="163"/>
      <c r="U688" s="163"/>
      <c r="V688" s="163"/>
      <c r="W688" s="163"/>
      <c r="X688" s="163"/>
      <c r="Y688" s="163"/>
      <c r="Z688" s="163"/>
    </row>
    <row r="689" spans="16:26" ht="10.199999999999999" customHeight="1">
      <c r="P689" s="163"/>
      <c r="Q689" s="163"/>
      <c r="R689" s="163"/>
      <c r="S689" s="163"/>
      <c r="T689" s="163"/>
      <c r="U689" s="163"/>
      <c r="V689" s="163"/>
      <c r="W689" s="163"/>
      <c r="X689" s="163"/>
      <c r="Y689" s="163"/>
      <c r="Z689" s="163"/>
    </row>
    <row r="690" spans="16:26" ht="10.199999999999999" customHeight="1">
      <c r="P690" s="163"/>
      <c r="Q690" s="163"/>
      <c r="R690" s="163"/>
      <c r="S690" s="163"/>
      <c r="T690" s="163"/>
      <c r="U690" s="163"/>
      <c r="V690" s="163"/>
      <c r="W690" s="163"/>
      <c r="X690" s="163"/>
      <c r="Y690" s="163"/>
      <c r="Z690" s="163"/>
    </row>
    <row r="691" spans="16:26" ht="10.199999999999999" customHeight="1">
      <c r="P691" s="163"/>
      <c r="Q691" s="163"/>
      <c r="R691" s="163"/>
      <c r="S691" s="163"/>
      <c r="T691" s="163"/>
      <c r="U691" s="163"/>
      <c r="V691" s="163"/>
      <c r="W691" s="163"/>
      <c r="X691" s="163"/>
      <c r="Y691" s="163"/>
      <c r="Z691" s="163"/>
    </row>
    <row r="692" spans="16:26" ht="10.199999999999999" customHeight="1">
      <c r="P692" s="163"/>
      <c r="Q692" s="163"/>
      <c r="R692" s="163"/>
      <c r="S692" s="163"/>
      <c r="T692" s="163"/>
      <c r="U692" s="163"/>
      <c r="V692" s="163"/>
      <c r="W692" s="163"/>
      <c r="X692" s="163"/>
      <c r="Y692" s="163"/>
      <c r="Z692" s="163"/>
    </row>
    <row r="693" spans="16:26" ht="10.199999999999999" customHeight="1">
      <c r="P693" s="163"/>
      <c r="Q693" s="163"/>
      <c r="R693" s="163"/>
      <c r="S693" s="163"/>
      <c r="T693" s="163"/>
      <c r="U693" s="163"/>
      <c r="V693" s="163"/>
      <c r="W693" s="163"/>
      <c r="X693" s="163"/>
      <c r="Y693" s="163"/>
      <c r="Z693" s="163"/>
    </row>
    <row r="694" spans="16:26" ht="10.199999999999999" customHeight="1">
      <c r="P694" s="163"/>
      <c r="Q694" s="163"/>
      <c r="R694" s="163"/>
      <c r="S694" s="163"/>
      <c r="T694" s="163"/>
      <c r="U694" s="163"/>
      <c r="V694" s="163"/>
      <c r="W694" s="163"/>
      <c r="X694" s="163"/>
      <c r="Y694" s="163"/>
      <c r="Z694" s="163"/>
    </row>
    <row r="695" spans="16:26" ht="10.199999999999999" customHeight="1">
      <c r="P695" s="163"/>
      <c r="Q695" s="163"/>
      <c r="R695" s="163"/>
      <c r="S695" s="163"/>
      <c r="T695" s="163"/>
      <c r="U695" s="163"/>
      <c r="V695" s="163"/>
      <c r="W695" s="163"/>
      <c r="X695" s="163"/>
      <c r="Y695" s="163"/>
      <c r="Z695" s="163"/>
    </row>
    <row r="696" spans="16:26" ht="10.199999999999999" customHeight="1">
      <c r="P696" s="163"/>
      <c r="Q696" s="163"/>
      <c r="R696" s="163"/>
      <c r="S696" s="163"/>
      <c r="T696" s="163"/>
      <c r="U696" s="163"/>
      <c r="V696" s="163"/>
      <c r="W696" s="163"/>
      <c r="X696" s="163"/>
      <c r="Y696" s="163"/>
      <c r="Z696" s="163"/>
    </row>
    <row r="697" spans="16:26" ht="10.199999999999999" customHeight="1">
      <c r="P697" s="163"/>
      <c r="Q697" s="163"/>
      <c r="R697" s="163"/>
      <c r="S697" s="163"/>
      <c r="T697" s="163"/>
      <c r="U697" s="163"/>
      <c r="V697" s="163"/>
      <c r="W697" s="163"/>
      <c r="X697" s="163"/>
      <c r="Y697" s="163"/>
      <c r="Z697" s="163"/>
    </row>
    <row r="698" spans="16:26" ht="10.199999999999999" customHeight="1">
      <c r="P698" s="163"/>
      <c r="Q698" s="163"/>
      <c r="R698" s="163"/>
      <c r="S698" s="163"/>
      <c r="T698" s="163"/>
      <c r="U698" s="163"/>
      <c r="V698" s="163"/>
      <c r="W698" s="163"/>
      <c r="X698" s="163"/>
      <c r="Y698" s="163"/>
      <c r="Z698" s="163"/>
    </row>
    <row r="699" spans="16:26" ht="10.199999999999999" customHeight="1">
      <c r="P699" s="163"/>
      <c r="Q699" s="163"/>
      <c r="R699" s="163"/>
      <c r="S699" s="163"/>
      <c r="T699" s="163"/>
      <c r="U699" s="163"/>
      <c r="V699" s="163"/>
      <c r="W699" s="163"/>
      <c r="X699" s="163"/>
      <c r="Y699" s="163"/>
      <c r="Z699" s="163"/>
    </row>
    <row r="700" spans="16:26" ht="10.199999999999999" customHeight="1">
      <c r="P700" s="163"/>
      <c r="Q700" s="163"/>
      <c r="R700" s="163"/>
      <c r="S700" s="163"/>
      <c r="T700" s="163"/>
      <c r="U700" s="163"/>
      <c r="V700" s="163"/>
      <c r="W700" s="163"/>
      <c r="X700" s="163"/>
      <c r="Y700" s="163"/>
      <c r="Z700" s="163"/>
    </row>
    <row r="701" spans="16:26" ht="10.199999999999999" customHeight="1">
      <c r="P701" s="163"/>
      <c r="Q701" s="163"/>
      <c r="R701" s="163"/>
      <c r="S701" s="163"/>
      <c r="T701" s="163"/>
      <c r="U701" s="163"/>
      <c r="V701" s="163"/>
      <c r="W701" s="163"/>
      <c r="X701" s="163"/>
      <c r="Y701" s="163"/>
      <c r="Z701" s="163"/>
    </row>
    <row r="702" spans="16:26" ht="10.199999999999999" customHeight="1">
      <c r="P702" s="163"/>
      <c r="Q702" s="163"/>
      <c r="R702" s="163"/>
      <c r="S702" s="163"/>
      <c r="T702" s="163"/>
      <c r="U702" s="163"/>
      <c r="V702" s="163"/>
      <c r="W702" s="163"/>
      <c r="X702" s="163"/>
      <c r="Y702" s="163"/>
      <c r="Z702" s="163"/>
    </row>
    <row r="703" spans="16:26" ht="10.199999999999999" customHeight="1">
      <c r="P703" s="163"/>
      <c r="Q703" s="163"/>
      <c r="R703" s="163"/>
      <c r="S703" s="163"/>
      <c r="T703" s="163"/>
      <c r="U703" s="163"/>
      <c r="V703" s="163"/>
      <c r="W703" s="163"/>
      <c r="X703" s="163"/>
      <c r="Y703" s="163"/>
      <c r="Z703" s="163"/>
    </row>
    <row r="704" spans="16:26" ht="10.199999999999999" customHeight="1">
      <c r="P704" s="163"/>
      <c r="Q704" s="163"/>
      <c r="R704" s="163"/>
      <c r="S704" s="163"/>
      <c r="T704" s="163"/>
      <c r="U704" s="163"/>
      <c r="V704" s="163"/>
      <c r="W704" s="163"/>
      <c r="X704" s="163"/>
      <c r="Y704" s="163"/>
      <c r="Z704" s="163"/>
    </row>
    <row r="705" spans="16:26" ht="10.199999999999999" customHeight="1">
      <c r="P705" s="163"/>
      <c r="Q705" s="163"/>
      <c r="R705" s="163"/>
      <c r="S705" s="163"/>
      <c r="T705" s="163"/>
      <c r="U705" s="163"/>
      <c r="V705" s="163"/>
      <c r="W705" s="163"/>
      <c r="X705" s="163"/>
      <c r="Y705" s="163"/>
      <c r="Z705" s="163"/>
    </row>
    <row r="706" spans="16:26" ht="10.199999999999999" customHeight="1">
      <c r="P706" s="163"/>
      <c r="Q706" s="163"/>
      <c r="R706" s="163"/>
      <c r="S706" s="163"/>
      <c r="T706" s="163"/>
      <c r="U706" s="163"/>
      <c r="V706" s="163"/>
      <c r="W706" s="163"/>
      <c r="X706" s="163"/>
      <c r="Y706" s="163"/>
      <c r="Z706" s="163"/>
    </row>
    <row r="707" spans="16:26" ht="10.199999999999999" customHeight="1">
      <c r="P707" s="163"/>
      <c r="Q707" s="163"/>
      <c r="R707" s="163"/>
      <c r="S707" s="163"/>
      <c r="T707" s="163"/>
      <c r="U707" s="163"/>
      <c r="V707" s="163"/>
      <c r="W707" s="163"/>
      <c r="X707" s="163"/>
      <c r="Y707" s="163"/>
      <c r="Z707" s="163"/>
    </row>
    <row r="708" spans="16:26" ht="10.199999999999999" customHeight="1">
      <c r="P708" s="163"/>
      <c r="Q708" s="163"/>
      <c r="R708" s="163"/>
      <c r="S708" s="163"/>
      <c r="T708" s="163"/>
      <c r="U708" s="163"/>
      <c r="V708" s="163"/>
      <c r="W708" s="163"/>
      <c r="X708" s="163"/>
      <c r="Y708" s="163"/>
      <c r="Z708" s="163"/>
    </row>
    <row r="709" spans="16:26" ht="10.199999999999999" customHeight="1">
      <c r="P709" s="163"/>
      <c r="Q709" s="163"/>
      <c r="R709" s="163"/>
      <c r="S709" s="163"/>
      <c r="T709" s="163"/>
      <c r="U709" s="163"/>
      <c r="V709" s="163"/>
      <c r="W709" s="163"/>
      <c r="X709" s="163"/>
      <c r="Y709" s="163"/>
      <c r="Z709" s="163"/>
    </row>
    <row r="710" spans="16:26" ht="10.199999999999999" customHeight="1">
      <c r="P710" s="163"/>
      <c r="Q710" s="163"/>
      <c r="R710" s="163"/>
      <c r="S710" s="163"/>
      <c r="T710" s="163"/>
      <c r="U710" s="163"/>
      <c r="V710" s="163"/>
      <c r="W710" s="163"/>
      <c r="X710" s="163"/>
      <c r="Y710" s="163"/>
      <c r="Z710" s="163"/>
    </row>
    <row r="711" spans="16:26" ht="10.199999999999999" customHeight="1">
      <c r="P711" s="163"/>
      <c r="Q711" s="163"/>
      <c r="R711" s="163"/>
      <c r="S711" s="163"/>
      <c r="T711" s="163"/>
      <c r="U711" s="163"/>
      <c r="V711" s="163"/>
      <c r="W711" s="163"/>
      <c r="X711" s="163"/>
      <c r="Y711" s="163"/>
      <c r="Z711" s="163"/>
    </row>
    <row r="712" spans="16:26" ht="10.199999999999999" customHeight="1">
      <c r="P712" s="163"/>
      <c r="Q712" s="163"/>
      <c r="R712" s="163"/>
      <c r="S712" s="163"/>
      <c r="T712" s="163"/>
      <c r="U712" s="163"/>
      <c r="V712" s="163"/>
      <c r="W712" s="163"/>
      <c r="X712" s="163"/>
      <c r="Y712" s="163"/>
      <c r="Z712" s="163"/>
    </row>
    <row r="713" spans="16:26" ht="10.199999999999999" customHeight="1">
      <c r="P713" s="163"/>
      <c r="Q713" s="163"/>
      <c r="R713" s="163"/>
      <c r="S713" s="163"/>
      <c r="T713" s="163"/>
      <c r="U713" s="163"/>
      <c r="V713" s="163"/>
      <c r="W713" s="163"/>
      <c r="X713" s="163"/>
      <c r="Y713" s="163"/>
      <c r="Z713" s="163"/>
    </row>
    <row r="714" spans="16:26" ht="10.199999999999999" customHeight="1">
      <c r="P714" s="163"/>
      <c r="Q714" s="163"/>
      <c r="R714" s="163"/>
      <c r="S714" s="163"/>
      <c r="T714" s="163"/>
      <c r="U714" s="163"/>
      <c r="V714" s="163"/>
      <c r="W714" s="163"/>
      <c r="X714" s="163"/>
      <c r="Y714" s="163"/>
      <c r="Z714" s="163"/>
    </row>
    <row r="715" spans="16:26" ht="10.199999999999999" customHeight="1">
      <c r="P715" s="163"/>
      <c r="Q715" s="163"/>
      <c r="R715" s="163"/>
      <c r="S715" s="163"/>
      <c r="T715" s="163"/>
      <c r="U715" s="163"/>
      <c r="V715" s="163"/>
      <c r="W715" s="163"/>
      <c r="X715" s="163"/>
      <c r="Y715" s="163"/>
      <c r="Z715" s="163"/>
    </row>
    <row r="716" spans="16:26" ht="10.199999999999999" customHeight="1">
      <c r="P716" s="163"/>
      <c r="Q716" s="163"/>
      <c r="R716" s="163"/>
      <c r="S716" s="163"/>
      <c r="T716" s="163"/>
      <c r="U716" s="163"/>
      <c r="V716" s="163"/>
      <c r="W716" s="163"/>
      <c r="X716" s="163"/>
      <c r="Y716" s="163"/>
      <c r="Z716" s="163"/>
    </row>
    <row r="717" spans="16:26" ht="10.199999999999999" customHeight="1">
      <c r="P717" s="163"/>
      <c r="Q717" s="163"/>
      <c r="R717" s="163"/>
      <c r="S717" s="163"/>
      <c r="T717" s="163"/>
      <c r="U717" s="163"/>
      <c r="V717" s="163"/>
      <c r="W717" s="163"/>
      <c r="X717" s="163"/>
      <c r="Y717" s="163"/>
      <c r="Z717" s="163"/>
    </row>
    <row r="718" spans="16:26" ht="10.199999999999999" customHeight="1">
      <c r="P718" s="163"/>
      <c r="Q718" s="163"/>
      <c r="R718" s="163"/>
      <c r="S718" s="163"/>
      <c r="T718" s="163"/>
      <c r="U718" s="163"/>
      <c r="V718" s="163"/>
      <c r="W718" s="163"/>
      <c r="X718" s="163"/>
      <c r="Y718" s="163"/>
      <c r="Z718" s="163"/>
    </row>
    <row r="719" spans="16:26" ht="10.199999999999999" customHeight="1">
      <c r="P719" s="163"/>
      <c r="Q719" s="163"/>
      <c r="R719" s="163"/>
      <c r="S719" s="163"/>
      <c r="T719" s="163"/>
      <c r="U719" s="163"/>
      <c r="V719" s="163"/>
      <c r="W719" s="163"/>
      <c r="X719" s="163"/>
      <c r="Y719" s="163"/>
      <c r="Z719" s="163"/>
    </row>
    <row r="720" spans="16:26" ht="10.199999999999999" customHeight="1">
      <c r="P720" s="163"/>
      <c r="Q720" s="163"/>
      <c r="R720" s="163"/>
      <c r="S720" s="163"/>
      <c r="T720" s="163"/>
      <c r="U720" s="163"/>
      <c r="V720" s="163"/>
      <c r="W720" s="163"/>
      <c r="X720" s="163"/>
      <c r="Y720" s="163"/>
      <c r="Z720" s="163"/>
    </row>
    <row r="721" spans="16:26" ht="10.199999999999999" customHeight="1">
      <c r="P721" s="163"/>
      <c r="Q721" s="163"/>
      <c r="R721" s="163"/>
      <c r="S721" s="163"/>
      <c r="T721" s="163"/>
      <c r="U721" s="163"/>
      <c r="V721" s="163"/>
      <c r="W721" s="163"/>
      <c r="X721" s="163"/>
      <c r="Y721" s="163"/>
      <c r="Z721" s="163"/>
    </row>
    <row r="722" spans="16:26" ht="10.199999999999999" customHeight="1">
      <c r="P722" s="163"/>
      <c r="Q722" s="163"/>
      <c r="R722" s="163"/>
      <c r="S722" s="163"/>
      <c r="T722" s="163"/>
      <c r="U722" s="163"/>
      <c r="V722" s="163"/>
      <c r="W722" s="163"/>
      <c r="X722" s="163"/>
      <c r="Y722" s="163"/>
      <c r="Z722" s="163"/>
    </row>
    <row r="723" spans="16:26" ht="10.199999999999999" customHeight="1">
      <c r="P723" s="163"/>
      <c r="Q723" s="163"/>
      <c r="R723" s="163"/>
      <c r="S723" s="163"/>
      <c r="T723" s="163"/>
      <c r="U723" s="163"/>
      <c r="V723" s="163"/>
      <c r="W723" s="163"/>
      <c r="X723" s="163"/>
      <c r="Y723" s="163"/>
      <c r="Z723" s="163"/>
    </row>
    <row r="724" spans="16:26" ht="10.199999999999999" customHeight="1">
      <c r="P724" s="163"/>
      <c r="Q724" s="163"/>
      <c r="R724" s="163"/>
      <c r="S724" s="163"/>
      <c r="T724" s="163"/>
      <c r="U724" s="163"/>
      <c r="V724" s="163"/>
      <c r="W724" s="163"/>
      <c r="X724" s="163"/>
      <c r="Y724" s="163"/>
      <c r="Z724" s="163"/>
    </row>
    <row r="725" spans="16:26" ht="10.199999999999999" customHeight="1">
      <c r="P725" s="163"/>
      <c r="Q725" s="163"/>
      <c r="R725" s="163"/>
      <c r="S725" s="163"/>
      <c r="T725" s="163"/>
      <c r="U725" s="163"/>
      <c r="V725" s="163"/>
      <c r="W725" s="163"/>
      <c r="X725" s="163"/>
      <c r="Y725" s="163"/>
      <c r="Z725" s="163"/>
    </row>
    <row r="726" spans="16:26" ht="10.199999999999999" customHeight="1">
      <c r="P726" s="163"/>
      <c r="Q726" s="163"/>
      <c r="R726" s="163"/>
      <c r="S726" s="163"/>
      <c r="T726" s="163"/>
      <c r="U726" s="163"/>
      <c r="V726" s="163"/>
      <c r="W726" s="163"/>
      <c r="X726" s="163"/>
      <c r="Y726" s="163"/>
      <c r="Z726" s="163"/>
    </row>
    <row r="727" spans="16:26" ht="10.199999999999999" customHeight="1">
      <c r="P727" s="163"/>
      <c r="Q727" s="163"/>
      <c r="R727" s="163"/>
      <c r="S727" s="163"/>
      <c r="T727" s="163"/>
      <c r="U727" s="163"/>
      <c r="V727" s="163"/>
      <c r="W727" s="163"/>
      <c r="X727" s="163"/>
      <c r="Y727" s="163"/>
      <c r="Z727" s="163"/>
    </row>
    <row r="728" spans="16:26" ht="10.199999999999999" customHeight="1">
      <c r="P728" s="163"/>
      <c r="Q728" s="163"/>
      <c r="R728" s="163"/>
      <c r="S728" s="163"/>
      <c r="T728" s="163"/>
      <c r="U728" s="163"/>
      <c r="V728" s="163"/>
      <c r="W728" s="163"/>
      <c r="X728" s="163"/>
      <c r="Y728" s="163"/>
      <c r="Z728" s="163"/>
    </row>
    <row r="729" spans="16:26" ht="10.199999999999999" customHeight="1">
      <c r="P729" s="163"/>
      <c r="Q729" s="163"/>
      <c r="R729" s="163"/>
      <c r="S729" s="163"/>
      <c r="T729" s="163"/>
      <c r="U729" s="163"/>
      <c r="V729" s="163"/>
      <c r="W729" s="163"/>
      <c r="X729" s="163"/>
      <c r="Y729" s="163"/>
      <c r="Z729" s="163"/>
    </row>
    <row r="730" spans="16:26" ht="10.199999999999999" customHeight="1">
      <c r="P730" s="163"/>
      <c r="Q730" s="163"/>
      <c r="R730" s="163"/>
      <c r="S730" s="163"/>
      <c r="T730" s="163"/>
      <c r="U730" s="163"/>
      <c r="V730" s="163"/>
      <c r="W730" s="163"/>
      <c r="X730" s="163"/>
      <c r="Y730" s="163"/>
      <c r="Z730" s="163"/>
    </row>
    <row r="731" spans="16:26" ht="10.199999999999999" customHeight="1">
      <c r="P731" s="163"/>
      <c r="Q731" s="163"/>
      <c r="R731" s="163"/>
      <c r="S731" s="163"/>
      <c r="T731" s="163"/>
      <c r="U731" s="163"/>
      <c r="V731" s="163"/>
      <c r="W731" s="163"/>
      <c r="X731" s="163"/>
      <c r="Y731" s="163"/>
      <c r="Z731" s="163"/>
    </row>
    <row r="732" spans="16:26" ht="10.199999999999999" customHeight="1">
      <c r="P732" s="163"/>
      <c r="Q732" s="163"/>
      <c r="R732" s="163"/>
      <c r="S732" s="163"/>
      <c r="T732" s="163"/>
      <c r="U732" s="163"/>
      <c r="V732" s="163"/>
      <c r="W732" s="163"/>
      <c r="X732" s="163"/>
      <c r="Y732" s="163"/>
      <c r="Z732" s="163"/>
    </row>
    <row r="733" spans="16:26" ht="10.199999999999999" customHeight="1">
      <c r="P733" s="163"/>
      <c r="Q733" s="163"/>
      <c r="R733" s="163"/>
      <c r="S733" s="163"/>
      <c r="T733" s="163"/>
      <c r="U733" s="163"/>
      <c r="V733" s="163"/>
      <c r="W733" s="163"/>
      <c r="X733" s="163"/>
      <c r="Y733" s="163"/>
      <c r="Z733" s="163"/>
    </row>
    <row r="734" spans="16:26" ht="10.199999999999999" customHeight="1">
      <c r="P734" s="163"/>
      <c r="Q734" s="163"/>
      <c r="R734" s="163"/>
      <c r="S734" s="163"/>
      <c r="T734" s="163"/>
      <c r="U734" s="163"/>
      <c r="V734" s="163"/>
      <c r="W734" s="163"/>
      <c r="X734" s="163"/>
      <c r="Y734" s="163"/>
      <c r="Z734" s="163"/>
    </row>
    <row r="735" spans="16:26" ht="10.199999999999999" customHeight="1">
      <c r="P735" s="163"/>
      <c r="Q735" s="163"/>
      <c r="R735" s="163"/>
      <c r="S735" s="163"/>
      <c r="T735" s="163"/>
      <c r="U735" s="163"/>
      <c r="V735" s="163"/>
      <c r="W735" s="163"/>
      <c r="X735" s="163"/>
      <c r="Y735" s="163"/>
      <c r="Z735" s="163"/>
    </row>
    <row r="736" spans="16:26" ht="10.199999999999999" customHeight="1">
      <c r="P736" s="163"/>
      <c r="Q736" s="163"/>
      <c r="R736" s="163"/>
      <c r="S736" s="163"/>
      <c r="T736" s="163"/>
      <c r="U736" s="163"/>
      <c r="V736" s="163"/>
      <c r="W736" s="163"/>
      <c r="X736" s="163"/>
      <c r="Y736" s="163"/>
      <c r="Z736" s="163"/>
    </row>
    <row r="737" spans="16:26" ht="10.199999999999999" customHeight="1">
      <c r="P737" s="163"/>
      <c r="Q737" s="163"/>
      <c r="R737" s="163"/>
      <c r="S737" s="163"/>
      <c r="T737" s="163"/>
      <c r="U737" s="163"/>
      <c r="V737" s="163"/>
      <c r="W737" s="163"/>
      <c r="X737" s="163"/>
      <c r="Y737" s="163"/>
      <c r="Z737" s="163"/>
    </row>
    <row r="738" spans="16:26" ht="10.199999999999999" customHeight="1">
      <c r="P738" s="163"/>
      <c r="Q738" s="163"/>
      <c r="R738" s="163"/>
      <c r="S738" s="163"/>
      <c r="T738" s="163"/>
      <c r="U738" s="163"/>
      <c r="V738" s="163"/>
      <c r="W738" s="163"/>
      <c r="X738" s="163"/>
      <c r="Y738" s="163"/>
      <c r="Z738" s="163"/>
    </row>
    <row r="739" spans="16:26" ht="10.199999999999999" customHeight="1">
      <c r="P739" s="163"/>
      <c r="Q739" s="163"/>
      <c r="R739" s="163"/>
      <c r="S739" s="163"/>
      <c r="T739" s="163"/>
      <c r="U739" s="163"/>
      <c r="V739" s="163"/>
      <c r="W739" s="163"/>
      <c r="X739" s="163"/>
      <c r="Y739" s="163"/>
      <c r="Z739" s="163"/>
    </row>
    <row r="740" spans="16:26" ht="10.199999999999999" customHeight="1">
      <c r="P740" s="163"/>
      <c r="Q740" s="163"/>
      <c r="R740" s="163"/>
      <c r="S740" s="163"/>
      <c r="T740" s="163"/>
      <c r="U740" s="163"/>
      <c r="V740" s="163"/>
      <c r="W740" s="163"/>
      <c r="X740" s="163"/>
      <c r="Y740" s="163"/>
      <c r="Z740" s="163"/>
    </row>
    <row r="741" spans="16:26" ht="10.199999999999999" customHeight="1">
      <c r="P741" s="163"/>
      <c r="Q741" s="163"/>
      <c r="R741" s="163"/>
      <c r="S741" s="163"/>
      <c r="T741" s="163"/>
      <c r="U741" s="163"/>
      <c r="V741" s="163"/>
      <c r="W741" s="163"/>
      <c r="X741" s="163"/>
      <c r="Y741" s="163"/>
      <c r="Z741" s="163"/>
    </row>
    <row r="742" spans="16:26" ht="10.199999999999999" customHeight="1">
      <c r="P742" s="163"/>
      <c r="Q742" s="163"/>
      <c r="R742" s="163"/>
      <c r="S742" s="163"/>
      <c r="T742" s="163"/>
      <c r="U742" s="163"/>
      <c r="V742" s="163"/>
      <c r="W742" s="163"/>
      <c r="X742" s="163"/>
      <c r="Y742" s="163"/>
      <c r="Z742" s="163"/>
    </row>
    <row r="743" spans="16:26" ht="10.199999999999999" customHeight="1">
      <c r="P743" s="163"/>
      <c r="Q743" s="163"/>
      <c r="R743" s="163"/>
      <c r="S743" s="163"/>
      <c r="T743" s="163"/>
      <c r="U743" s="163"/>
      <c r="V743" s="163"/>
      <c r="W743" s="163"/>
      <c r="X743" s="163"/>
      <c r="Y743" s="163"/>
      <c r="Z743" s="163"/>
    </row>
    <row r="744" spans="16:26" ht="10.199999999999999" customHeight="1">
      <c r="P744" s="163"/>
      <c r="Q744" s="163"/>
      <c r="R744" s="163"/>
      <c r="S744" s="163"/>
      <c r="T744" s="163"/>
      <c r="U744" s="163"/>
      <c r="V744" s="163"/>
      <c r="W744" s="163"/>
      <c r="X744" s="163"/>
      <c r="Y744" s="163"/>
      <c r="Z744" s="163"/>
    </row>
    <row r="745" spans="16:26" ht="10.199999999999999" customHeight="1">
      <c r="P745" s="163"/>
      <c r="Q745" s="163"/>
      <c r="R745" s="163"/>
      <c r="S745" s="163"/>
      <c r="T745" s="163"/>
      <c r="U745" s="163"/>
      <c r="V745" s="163"/>
      <c r="W745" s="163"/>
      <c r="X745" s="163"/>
      <c r="Y745" s="163"/>
      <c r="Z745" s="163"/>
    </row>
    <row r="746" spans="16:26" ht="10.199999999999999" customHeight="1">
      <c r="P746" s="163"/>
      <c r="Q746" s="163"/>
      <c r="R746" s="163"/>
      <c r="S746" s="163"/>
      <c r="T746" s="163"/>
      <c r="U746" s="163"/>
      <c r="V746" s="163"/>
      <c r="W746" s="163"/>
      <c r="X746" s="163"/>
      <c r="Y746" s="163"/>
      <c r="Z746" s="163"/>
    </row>
    <row r="747" spans="16:26" ht="10.199999999999999" customHeight="1">
      <c r="P747" s="163"/>
      <c r="Q747" s="163"/>
      <c r="R747" s="163"/>
      <c r="S747" s="163"/>
      <c r="T747" s="163"/>
      <c r="U747" s="163"/>
      <c r="V747" s="163"/>
      <c r="W747" s="163"/>
      <c r="X747" s="163"/>
      <c r="Y747" s="163"/>
      <c r="Z747" s="163"/>
    </row>
    <row r="748" spans="16:26" ht="10.199999999999999" customHeight="1">
      <c r="P748" s="163"/>
      <c r="Q748" s="163"/>
      <c r="R748" s="163"/>
      <c r="S748" s="163"/>
      <c r="T748" s="163"/>
      <c r="U748" s="163"/>
      <c r="V748" s="163"/>
      <c r="W748" s="163"/>
      <c r="X748" s="163"/>
      <c r="Y748" s="163"/>
      <c r="Z748" s="163"/>
    </row>
    <row r="749" spans="16:26" ht="10.199999999999999" customHeight="1">
      <c r="P749" s="163"/>
      <c r="Q749" s="163"/>
      <c r="R749" s="163"/>
      <c r="S749" s="163"/>
      <c r="T749" s="163"/>
      <c r="U749" s="163"/>
      <c r="V749" s="163"/>
      <c r="W749" s="163"/>
      <c r="X749" s="163"/>
      <c r="Y749" s="163"/>
      <c r="Z749" s="163"/>
    </row>
    <row r="750" spans="16:26" ht="10.199999999999999" customHeight="1">
      <c r="P750" s="163"/>
      <c r="Q750" s="163"/>
      <c r="R750" s="163"/>
      <c r="S750" s="163"/>
      <c r="T750" s="163"/>
      <c r="U750" s="163"/>
      <c r="V750" s="163"/>
      <c r="W750" s="163"/>
      <c r="X750" s="163"/>
      <c r="Y750" s="163"/>
      <c r="Z750" s="163"/>
    </row>
    <row r="751" spans="16:26" ht="10.199999999999999" customHeight="1">
      <c r="P751" s="163"/>
      <c r="Q751" s="163"/>
      <c r="R751" s="163"/>
      <c r="S751" s="163"/>
      <c r="T751" s="163"/>
      <c r="U751" s="163"/>
      <c r="V751" s="163"/>
      <c r="W751" s="163"/>
      <c r="X751" s="163"/>
      <c r="Y751" s="163"/>
      <c r="Z751" s="163"/>
    </row>
    <row r="752" spans="16:26" ht="10.199999999999999" customHeight="1">
      <c r="P752" s="163"/>
      <c r="Q752" s="163"/>
      <c r="R752" s="163"/>
      <c r="S752" s="163"/>
      <c r="T752" s="163"/>
      <c r="U752" s="163"/>
      <c r="V752" s="163"/>
      <c r="W752" s="163"/>
      <c r="X752" s="163"/>
      <c r="Y752" s="163"/>
      <c r="Z752" s="163"/>
    </row>
    <row r="753" spans="16:26" ht="10.199999999999999" customHeight="1">
      <c r="P753" s="163"/>
      <c r="Q753" s="163"/>
      <c r="R753" s="163"/>
      <c r="S753" s="163"/>
      <c r="T753" s="163"/>
      <c r="U753" s="163"/>
      <c r="V753" s="163"/>
      <c r="W753" s="163"/>
      <c r="X753" s="163"/>
      <c r="Y753" s="163"/>
      <c r="Z753" s="163"/>
    </row>
    <row r="754" spans="16:26" ht="10.199999999999999" customHeight="1">
      <c r="P754" s="163"/>
      <c r="Q754" s="163"/>
      <c r="R754" s="163"/>
      <c r="S754" s="163"/>
      <c r="T754" s="163"/>
      <c r="U754" s="163"/>
      <c r="V754" s="163"/>
      <c r="W754" s="163"/>
      <c r="X754" s="163"/>
      <c r="Y754" s="163"/>
      <c r="Z754" s="163"/>
    </row>
    <row r="755" spans="16:26" ht="10.199999999999999" customHeight="1">
      <c r="P755" s="163"/>
      <c r="Q755" s="163"/>
      <c r="R755" s="163"/>
      <c r="S755" s="163"/>
      <c r="T755" s="163"/>
      <c r="U755" s="163"/>
      <c r="V755" s="163"/>
      <c r="W755" s="163"/>
      <c r="X755" s="163"/>
      <c r="Y755" s="163"/>
      <c r="Z755" s="163"/>
    </row>
    <row r="756" spans="16:26" ht="10.199999999999999" customHeight="1">
      <c r="P756" s="163"/>
      <c r="Q756" s="163"/>
      <c r="R756" s="163"/>
      <c r="S756" s="163"/>
      <c r="T756" s="163"/>
      <c r="U756" s="163"/>
      <c r="V756" s="163"/>
      <c r="W756" s="163"/>
      <c r="X756" s="163"/>
      <c r="Y756" s="163"/>
      <c r="Z756" s="163"/>
    </row>
    <row r="757" spans="16:26" ht="10.199999999999999" customHeight="1">
      <c r="P757" s="163"/>
      <c r="Q757" s="163"/>
      <c r="R757" s="163"/>
      <c r="S757" s="163"/>
      <c r="T757" s="163"/>
      <c r="U757" s="163"/>
      <c r="V757" s="163"/>
      <c r="W757" s="163"/>
      <c r="X757" s="163"/>
      <c r="Y757" s="163"/>
      <c r="Z757" s="163"/>
    </row>
    <row r="758" spans="16:26" ht="10.199999999999999" customHeight="1">
      <c r="P758" s="163"/>
      <c r="Q758" s="163"/>
      <c r="R758" s="163"/>
      <c r="S758" s="163"/>
      <c r="T758" s="163"/>
      <c r="U758" s="163"/>
      <c r="V758" s="163"/>
      <c r="W758" s="163"/>
      <c r="X758" s="163"/>
      <c r="Y758" s="163"/>
      <c r="Z758" s="163"/>
    </row>
    <row r="759" spans="16:26" ht="10.199999999999999" customHeight="1">
      <c r="P759" s="163"/>
      <c r="Q759" s="163"/>
      <c r="R759" s="163"/>
      <c r="S759" s="163"/>
      <c r="T759" s="163"/>
      <c r="U759" s="163"/>
      <c r="V759" s="163"/>
      <c r="W759" s="163"/>
      <c r="X759" s="163"/>
      <c r="Y759" s="163"/>
      <c r="Z759" s="163"/>
    </row>
    <row r="760" spans="16:26" ht="10.199999999999999" customHeight="1">
      <c r="P760" s="163"/>
      <c r="Q760" s="163"/>
      <c r="R760" s="163"/>
      <c r="S760" s="163"/>
      <c r="T760" s="163"/>
      <c r="U760" s="163"/>
      <c r="V760" s="163"/>
      <c r="W760" s="163"/>
      <c r="X760" s="163"/>
      <c r="Y760" s="163"/>
      <c r="Z760" s="163"/>
    </row>
    <row r="761" spans="16:26" ht="10.199999999999999" customHeight="1">
      <c r="P761" s="163"/>
      <c r="Q761" s="163"/>
      <c r="R761" s="163"/>
      <c r="S761" s="163"/>
      <c r="T761" s="163"/>
      <c r="U761" s="163"/>
      <c r="V761" s="163"/>
      <c r="W761" s="163"/>
      <c r="X761" s="163"/>
      <c r="Y761" s="163"/>
      <c r="Z761" s="163"/>
    </row>
    <row r="762" spans="16:26" ht="10.199999999999999" customHeight="1">
      <c r="P762" s="163"/>
      <c r="Q762" s="163"/>
      <c r="R762" s="163"/>
      <c r="S762" s="163"/>
      <c r="T762" s="163"/>
      <c r="U762" s="163"/>
      <c r="V762" s="163"/>
      <c r="W762" s="163"/>
      <c r="X762" s="163"/>
      <c r="Y762" s="163"/>
      <c r="Z762" s="163"/>
    </row>
    <row r="763" spans="16:26" ht="10.199999999999999" customHeight="1">
      <c r="P763" s="163"/>
      <c r="Q763" s="163"/>
      <c r="R763" s="163"/>
      <c r="S763" s="163"/>
      <c r="T763" s="163"/>
      <c r="U763" s="163"/>
      <c r="V763" s="163"/>
      <c r="W763" s="163"/>
      <c r="X763" s="163"/>
      <c r="Y763" s="163"/>
      <c r="Z763" s="163"/>
    </row>
    <row r="764" spans="16:26" ht="10.199999999999999" customHeight="1">
      <c r="P764" s="163"/>
      <c r="Q764" s="163"/>
      <c r="R764" s="163"/>
      <c r="S764" s="163"/>
      <c r="T764" s="163"/>
      <c r="U764" s="163"/>
      <c r="V764" s="163"/>
      <c r="W764" s="163"/>
      <c r="X764" s="163"/>
      <c r="Y764" s="163"/>
      <c r="Z764" s="163"/>
    </row>
    <row r="765" spans="16:26" ht="10.199999999999999" customHeight="1">
      <c r="P765" s="163"/>
      <c r="Q765" s="163"/>
      <c r="R765" s="163"/>
      <c r="S765" s="163"/>
      <c r="T765" s="163"/>
      <c r="U765" s="163"/>
      <c r="V765" s="163"/>
      <c r="W765" s="163"/>
      <c r="X765" s="163"/>
      <c r="Y765" s="163"/>
      <c r="Z765" s="163"/>
    </row>
    <row r="766" spans="16:26" ht="10.199999999999999" customHeight="1">
      <c r="P766" s="163"/>
      <c r="Q766" s="163"/>
      <c r="R766" s="163"/>
      <c r="S766" s="163"/>
      <c r="T766" s="163"/>
      <c r="U766" s="163"/>
      <c r="V766" s="163"/>
      <c r="W766" s="163"/>
      <c r="X766" s="163"/>
      <c r="Y766" s="163"/>
      <c r="Z766" s="163"/>
    </row>
    <row r="767" spans="16:26" ht="10.199999999999999" customHeight="1">
      <c r="P767" s="163"/>
      <c r="Q767" s="163"/>
      <c r="R767" s="163"/>
      <c r="S767" s="163"/>
      <c r="T767" s="163"/>
      <c r="U767" s="163"/>
      <c r="V767" s="163"/>
      <c r="W767" s="163"/>
      <c r="X767" s="163"/>
      <c r="Y767" s="163"/>
      <c r="Z767" s="163"/>
    </row>
    <row r="768" spans="16:26" ht="10.199999999999999" customHeight="1">
      <c r="P768" s="163"/>
      <c r="Q768" s="163"/>
      <c r="R768" s="163"/>
      <c r="S768" s="163"/>
      <c r="T768" s="163"/>
      <c r="U768" s="163"/>
      <c r="V768" s="163"/>
      <c r="W768" s="163"/>
      <c r="X768" s="163"/>
      <c r="Y768" s="163"/>
      <c r="Z768" s="163"/>
    </row>
    <row r="769" spans="16:26" ht="10.199999999999999" customHeight="1">
      <c r="P769" s="163"/>
      <c r="Q769" s="163"/>
      <c r="R769" s="163"/>
      <c r="S769" s="163"/>
      <c r="T769" s="163"/>
      <c r="U769" s="163"/>
      <c r="V769" s="163"/>
      <c r="W769" s="163"/>
      <c r="X769" s="163"/>
      <c r="Y769" s="163"/>
      <c r="Z769" s="163"/>
    </row>
    <row r="770" spans="16:26" ht="10.199999999999999" customHeight="1">
      <c r="P770" s="163"/>
      <c r="Q770" s="163"/>
      <c r="R770" s="163"/>
      <c r="S770" s="163"/>
      <c r="T770" s="163"/>
      <c r="U770" s="163"/>
      <c r="V770" s="163"/>
      <c r="W770" s="163"/>
      <c r="X770" s="163"/>
      <c r="Y770" s="163"/>
      <c r="Z770" s="163"/>
    </row>
    <row r="771" spans="16:26" ht="10.199999999999999" customHeight="1">
      <c r="P771" s="163"/>
      <c r="Q771" s="163"/>
      <c r="R771" s="163"/>
      <c r="S771" s="163"/>
      <c r="T771" s="163"/>
      <c r="U771" s="163"/>
      <c r="V771" s="163"/>
      <c r="W771" s="163"/>
      <c r="X771" s="163"/>
      <c r="Y771" s="163"/>
      <c r="Z771" s="163"/>
    </row>
    <row r="772" spans="16:26" ht="10.199999999999999" customHeight="1">
      <c r="P772" s="163"/>
      <c r="Q772" s="163"/>
      <c r="R772" s="163"/>
      <c r="S772" s="163"/>
      <c r="T772" s="163"/>
      <c r="U772" s="163"/>
      <c r="V772" s="163"/>
      <c r="W772" s="163"/>
      <c r="X772" s="163"/>
      <c r="Y772" s="163"/>
      <c r="Z772" s="163"/>
    </row>
    <row r="773" spans="16:26" ht="10.199999999999999" customHeight="1">
      <c r="P773" s="163"/>
      <c r="Q773" s="163"/>
      <c r="R773" s="163"/>
      <c r="S773" s="163"/>
      <c r="T773" s="163"/>
      <c r="U773" s="163"/>
      <c r="V773" s="163"/>
      <c r="W773" s="163"/>
      <c r="X773" s="163"/>
      <c r="Y773" s="163"/>
      <c r="Z773" s="163"/>
    </row>
    <row r="774" spans="16:26" ht="10.199999999999999" customHeight="1">
      <c r="P774" s="163"/>
      <c r="Q774" s="163"/>
      <c r="R774" s="163"/>
      <c r="S774" s="163"/>
      <c r="T774" s="163"/>
      <c r="U774" s="163"/>
      <c r="V774" s="163"/>
      <c r="W774" s="163"/>
      <c r="X774" s="163"/>
      <c r="Y774" s="163"/>
      <c r="Z774" s="163"/>
    </row>
    <row r="775" spans="16:26" ht="10.199999999999999" customHeight="1">
      <c r="P775" s="163"/>
      <c r="Q775" s="163"/>
      <c r="R775" s="163"/>
      <c r="S775" s="163"/>
      <c r="T775" s="163"/>
      <c r="U775" s="163"/>
      <c r="V775" s="163"/>
      <c r="W775" s="163"/>
      <c r="X775" s="163"/>
      <c r="Y775" s="163"/>
      <c r="Z775" s="163"/>
    </row>
    <row r="776" spans="16:26" ht="10.199999999999999" customHeight="1">
      <c r="P776" s="163"/>
      <c r="Q776" s="163"/>
      <c r="R776" s="163"/>
      <c r="S776" s="163"/>
      <c r="T776" s="163"/>
      <c r="U776" s="163"/>
      <c r="V776" s="163"/>
      <c r="W776" s="163"/>
      <c r="X776" s="163"/>
      <c r="Y776" s="163"/>
      <c r="Z776" s="163"/>
    </row>
    <row r="777" spans="16:26" ht="10.199999999999999" customHeight="1">
      <c r="P777" s="163"/>
      <c r="Q777" s="163"/>
      <c r="R777" s="163"/>
      <c r="S777" s="163"/>
      <c r="T777" s="163"/>
      <c r="U777" s="163"/>
      <c r="V777" s="163"/>
      <c r="W777" s="163"/>
      <c r="X777" s="163"/>
      <c r="Y777" s="163"/>
      <c r="Z777" s="163"/>
    </row>
    <row r="778" spans="16:26" ht="10.199999999999999" customHeight="1">
      <c r="P778" s="163"/>
      <c r="Q778" s="163"/>
      <c r="R778" s="163"/>
      <c r="S778" s="163"/>
      <c r="T778" s="163"/>
      <c r="U778" s="163"/>
      <c r="V778" s="163"/>
      <c r="W778" s="163"/>
      <c r="X778" s="163"/>
      <c r="Y778" s="163"/>
      <c r="Z778" s="163"/>
    </row>
    <row r="779" spans="16:26" ht="10.199999999999999" customHeight="1">
      <c r="P779" s="163"/>
      <c r="Q779" s="163"/>
      <c r="R779" s="163"/>
      <c r="S779" s="163"/>
      <c r="T779" s="163"/>
      <c r="U779" s="163"/>
      <c r="V779" s="163"/>
      <c r="W779" s="163"/>
      <c r="X779" s="163"/>
      <c r="Y779" s="163"/>
      <c r="Z779" s="163"/>
    </row>
    <row r="780" spans="16:26" ht="10.199999999999999" customHeight="1">
      <c r="P780" s="163"/>
      <c r="Q780" s="163"/>
      <c r="R780" s="163"/>
      <c r="S780" s="163"/>
      <c r="T780" s="163"/>
      <c r="U780" s="163"/>
      <c r="V780" s="163"/>
      <c r="W780" s="163"/>
      <c r="X780" s="163"/>
      <c r="Y780" s="163"/>
      <c r="Z780" s="163"/>
    </row>
    <row r="781" spans="16:26" ht="10.199999999999999" customHeight="1">
      <c r="P781" s="163"/>
      <c r="Q781" s="163"/>
      <c r="R781" s="163"/>
      <c r="S781" s="163"/>
      <c r="T781" s="163"/>
      <c r="U781" s="163"/>
      <c r="V781" s="163"/>
      <c r="W781" s="163"/>
      <c r="X781" s="163"/>
      <c r="Y781" s="163"/>
      <c r="Z781" s="163"/>
    </row>
    <row r="782" spans="16:26" ht="10.199999999999999" customHeight="1">
      <c r="P782" s="163"/>
      <c r="Q782" s="163"/>
      <c r="R782" s="163"/>
      <c r="S782" s="163"/>
      <c r="T782" s="163"/>
      <c r="U782" s="163"/>
      <c r="V782" s="163"/>
      <c r="W782" s="163"/>
      <c r="X782" s="163"/>
      <c r="Y782" s="163"/>
      <c r="Z782" s="163"/>
    </row>
    <row r="783" spans="16:26" ht="10.199999999999999" customHeight="1">
      <c r="P783" s="163"/>
      <c r="Q783" s="163"/>
      <c r="R783" s="163"/>
      <c r="S783" s="163"/>
      <c r="T783" s="163"/>
      <c r="U783" s="163"/>
      <c r="V783" s="163"/>
      <c r="W783" s="163"/>
      <c r="X783" s="163"/>
      <c r="Y783" s="163"/>
      <c r="Z783" s="163"/>
    </row>
    <row r="784" spans="16:26" ht="10.199999999999999" customHeight="1">
      <c r="P784" s="163"/>
      <c r="Q784" s="163"/>
      <c r="R784" s="163"/>
      <c r="S784" s="163"/>
      <c r="T784" s="163"/>
      <c r="U784" s="163"/>
      <c r="V784" s="163"/>
      <c r="W784" s="163"/>
      <c r="X784" s="163"/>
      <c r="Y784" s="163"/>
      <c r="Z784" s="163"/>
    </row>
    <row r="785" spans="16:26" ht="10.199999999999999" customHeight="1">
      <c r="P785" s="163"/>
      <c r="Q785" s="163"/>
      <c r="R785" s="163"/>
      <c r="S785" s="163"/>
      <c r="T785" s="163"/>
      <c r="U785" s="163"/>
      <c r="V785" s="163"/>
      <c r="W785" s="163"/>
      <c r="X785" s="163"/>
      <c r="Y785" s="163"/>
      <c r="Z785" s="163"/>
    </row>
    <row r="786" spans="16:26" ht="10.199999999999999" customHeight="1">
      <c r="P786" s="163"/>
      <c r="Q786" s="163"/>
      <c r="R786" s="163"/>
      <c r="S786" s="163"/>
      <c r="T786" s="163"/>
      <c r="U786" s="163"/>
      <c r="V786" s="163"/>
      <c r="W786" s="163"/>
      <c r="X786" s="163"/>
      <c r="Y786" s="163"/>
      <c r="Z786" s="163"/>
    </row>
    <row r="787" spans="16:26" ht="10.199999999999999" customHeight="1">
      <c r="P787" s="163"/>
      <c r="Q787" s="163"/>
      <c r="R787" s="163"/>
      <c r="S787" s="163"/>
      <c r="T787" s="163"/>
      <c r="U787" s="163"/>
      <c r="V787" s="163"/>
      <c r="W787" s="163"/>
      <c r="X787" s="163"/>
      <c r="Y787" s="163"/>
      <c r="Z787" s="163"/>
    </row>
    <row r="788" spans="16:26" ht="10.199999999999999" customHeight="1">
      <c r="P788" s="163"/>
      <c r="Q788" s="163"/>
      <c r="R788" s="163"/>
      <c r="S788" s="163"/>
      <c r="T788" s="163"/>
      <c r="U788" s="163"/>
      <c r="V788" s="163"/>
      <c r="W788" s="163"/>
      <c r="X788" s="163"/>
      <c r="Y788" s="163"/>
      <c r="Z788" s="163"/>
    </row>
    <row r="789" spans="16:26" ht="10.199999999999999" customHeight="1">
      <c r="P789" s="163"/>
      <c r="Q789" s="163"/>
      <c r="R789" s="163"/>
      <c r="S789" s="163"/>
      <c r="T789" s="163"/>
      <c r="U789" s="163"/>
      <c r="V789" s="163"/>
      <c r="W789" s="163"/>
      <c r="X789" s="163"/>
      <c r="Y789" s="163"/>
      <c r="Z789" s="163"/>
    </row>
    <row r="790" spans="16:26" ht="10.199999999999999" customHeight="1">
      <c r="P790" s="163"/>
      <c r="Q790" s="163"/>
      <c r="R790" s="163"/>
      <c r="S790" s="163"/>
      <c r="T790" s="163"/>
      <c r="U790" s="163"/>
      <c r="V790" s="163"/>
      <c r="W790" s="163"/>
      <c r="X790" s="163"/>
      <c r="Y790" s="163"/>
      <c r="Z790" s="163"/>
    </row>
    <row r="791" spans="16:26" ht="10.199999999999999" customHeight="1">
      <c r="P791" s="163"/>
      <c r="Q791" s="163"/>
      <c r="R791" s="163"/>
      <c r="S791" s="163"/>
      <c r="T791" s="163"/>
      <c r="U791" s="163"/>
      <c r="V791" s="163"/>
      <c r="W791" s="163"/>
      <c r="X791" s="163"/>
      <c r="Y791" s="163"/>
      <c r="Z791" s="163"/>
    </row>
    <row r="792" spans="16:26" ht="10.199999999999999" customHeight="1">
      <c r="P792" s="163"/>
      <c r="Q792" s="163"/>
      <c r="R792" s="163"/>
      <c r="S792" s="163"/>
      <c r="T792" s="163"/>
      <c r="U792" s="163"/>
      <c r="V792" s="163"/>
      <c r="W792" s="163"/>
      <c r="X792" s="163"/>
      <c r="Y792" s="163"/>
      <c r="Z792" s="163"/>
    </row>
    <row r="793" spans="16:26" ht="10.199999999999999" customHeight="1">
      <c r="P793" s="163"/>
      <c r="Q793" s="163"/>
      <c r="R793" s="163"/>
      <c r="S793" s="163"/>
      <c r="T793" s="163"/>
      <c r="U793" s="163"/>
      <c r="V793" s="163"/>
      <c r="W793" s="163"/>
      <c r="X793" s="163"/>
      <c r="Y793" s="163"/>
      <c r="Z793" s="163"/>
    </row>
    <row r="794" spans="16:26" ht="10.199999999999999" customHeight="1">
      <c r="P794" s="163"/>
      <c r="Q794" s="163"/>
      <c r="R794" s="163"/>
      <c r="S794" s="163"/>
      <c r="T794" s="163"/>
      <c r="U794" s="163"/>
      <c r="V794" s="163"/>
      <c r="W794" s="163"/>
      <c r="X794" s="163"/>
      <c r="Y794" s="163"/>
      <c r="Z794" s="163"/>
    </row>
    <row r="795" spans="16:26" ht="10.199999999999999" customHeight="1">
      <c r="P795" s="163"/>
      <c r="Q795" s="163"/>
      <c r="R795" s="163"/>
      <c r="S795" s="163"/>
      <c r="T795" s="163"/>
      <c r="U795" s="163"/>
      <c r="V795" s="163"/>
      <c r="W795" s="163"/>
      <c r="X795" s="163"/>
      <c r="Y795" s="163"/>
      <c r="Z795" s="163"/>
    </row>
    <row r="796" spans="16:26" ht="10.199999999999999" customHeight="1">
      <c r="P796" s="163"/>
      <c r="Q796" s="163"/>
      <c r="R796" s="163"/>
      <c r="S796" s="163"/>
      <c r="T796" s="163"/>
      <c r="U796" s="163"/>
      <c r="V796" s="163"/>
      <c r="W796" s="163"/>
      <c r="X796" s="163"/>
      <c r="Y796" s="163"/>
      <c r="Z796" s="163"/>
    </row>
    <row r="797" spans="16:26" ht="10.199999999999999" customHeight="1">
      <c r="P797" s="163"/>
      <c r="Q797" s="163"/>
      <c r="R797" s="163"/>
      <c r="S797" s="163"/>
      <c r="T797" s="163"/>
      <c r="U797" s="163"/>
      <c r="V797" s="163"/>
      <c r="W797" s="163"/>
      <c r="X797" s="163"/>
      <c r="Y797" s="163"/>
      <c r="Z797" s="163"/>
    </row>
    <row r="798" spans="16:26" ht="10.199999999999999" customHeight="1">
      <c r="P798" s="163"/>
      <c r="Q798" s="163"/>
      <c r="R798" s="163"/>
      <c r="S798" s="163"/>
      <c r="T798" s="163"/>
      <c r="U798" s="163"/>
      <c r="V798" s="163"/>
      <c r="W798" s="163"/>
      <c r="X798" s="163"/>
      <c r="Y798" s="163"/>
      <c r="Z798" s="163"/>
    </row>
    <row r="799" spans="16:26" ht="10.199999999999999" customHeight="1">
      <c r="P799" s="163"/>
      <c r="Q799" s="163"/>
      <c r="R799" s="163"/>
      <c r="S799" s="163"/>
      <c r="T799" s="163"/>
      <c r="U799" s="163"/>
      <c r="V799" s="163"/>
      <c r="W799" s="163"/>
      <c r="X799" s="163"/>
      <c r="Y799" s="163"/>
      <c r="Z799" s="163"/>
    </row>
    <row r="800" spans="16:26" ht="10.199999999999999" customHeight="1">
      <c r="P800" s="163"/>
      <c r="Q800" s="163"/>
      <c r="R800" s="163"/>
      <c r="S800" s="163"/>
      <c r="T800" s="163"/>
      <c r="U800" s="163"/>
      <c r="V800" s="163"/>
      <c r="W800" s="163"/>
      <c r="X800" s="163"/>
      <c r="Y800" s="163"/>
      <c r="Z800" s="163"/>
    </row>
    <row r="801" spans="16:26" ht="10.199999999999999" customHeight="1">
      <c r="P801" s="163"/>
      <c r="Q801" s="163"/>
      <c r="R801" s="163"/>
      <c r="S801" s="163"/>
      <c r="T801" s="163"/>
      <c r="U801" s="163"/>
      <c r="V801" s="163"/>
      <c r="W801" s="163"/>
      <c r="X801" s="163"/>
      <c r="Y801" s="163"/>
      <c r="Z801" s="163"/>
    </row>
    <row r="802" spans="16:26" ht="10.199999999999999" customHeight="1">
      <c r="P802" s="163"/>
      <c r="Q802" s="163"/>
      <c r="R802" s="163"/>
      <c r="S802" s="163"/>
      <c r="T802" s="163"/>
      <c r="U802" s="163"/>
      <c r="V802" s="163"/>
      <c r="W802" s="163"/>
      <c r="X802" s="163"/>
      <c r="Y802" s="163"/>
      <c r="Z802" s="163"/>
    </row>
    <row r="803" spans="16:26" ht="10.199999999999999" customHeight="1">
      <c r="P803" s="163"/>
      <c r="Q803" s="163"/>
      <c r="R803" s="163"/>
      <c r="S803" s="163"/>
      <c r="T803" s="163"/>
      <c r="U803" s="163"/>
      <c r="V803" s="163"/>
      <c r="W803" s="163"/>
      <c r="X803" s="163"/>
      <c r="Y803" s="163"/>
      <c r="Z803" s="163"/>
    </row>
    <row r="804" spans="16:26" ht="10.199999999999999" customHeight="1">
      <c r="P804" s="163"/>
      <c r="Q804" s="163"/>
      <c r="R804" s="163"/>
      <c r="S804" s="163"/>
      <c r="T804" s="163"/>
      <c r="U804" s="163"/>
      <c r="V804" s="163"/>
      <c r="W804" s="163"/>
      <c r="X804" s="163"/>
      <c r="Y804" s="163"/>
      <c r="Z804" s="163"/>
    </row>
    <row r="805" spans="16:26" ht="10.199999999999999" customHeight="1">
      <c r="P805" s="163"/>
      <c r="Q805" s="163"/>
      <c r="R805" s="163"/>
      <c r="S805" s="163"/>
      <c r="T805" s="163"/>
      <c r="U805" s="163"/>
      <c r="V805" s="163"/>
      <c r="W805" s="163"/>
      <c r="X805" s="163"/>
      <c r="Y805" s="163"/>
      <c r="Z805" s="163"/>
    </row>
    <row r="806" spans="16:26" ht="10.199999999999999" customHeight="1">
      <c r="P806" s="163"/>
      <c r="Q806" s="163"/>
      <c r="R806" s="163"/>
      <c r="S806" s="163"/>
      <c r="T806" s="163"/>
      <c r="U806" s="163"/>
      <c r="V806" s="163"/>
      <c r="W806" s="163"/>
      <c r="X806" s="163"/>
      <c r="Y806" s="163"/>
      <c r="Z806" s="163"/>
    </row>
    <row r="807" spans="16:26" ht="10.199999999999999" customHeight="1">
      <c r="P807" s="163"/>
      <c r="Q807" s="163"/>
      <c r="R807" s="163"/>
      <c r="S807" s="163"/>
      <c r="T807" s="163"/>
      <c r="U807" s="163"/>
      <c r="V807" s="163"/>
      <c r="W807" s="163"/>
      <c r="X807" s="163"/>
      <c r="Y807" s="163"/>
      <c r="Z807" s="163"/>
    </row>
    <row r="808" spans="16:26" ht="10.199999999999999" customHeight="1">
      <c r="P808" s="163"/>
      <c r="Q808" s="163"/>
      <c r="R808" s="163"/>
      <c r="S808" s="163"/>
      <c r="T808" s="163"/>
      <c r="U808" s="163"/>
      <c r="V808" s="163"/>
      <c r="W808" s="163"/>
      <c r="X808" s="163"/>
      <c r="Y808" s="163"/>
      <c r="Z808" s="163"/>
    </row>
    <row r="809" spans="16:26" ht="10.199999999999999" customHeight="1">
      <c r="P809" s="163"/>
      <c r="Q809" s="163"/>
      <c r="R809" s="163"/>
      <c r="S809" s="163"/>
      <c r="T809" s="163"/>
      <c r="U809" s="163"/>
      <c r="V809" s="163"/>
      <c r="W809" s="163"/>
      <c r="X809" s="163"/>
      <c r="Y809" s="163"/>
      <c r="Z809" s="163"/>
    </row>
    <row r="810" spans="16:26" ht="10.199999999999999" customHeight="1">
      <c r="P810" s="163"/>
      <c r="Q810" s="163"/>
      <c r="R810" s="163"/>
      <c r="S810" s="163"/>
      <c r="T810" s="163"/>
      <c r="U810" s="163"/>
      <c r="V810" s="163"/>
      <c r="W810" s="163"/>
      <c r="X810" s="163"/>
      <c r="Y810" s="163"/>
      <c r="Z810" s="163"/>
    </row>
    <row r="811" spans="16:26" ht="10.199999999999999" customHeight="1">
      <c r="P811" s="163"/>
      <c r="Q811" s="163"/>
      <c r="R811" s="163"/>
      <c r="S811" s="163"/>
      <c r="T811" s="163"/>
      <c r="U811" s="163"/>
      <c r="V811" s="163"/>
      <c r="W811" s="163"/>
      <c r="X811" s="163"/>
      <c r="Y811" s="163"/>
      <c r="Z811" s="163"/>
    </row>
    <row r="812" spans="16:26" ht="10.199999999999999" customHeight="1">
      <c r="P812" s="163"/>
      <c r="Q812" s="163"/>
      <c r="R812" s="163"/>
      <c r="S812" s="163"/>
      <c r="T812" s="163"/>
      <c r="U812" s="163"/>
      <c r="V812" s="163"/>
      <c r="W812" s="163"/>
      <c r="X812" s="163"/>
      <c r="Y812" s="163"/>
      <c r="Z812" s="163"/>
    </row>
    <row r="813" spans="16:26" ht="10.199999999999999" customHeight="1">
      <c r="P813" s="163"/>
      <c r="Q813" s="163"/>
      <c r="R813" s="163"/>
      <c r="S813" s="163"/>
      <c r="T813" s="163"/>
      <c r="U813" s="163"/>
      <c r="V813" s="163"/>
      <c r="W813" s="163"/>
      <c r="X813" s="163"/>
      <c r="Y813" s="163"/>
      <c r="Z813" s="163"/>
    </row>
    <row r="814" spans="16:26" ht="10.199999999999999" customHeight="1">
      <c r="P814" s="163"/>
      <c r="Q814" s="163"/>
      <c r="R814" s="163"/>
      <c r="S814" s="163"/>
      <c r="T814" s="163"/>
      <c r="U814" s="163"/>
      <c r="V814" s="163"/>
      <c r="W814" s="163"/>
      <c r="X814" s="163"/>
      <c r="Y814" s="163"/>
      <c r="Z814" s="163"/>
    </row>
    <row r="815" spans="16:26" ht="10.199999999999999" customHeight="1">
      <c r="P815" s="163"/>
      <c r="Q815" s="163"/>
      <c r="R815" s="163"/>
      <c r="S815" s="163"/>
      <c r="T815" s="163"/>
      <c r="U815" s="163"/>
      <c r="V815" s="163"/>
      <c r="W815" s="163"/>
      <c r="X815" s="163"/>
      <c r="Y815" s="163"/>
      <c r="Z815" s="163"/>
    </row>
    <row r="816" spans="16:26" ht="10.199999999999999" customHeight="1">
      <c r="P816" s="163"/>
      <c r="Q816" s="163"/>
      <c r="R816" s="163"/>
      <c r="S816" s="163"/>
      <c r="T816" s="163"/>
      <c r="U816" s="163"/>
      <c r="V816" s="163"/>
      <c r="W816" s="163"/>
      <c r="X816" s="163"/>
      <c r="Y816" s="163"/>
      <c r="Z816" s="163"/>
    </row>
    <row r="817" spans="16:26" ht="10.199999999999999" customHeight="1">
      <c r="P817" s="163"/>
      <c r="Q817" s="163"/>
      <c r="R817" s="163"/>
      <c r="S817" s="163"/>
      <c r="T817" s="163"/>
      <c r="U817" s="163"/>
      <c r="V817" s="163"/>
      <c r="W817" s="163"/>
      <c r="X817" s="163"/>
      <c r="Y817" s="163"/>
      <c r="Z817" s="163"/>
    </row>
    <row r="818" spans="16:26" ht="10.199999999999999" customHeight="1">
      <c r="P818" s="163"/>
      <c r="Q818" s="163"/>
      <c r="R818" s="163"/>
      <c r="S818" s="163"/>
      <c r="T818" s="163"/>
      <c r="U818" s="163"/>
      <c r="V818" s="163"/>
      <c r="W818" s="163"/>
      <c r="X818" s="163"/>
      <c r="Y818" s="163"/>
      <c r="Z818" s="163"/>
    </row>
    <row r="819" spans="16:26" ht="10.199999999999999" customHeight="1">
      <c r="P819" s="163"/>
      <c r="Q819" s="163"/>
      <c r="R819" s="163"/>
      <c r="S819" s="163"/>
      <c r="T819" s="163"/>
      <c r="U819" s="163"/>
      <c r="V819" s="163"/>
      <c r="W819" s="163"/>
      <c r="X819" s="163"/>
      <c r="Y819" s="163"/>
      <c r="Z819" s="163"/>
    </row>
    <row r="820" spans="16:26" ht="10.199999999999999" customHeight="1">
      <c r="P820" s="163"/>
      <c r="Q820" s="163"/>
      <c r="R820" s="163"/>
      <c r="S820" s="163"/>
      <c r="T820" s="163"/>
      <c r="U820" s="163"/>
      <c r="V820" s="163"/>
      <c r="W820" s="163"/>
      <c r="X820" s="163"/>
      <c r="Y820" s="163"/>
      <c r="Z820" s="163"/>
    </row>
    <row r="821" spans="16:26" ht="10.199999999999999" customHeight="1">
      <c r="P821" s="163"/>
      <c r="Q821" s="163"/>
      <c r="R821" s="163"/>
      <c r="S821" s="163"/>
      <c r="T821" s="163"/>
      <c r="U821" s="163"/>
      <c r="V821" s="163"/>
      <c r="W821" s="163"/>
      <c r="X821" s="163"/>
      <c r="Y821" s="163"/>
      <c r="Z821" s="163"/>
    </row>
    <row r="822" spans="16:26" ht="10.199999999999999" customHeight="1">
      <c r="P822" s="163"/>
      <c r="Q822" s="163"/>
      <c r="R822" s="163"/>
      <c r="S822" s="163"/>
      <c r="T822" s="163"/>
      <c r="U822" s="163"/>
      <c r="V822" s="163"/>
      <c r="W822" s="163"/>
      <c r="X822" s="163"/>
      <c r="Y822" s="163"/>
      <c r="Z822" s="163"/>
    </row>
    <row r="823" spans="16:26" ht="10.199999999999999" customHeight="1">
      <c r="P823" s="163"/>
      <c r="Q823" s="163"/>
      <c r="R823" s="163"/>
      <c r="S823" s="163"/>
      <c r="T823" s="163"/>
      <c r="U823" s="163"/>
      <c r="V823" s="163"/>
      <c r="W823" s="163"/>
      <c r="X823" s="163"/>
      <c r="Y823" s="163"/>
      <c r="Z823" s="163"/>
    </row>
    <row r="824" spans="16:26" ht="10.199999999999999" customHeight="1">
      <c r="P824" s="163"/>
      <c r="Q824" s="163"/>
      <c r="R824" s="163"/>
      <c r="S824" s="163"/>
      <c r="T824" s="163"/>
      <c r="U824" s="163"/>
      <c r="V824" s="163"/>
      <c r="W824" s="163"/>
      <c r="X824" s="163"/>
      <c r="Y824" s="163"/>
      <c r="Z824" s="163"/>
    </row>
    <row r="825" spans="16:26" ht="10.199999999999999" customHeight="1">
      <c r="P825" s="163"/>
      <c r="Q825" s="163"/>
      <c r="R825" s="163"/>
      <c r="S825" s="163"/>
      <c r="T825" s="163"/>
      <c r="U825" s="163"/>
      <c r="V825" s="163"/>
      <c r="W825" s="163"/>
      <c r="X825" s="163"/>
      <c r="Y825" s="163"/>
      <c r="Z825" s="163"/>
    </row>
    <row r="826" spans="16:26" ht="10.199999999999999" customHeight="1">
      <c r="P826" s="163"/>
      <c r="Q826" s="163"/>
      <c r="R826" s="163"/>
      <c r="S826" s="163"/>
      <c r="T826" s="163"/>
      <c r="U826" s="163"/>
      <c r="V826" s="163"/>
      <c r="W826" s="163"/>
      <c r="X826" s="163"/>
      <c r="Y826" s="163"/>
      <c r="Z826" s="163"/>
    </row>
    <row r="827" spans="16:26" ht="10.199999999999999" customHeight="1">
      <c r="P827" s="163"/>
      <c r="Q827" s="163"/>
      <c r="R827" s="163"/>
      <c r="S827" s="163"/>
      <c r="T827" s="163"/>
      <c r="U827" s="163"/>
      <c r="V827" s="163"/>
      <c r="W827" s="163"/>
      <c r="X827" s="163"/>
      <c r="Y827" s="163"/>
      <c r="Z827" s="163"/>
    </row>
    <row r="828" spans="16:26" ht="10.199999999999999" customHeight="1">
      <c r="P828" s="163"/>
      <c r="Q828" s="163"/>
      <c r="R828" s="163"/>
      <c r="S828" s="163"/>
      <c r="T828" s="163"/>
      <c r="U828" s="163"/>
      <c r="V828" s="163"/>
      <c r="W828" s="163"/>
      <c r="X828" s="163"/>
      <c r="Y828" s="163"/>
      <c r="Z828" s="163"/>
    </row>
    <row r="829" spans="16:26" ht="10.199999999999999" customHeight="1">
      <c r="P829" s="163"/>
      <c r="Q829" s="163"/>
      <c r="R829" s="163"/>
      <c r="S829" s="163"/>
      <c r="T829" s="163"/>
      <c r="U829" s="163"/>
      <c r="V829" s="163"/>
      <c r="W829" s="163"/>
      <c r="X829" s="163"/>
      <c r="Y829" s="163"/>
      <c r="Z829" s="163"/>
    </row>
    <row r="830" spans="16:26" ht="10.199999999999999" customHeight="1">
      <c r="P830" s="163"/>
      <c r="Q830" s="163"/>
      <c r="R830" s="163"/>
      <c r="S830" s="163"/>
      <c r="T830" s="163"/>
      <c r="U830" s="163"/>
      <c r="V830" s="163"/>
      <c r="W830" s="163"/>
      <c r="X830" s="163"/>
      <c r="Y830" s="163"/>
      <c r="Z830" s="163"/>
    </row>
    <row r="831" spans="16:26" ht="10.199999999999999" customHeight="1">
      <c r="P831" s="163"/>
      <c r="Q831" s="163"/>
      <c r="R831" s="163"/>
      <c r="S831" s="163"/>
      <c r="T831" s="163"/>
      <c r="U831" s="163"/>
      <c r="V831" s="163"/>
      <c r="W831" s="163"/>
      <c r="X831" s="163"/>
      <c r="Y831" s="163"/>
      <c r="Z831" s="163"/>
    </row>
    <row r="832" spans="16:26" ht="10.199999999999999" customHeight="1">
      <c r="P832" s="163"/>
      <c r="Q832" s="163"/>
      <c r="R832" s="163"/>
      <c r="S832" s="163"/>
      <c r="T832" s="163"/>
      <c r="U832" s="163"/>
      <c r="V832" s="163"/>
      <c r="W832" s="163"/>
      <c r="X832" s="163"/>
      <c r="Y832" s="163"/>
      <c r="Z832" s="163"/>
    </row>
    <row r="833" spans="16:26" ht="10.199999999999999" customHeight="1">
      <c r="P833" s="163"/>
      <c r="Q833" s="163"/>
      <c r="R833" s="163"/>
      <c r="S833" s="163"/>
      <c r="T833" s="163"/>
      <c r="U833" s="163"/>
      <c r="V833" s="163"/>
      <c r="W833" s="163"/>
      <c r="X833" s="163"/>
      <c r="Y833" s="163"/>
      <c r="Z833" s="163"/>
    </row>
    <row r="834" spans="16:26" ht="10.199999999999999" customHeight="1">
      <c r="P834" s="163"/>
      <c r="Q834" s="163"/>
      <c r="R834" s="163"/>
      <c r="S834" s="163"/>
      <c r="T834" s="163"/>
      <c r="U834" s="163"/>
      <c r="V834" s="163"/>
      <c r="W834" s="163"/>
      <c r="X834" s="163"/>
      <c r="Y834" s="163"/>
      <c r="Z834" s="163"/>
    </row>
    <row r="835" spans="16:26" ht="10.199999999999999" customHeight="1">
      <c r="P835" s="163"/>
      <c r="Q835" s="163"/>
      <c r="R835" s="163"/>
      <c r="S835" s="163"/>
      <c r="T835" s="163"/>
      <c r="U835" s="163"/>
      <c r="V835" s="163"/>
      <c r="W835" s="163"/>
      <c r="X835" s="163"/>
      <c r="Y835" s="163"/>
      <c r="Z835" s="163"/>
    </row>
    <row r="836" spans="16:26" ht="10.199999999999999" customHeight="1">
      <c r="P836" s="163"/>
      <c r="Q836" s="163"/>
      <c r="R836" s="163"/>
      <c r="S836" s="163"/>
      <c r="T836" s="163"/>
      <c r="U836" s="163"/>
      <c r="V836" s="163"/>
      <c r="W836" s="163"/>
      <c r="X836" s="163"/>
      <c r="Y836" s="163"/>
      <c r="Z836" s="163"/>
    </row>
    <row r="837" spans="16:26" ht="10.199999999999999" customHeight="1">
      <c r="P837" s="163"/>
      <c r="Q837" s="163"/>
      <c r="R837" s="163"/>
      <c r="S837" s="163"/>
      <c r="T837" s="163"/>
      <c r="U837" s="163"/>
      <c r="V837" s="163"/>
      <c r="W837" s="163"/>
      <c r="X837" s="163"/>
      <c r="Y837" s="163"/>
      <c r="Z837" s="163"/>
    </row>
    <row r="838" spans="16:26" ht="10.199999999999999" customHeight="1">
      <c r="P838" s="163"/>
      <c r="Q838" s="163"/>
      <c r="R838" s="163"/>
      <c r="S838" s="163"/>
      <c r="T838" s="163"/>
      <c r="U838" s="163"/>
      <c r="V838" s="163"/>
      <c r="W838" s="163"/>
      <c r="X838" s="163"/>
      <c r="Y838" s="163"/>
      <c r="Z838" s="163"/>
    </row>
    <row r="839" spans="16:26" ht="10.199999999999999" customHeight="1">
      <c r="P839" s="163"/>
      <c r="Q839" s="163"/>
      <c r="R839" s="163"/>
      <c r="S839" s="163"/>
      <c r="T839" s="163"/>
      <c r="U839" s="163"/>
      <c r="V839" s="163"/>
      <c r="W839" s="163"/>
      <c r="X839" s="163"/>
      <c r="Y839" s="163"/>
      <c r="Z839" s="163"/>
    </row>
    <row r="840" spans="16:26" ht="10.199999999999999" customHeight="1">
      <c r="P840" s="163"/>
      <c r="Q840" s="163"/>
      <c r="R840" s="163"/>
      <c r="S840" s="163"/>
      <c r="T840" s="163"/>
      <c r="U840" s="163"/>
      <c r="V840" s="163"/>
      <c r="W840" s="163"/>
      <c r="X840" s="163"/>
      <c r="Y840" s="163"/>
      <c r="Z840" s="163"/>
    </row>
    <row r="841" spans="16:26" ht="10.199999999999999" customHeight="1">
      <c r="P841" s="163"/>
      <c r="Q841" s="163"/>
      <c r="R841" s="163"/>
      <c r="S841" s="163"/>
      <c r="T841" s="163"/>
      <c r="U841" s="163"/>
      <c r="V841" s="163"/>
      <c r="W841" s="163"/>
      <c r="X841" s="163"/>
      <c r="Y841" s="163"/>
      <c r="Z841" s="163"/>
    </row>
    <row r="842" spans="16:26" ht="10.199999999999999" customHeight="1">
      <c r="P842" s="163"/>
      <c r="Q842" s="163"/>
      <c r="R842" s="163"/>
      <c r="S842" s="163"/>
      <c r="T842" s="163"/>
      <c r="U842" s="163"/>
      <c r="V842" s="163"/>
      <c r="W842" s="163"/>
      <c r="X842" s="163"/>
      <c r="Y842" s="163"/>
      <c r="Z842" s="163"/>
    </row>
    <row r="843" spans="16:26" ht="10.199999999999999" customHeight="1">
      <c r="P843" s="163"/>
      <c r="Q843" s="163"/>
      <c r="R843" s="163"/>
      <c r="S843" s="163"/>
      <c r="T843" s="163"/>
      <c r="U843" s="163"/>
      <c r="V843" s="163"/>
      <c r="W843" s="163"/>
      <c r="X843" s="163"/>
      <c r="Y843" s="163"/>
      <c r="Z843" s="163"/>
    </row>
    <row r="844" spans="16:26" ht="10.199999999999999" customHeight="1">
      <c r="P844" s="163"/>
      <c r="Q844" s="163"/>
      <c r="R844" s="163"/>
      <c r="S844" s="163"/>
      <c r="T844" s="163"/>
      <c r="U844" s="163"/>
      <c r="V844" s="163"/>
      <c r="W844" s="163"/>
      <c r="X844" s="163"/>
      <c r="Y844" s="163"/>
      <c r="Z844" s="163"/>
    </row>
    <row r="845" spans="16:26" ht="10.199999999999999" customHeight="1">
      <c r="P845" s="163"/>
      <c r="Q845" s="163"/>
      <c r="R845" s="163"/>
      <c r="S845" s="163"/>
      <c r="T845" s="163"/>
      <c r="U845" s="163"/>
      <c r="V845" s="163"/>
      <c r="W845" s="163"/>
      <c r="X845" s="163"/>
      <c r="Y845" s="163"/>
      <c r="Z845" s="163"/>
    </row>
    <row r="846" spans="16:26" ht="10.199999999999999" customHeight="1">
      <c r="P846" s="163"/>
      <c r="Q846" s="163"/>
      <c r="R846" s="163"/>
      <c r="S846" s="163"/>
      <c r="T846" s="163"/>
      <c r="U846" s="163"/>
      <c r="V846" s="163"/>
      <c r="W846" s="163"/>
      <c r="X846" s="163"/>
      <c r="Y846" s="163"/>
      <c r="Z846" s="163"/>
    </row>
    <row r="847" spans="16:26" ht="10.199999999999999" customHeight="1">
      <c r="P847" s="163"/>
      <c r="Q847" s="163"/>
      <c r="R847" s="163"/>
      <c r="S847" s="163"/>
      <c r="T847" s="163"/>
      <c r="U847" s="163"/>
      <c r="V847" s="163"/>
      <c r="W847" s="163"/>
      <c r="X847" s="163"/>
      <c r="Y847" s="163"/>
      <c r="Z847" s="163"/>
    </row>
    <row r="848" spans="16:26" ht="10.199999999999999" customHeight="1">
      <c r="P848" s="163"/>
      <c r="Q848" s="163"/>
      <c r="R848" s="163"/>
      <c r="S848" s="163"/>
      <c r="T848" s="163"/>
      <c r="U848" s="163"/>
      <c r="V848" s="163"/>
      <c r="W848" s="163"/>
      <c r="X848" s="163"/>
      <c r="Y848" s="163"/>
      <c r="Z848" s="163"/>
    </row>
    <row r="849" spans="16:26" ht="10.199999999999999" customHeight="1">
      <c r="P849" s="163"/>
      <c r="Q849" s="163"/>
      <c r="R849" s="163"/>
      <c r="S849" s="163"/>
      <c r="T849" s="163"/>
      <c r="U849" s="163"/>
      <c r="V849" s="163"/>
      <c r="W849" s="163"/>
      <c r="X849" s="163"/>
      <c r="Y849" s="163"/>
      <c r="Z849" s="163"/>
    </row>
    <row r="850" spans="16:26" ht="10.199999999999999" customHeight="1">
      <c r="P850" s="163"/>
      <c r="Q850" s="163"/>
      <c r="R850" s="163"/>
      <c r="S850" s="163"/>
      <c r="T850" s="163"/>
      <c r="U850" s="163"/>
      <c r="V850" s="163"/>
      <c r="W850" s="163"/>
      <c r="X850" s="163"/>
      <c r="Y850" s="163"/>
      <c r="Z850" s="163"/>
    </row>
    <row r="851" spans="16:26" ht="10.199999999999999" customHeight="1">
      <c r="P851" s="163"/>
      <c r="Q851" s="163"/>
      <c r="R851" s="163"/>
      <c r="S851" s="163"/>
      <c r="T851" s="163"/>
      <c r="U851" s="163"/>
      <c r="V851" s="163"/>
      <c r="W851" s="163"/>
      <c r="X851" s="163"/>
      <c r="Y851" s="163"/>
      <c r="Z851" s="163"/>
    </row>
    <row r="852" spans="16:26" ht="10.199999999999999" customHeight="1">
      <c r="P852" s="163"/>
      <c r="Q852" s="163"/>
      <c r="R852" s="163"/>
      <c r="S852" s="163"/>
      <c r="T852" s="163"/>
      <c r="U852" s="163"/>
      <c r="V852" s="163"/>
      <c r="W852" s="163"/>
      <c r="X852" s="163"/>
      <c r="Y852" s="163"/>
      <c r="Z852" s="163"/>
    </row>
    <row r="853" spans="16:26" ht="10.199999999999999" customHeight="1">
      <c r="P853" s="163"/>
      <c r="Q853" s="163"/>
      <c r="R853" s="163"/>
      <c r="S853" s="163"/>
      <c r="T853" s="163"/>
      <c r="U853" s="163"/>
      <c r="V853" s="163"/>
      <c r="W853" s="163"/>
      <c r="X853" s="163"/>
      <c r="Y853" s="163"/>
      <c r="Z853" s="163"/>
    </row>
    <row r="854" spans="16:26" ht="10.199999999999999" customHeight="1">
      <c r="P854" s="163"/>
      <c r="Q854" s="163"/>
      <c r="R854" s="163"/>
      <c r="S854" s="163"/>
      <c r="T854" s="163"/>
      <c r="U854" s="163"/>
      <c r="V854" s="163"/>
      <c r="W854" s="163"/>
      <c r="X854" s="163"/>
      <c r="Y854" s="163"/>
      <c r="Z854" s="163"/>
    </row>
    <row r="855" spans="16:26" ht="10.199999999999999" customHeight="1">
      <c r="P855" s="163"/>
      <c r="Q855" s="163"/>
      <c r="R855" s="163"/>
      <c r="S855" s="163"/>
      <c r="T855" s="163"/>
      <c r="U855" s="163"/>
      <c r="V855" s="163"/>
      <c r="W855" s="163"/>
      <c r="X855" s="163"/>
      <c r="Y855" s="163"/>
      <c r="Z855" s="163"/>
    </row>
    <row r="856" spans="16:26" ht="10.199999999999999" customHeight="1">
      <c r="P856" s="163"/>
      <c r="Q856" s="163"/>
      <c r="R856" s="163"/>
      <c r="S856" s="163"/>
      <c r="T856" s="163"/>
      <c r="U856" s="163"/>
      <c r="V856" s="163"/>
      <c r="W856" s="163"/>
      <c r="X856" s="163"/>
      <c r="Y856" s="163"/>
      <c r="Z856" s="163"/>
    </row>
    <row r="857" spans="16:26" ht="10.199999999999999" customHeight="1">
      <c r="P857" s="163"/>
      <c r="Q857" s="163"/>
      <c r="R857" s="163"/>
      <c r="S857" s="163"/>
      <c r="T857" s="163"/>
      <c r="U857" s="163"/>
      <c r="V857" s="163"/>
      <c r="W857" s="163"/>
      <c r="X857" s="163"/>
      <c r="Y857" s="163"/>
      <c r="Z857" s="163"/>
    </row>
    <row r="858" spans="16:26" ht="10.199999999999999" customHeight="1">
      <c r="P858" s="163"/>
      <c r="Q858" s="163"/>
      <c r="R858" s="163"/>
      <c r="S858" s="163"/>
      <c r="T858" s="163"/>
      <c r="U858" s="163"/>
      <c r="V858" s="163"/>
      <c r="W858" s="163"/>
      <c r="X858" s="163"/>
      <c r="Y858" s="163"/>
      <c r="Z858" s="163"/>
    </row>
    <row r="859" spans="16:26" ht="10.199999999999999" customHeight="1">
      <c r="P859" s="163"/>
      <c r="Q859" s="163"/>
      <c r="R859" s="163"/>
      <c r="S859" s="163"/>
      <c r="T859" s="163"/>
      <c r="U859" s="163"/>
      <c r="V859" s="163"/>
      <c r="W859" s="163"/>
      <c r="X859" s="163"/>
      <c r="Y859" s="163"/>
      <c r="Z859" s="163"/>
    </row>
    <row r="860" spans="16:26" ht="10.199999999999999" customHeight="1">
      <c r="P860" s="163"/>
      <c r="Q860" s="163"/>
      <c r="R860" s="163"/>
      <c r="S860" s="163"/>
      <c r="T860" s="163"/>
      <c r="U860" s="163"/>
      <c r="V860" s="163"/>
      <c r="W860" s="163"/>
      <c r="X860" s="163"/>
      <c r="Y860" s="163"/>
      <c r="Z860" s="163"/>
    </row>
    <row r="861" spans="16:26" ht="10.199999999999999" customHeight="1">
      <c r="P861" s="163"/>
      <c r="Q861" s="163"/>
      <c r="R861" s="163"/>
      <c r="S861" s="163"/>
      <c r="T861" s="163"/>
      <c r="U861" s="163"/>
      <c r="V861" s="163"/>
      <c r="W861" s="163"/>
      <c r="X861" s="163"/>
      <c r="Y861" s="163"/>
      <c r="Z861" s="163"/>
    </row>
    <row r="862" spans="16:26" ht="10.199999999999999" customHeight="1">
      <c r="P862" s="163"/>
      <c r="Q862" s="163"/>
      <c r="R862" s="163"/>
      <c r="S862" s="163"/>
      <c r="T862" s="163"/>
      <c r="U862" s="163"/>
      <c r="V862" s="163"/>
      <c r="W862" s="163"/>
      <c r="X862" s="163"/>
      <c r="Y862" s="163"/>
      <c r="Z862" s="163"/>
    </row>
    <row r="863" spans="16:26" ht="10.199999999999999" customHeight="1">
      <c r="P863" s="163"/>
      <c r="Q863" s="163"/>
      <c r="R863" s="163"/>
      <c r="S863" s="163"/>
      <c r="T863" s="163"/>
      <c r="U863" s="163"/>
      <c r="V863" s="163"/>
      <c r="W863" s="163"/>
      <c r="X863" s="163"/>
      <c r="Y863" s="163"/>
      <c r="Z863" s="163"/>
    </row>
    <row r="864" spans="16:26" ht="10.199999999999999" customHeight="1">
      <c r="P864" s="163"/>
      <c r="Q864" s="163"/>
      <c r="R864" s="163"/>
      <c r="S864" s="163"/>
      <c r="T864" s="163"/>
      <c r="U864" s="163"/>
      <c r="V864" s="163"/>
      <c r="W864" s="163"/>
      <c r="X864" s="163"/>
      <c r="Y864" s="163"/>
      <c r="Z864" s="163"/>
    </row>
    <row r="865" spans="16:26" ht="10.199999999999999" customHeight="1">
      <c r="P865" s="163"/>
      <c r="Q865" s="163"/>
      <c r="R865" s="163"/>
      <c r="S865" s="163"/>
      <c r="T865" s="163"/>
      <c r="U865" s="163"/>
      <c r="V865" s="163"/>
      <c r="W865" s="163"/>
      <c r="X865" s="163"/>
      <c r="Y865" s="163"/>
      <c r="Z865" s="163"/>
    </row>
    <row r="866" spans="16:26" ht="10.199999999999999" customHeight="1">
      <c r="P866" s="163"/>
      <c r="Q866" s="163"/>
      <c r="R866" s="163"/>
      <c r="S866" s="163"/>
      <c r="T866" s="163"/>
      <c r="U866" s="163"/>
      <c r="V866" s="163"/>
      <c r="W866" s="163"/>
      <c r="X866" s="163"/>
      <c r="Y866" s="163"/>
      <c r="Z866" s="163"/>
    </row>
    <row r="867" spans="16:26" ht="10.199999999999999" customHeight="1">
      <c r="P867" s="163"/>
      <c r="Q867" s="163"/>
      <c r="R867" s="163"/>
      <c r="S867" s="163"/>
      <c r="T867" s="163"/>
      <c r="U867" s="163"/>
      <c r="V867" s="163"/>
      <c r="W867" s="163"/>
      <c r="X867" s="163"/>
      <c r="Y867" s="163"/>
      <c r="Z867" s="163"/>
    </row>
    <row r="868" spans="16:26" ht="10.199999999999999" customHeight="1">
      <c r="P868" s="163"/>
      <c r="Q868" s="163"/>
      <c r="R868" s="163"/>
      <c r="S868" s="163"/>
      <c r="T868" s="163"/>
      <c r="U868" s="163"/>
      <c r="V868" s="163"/>
      <c r="W868" s="163"/>
      <c r="X868" s="163"/>
      <c r="Y868" s="163"/>
      <c r="Z868" s="163"/>
    </row>
    <row r="869" spans="16:26" ht="10.199999999999999" customHeight="1">
      <c r="P869" s="163"/>
      <c r="Q869" s="163"/>
      <c r="R869" s="163"/>
      <c r="S869" s="163"/>
      <c r="T869" s="163"/>
      <c r="U869" s="163"/>
      <c r="V869" s="163"/>
      <c r="W869" s="163"/>
      <c r="X869" s="163"/>
      <c r="Y869" s="163"/>
      <c r="Z869" s="163"/>
    </row>
    <row r="870" spans="16:26" ht="10.199999999999999" customHeight="1">
      <c r="P870" s="163"/>
      <c r="Q870" s="163"/>
      <c r="R870" s="163"/>
      <c r="S870" s="163"/>
      <c r="T870" s="163"/>
      <c r="U870" s="163"/>
      <c r="V870" s="163"/>
      <c r="W870" s="163"/>
      <c r="X870" s="163"/>
      <c r="Y870" s="163"/>
      <c r="Z870" s="163"/>
    </row>
    <row r="871" spans="16:26" ht="10.199999999999999" customHeight="1">
      <c r="P871" s="163"/>
      <c r="Q871" s="163"/>
      <c r="R871" s="163"/>
      <c r="S871" s="163"/>
      <c r="T871" s="163"/>
      <c r="U871" s="163"/>
      <c r="V871" s="163"/>
      <c r="W871" s="163"/>
      <c r="X871" s="163"/>
      <c r="Y871" s="163"/>
      <c r="Z871" s="163"/>
    </row>
    <row r="872" spans="16:26" ht="10.199999999999999" customHeight="1">
      <c r="P872" s="163"/>
      <c r="Q872" s="163"/>
      <c r="R872" s="163"/>
      <c r="S872" s="163"/>
      <c r="T872" s="163"/>
      <c r="U872" s="163"/>
      <c r="V872" s="163"/>
      <c r="W872" s="163"/>
      <c r="X872" s="163"/>
      <c r="Y872" s="163"/>
      <c r="Z872" s="163"/>
    </row>
    <row r="873" spans="16:26" ht="10.199999999999999" customHeight="1">
      <c r="P873" s="163"/>
      <c r="Q873" s="163"/>
      <c r="R873" s="163"/>
      <c r="S873" s="163"/>
      <c r="T873" s="163"/>
      <c r="U873" s="163"/>
      <c r="V873" s="163"/>
      <c r="W873" s="163"/>
      <c r="X873" s="163"/>
      <c r="Y873" s="163"/>
      <c r="Z873" s="163"/>
    </row>
    <row r="874" spans="16:26" ht="10.199999999999999" customHeight="1">
      <c r="P874" s="163"/>
      <c r="Q874" s="163"/>
      <c r="R874" s="163"/>
      <c r="S874" s="163"/>
      <c r="T874" s="163"/>
      <c r="U874" s="163"/>
      <c r="V874" s="163"/>
      <c r="W874" s="163"/>
      <c r="X874" s="163"/>
      <c r="Y874" s="163"/>
      <c r="Z874" s="163"/>
    </row>
    <row r="875" spans="16:26" ht="10.199999999999999" customHeight="1">
      <c r="P875" s="163"/>
      <c r="Q875" s="163"/>
      <c r="R875" s="163"/>
      <c r="S875" s="163"/>
      <c r="T875" s="163"/>
      <c r="U875" s="163"/>
      <c r="V875" s="163"/>
      <c r="W875" s="163"/>
      <c r="X875" s="163"/>
      <c r="Y875" s="163"/>
      <c r="Z875" s="163"/>
    </row>
    <row r="876" spans="16:26" ht="10.199999999999999" customHeight="1">
      <c r="P876" s="163"/>
      <c r="Q876" s="163"/>
      <c r="R876" s="163"/>
      <c r="S876" s="163"/>
      <c r="T876" s="163"/>
      <c r="U876" s="163"/>
      <c r="V876" s="163"/>
      <c r="W876" s="163"/>
      <c r="X876" s="163"/>
      <c r="Y876" s="163"/>
      <c r="Z876" s="163"/>
    </row>
    <row r="877" spans="16:26" ht="10.199999999999999" customHeight="1">
      <c r="P877" s="163"/>
      <c r="Q877" s="163"/>
      <c r="R877" s="163"/>
      <c r="S877" s="163"/>
      <c r="T877" s="163"/>
      <c r="U877" s="163"/>
      <c r="V877" s="163"/>
      <c r="W877" s="163"/>
      <c r="X877" s="163"/>
      <c r="Y877" s="163"/>
      <c r="Z877" s="163"/>
    </row>
    <row r="878" spans="16:26" ht="10.199999999999999" customHeight="1">
      <c r="P878" s="163"/>
      <c r="Q878" s="163"/>
      <c r="R878" s="163"/>
      <c r="S878" s="163"/>
      <c r="T878" s="163"/>
      <c r="U878" s="163"/>
      <c r="V878" s="163"/>
      <c r="W878" s="163"/>
      <c r="X878" s="163"/>
      <c r="Y878" s="163"/>
      <c r="Z878" s="163"/>
    </row>
    <row r="879" spans="16:26" ht="10.199999999999999" customHeight="1">
      <c r="P879" s="163"/>
      <c r="Q879" s="163"/>
      <c r="R879" s="163"/>
      <c r="S879" s="163"/>
      <c r="T879" s="163"/>
      <c r="U879" s="163"/>
      <c r="V879" s="163"/>
      <c r="W879" s="163"/>
      <c r="X879" s="163"/>
      <c r="Y879" s="163"/>
      <c r="Z879" s="163"/>
    </row>
    <row r="880" spans="16:26" ht="10.199999999999999" customHeight="1">
      <c r="P880" s="163"/>
      <c r="Q880" s="163"/>
      <c r="R880" s="163"/>
      <c r="S880" s="163"/>
      <c r="T880" s="163"/>
      <c r="U880" s="163"/>
      <c r="V880" s="163"/>
      <c r="W880" s="163"/>
      <c r="X880" s="163"/>
      <c r="Y880" s="163"/>
      <c r="Z880" s="163"/>
    </row>
    <row r="881" spans="16:26" ht="10.199999999999999" customHeight="1">
      <c r="P881" s="163"/>
      <c r="Q881" s="163"/>
      <c r="R881" s="163"/>
      <c r="S881" s="163"/>
      <c r="T881" s="163"/>
      <c r="U881" s="163"/>
      <c r="V881" s="163"/>
      <c r="W881" s="163"/>
      <c r="X881" s="163"/>
      <c r="Y881" s="163"/>
      <c r="Z881" s="163"/>
    </row>
    <row r="882" spans="16:26" ht="10.199999999999999" customHeight="1">
      <c r="P882" s="163"/>
      <c r="Q882" s="163"/>
      <c r="R882" s="163"/>
      <c r="S882" s="163"/>
      <c r="T882" s="163"/>
      <c r="U882" s="163"/>
      <c r="V882" s="163"/>
      <c r="W882" s="163"/>
      <c r="X882" s="163"/>
      <c r="Y882" s="163"/>
      <c r="Z882" s="163"/>
    </row>
    <row r="883" spans="16:26" ht="10.199999999999999" customHeight="1">
      <c r="P883" s="163"/>
      <c r="Q883" s="163"/>
      <c r="R883" s="163"/>
      <c r="S883" s="163"/>
      <c r="T883" s="163"/>
      <c r="U883" s="163"/>
      <c r="V883" s="163"/>
      <c r="W883" s="163"/>
      <c r="X883" s="163"/>
      <c r="Y883" s="163"/>
      <c r="Z883" s="163"/>
    </row>
    <row r="884" spans="16:26" ht="10.199999999999999" customHeight="1">
      <c r="P884" s="163"/>
      <c r="Q884" s="163"/>
      <c r="R884" s="163"/>
      <c r="S884" s="163"/>
      <c r="T884" s="163"/>
      <c r="U884" s="163"/>
      <c r="V884" s="163"/>
      <c r="W884" s="163"/>
      <c r="X884" s="163"/>
      <c r="Y884" s="163"/>
      <c r="Z884" s="163"/>
    </row>
  </sheetData>
  <sheetProtection password="83B1" sheet="1" objects="1" scenarios="1" selectLockedCells="1"/>
  <pageMargins left="0.75" right="0.75" top="1" bottom="1" header="0.5" footer="0.5"/>
  <pageSetup orientation="portrait" horizontalDpi="1200" verticalDpi="1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Z884"/>
  <sheetViews>
    <sheetView workbookViewId="0">
      <selection activeCell="P1" sqref="P1"/>
    </sheetView>
  </sheetViews>
  <sheetFormatPr defaultRowHeight="10.199999999999999" customHeight="1"/>
  <cols>
    <col min="1" max="15" width="8.88671875" style="98"/>
    <col min="16" max="26" width="8.88671875" style="166"/>
    <col min="27" max="16384" width="8.88671875" style="98"/>
  </cols>
  <sheetData>
    <row r="1" spans="2:26" ht="10.199999999999999" customHeight="1">
      <c r="B1" s="98" t="s">
        <v>144</v>
      </c>
      <c r="C1" s="98" t="s">
        <v>145</v>
      </c>
      <c r="D1" s="98" t="s">
        <v>146</v>
      </c>
      <c r="E1" s="98" t="s">
        <v>147</v>
      </c>
      <c r="F1" s="98" t="s">
        <v>148</v>
      </c>
      <c r="G1" s="98" t="s">
        <v>149</v>
      </c>
      <c r="H1" s="98" t="s">
        <v>150</v>
      </c>
      <c r="I1" s="98" t="s">
        <v>151</v>
      </c>
      <c r="J1" s="98" t="s">
        <v>152</v>
      </c>
      <c r="P1" s="167"/>
      <c r="Q1" s="167"/>
      <c r="R1" s="167"/>
      <c r="S1" s="167"/>
      <c r="T1" s="167"/>
      <c r="U1" s="167"/>
      <c r="V1" s="167"/>
      <c r="W1" s="167"/>
      <c r="X1" s="167"/>
      <c r="Y1" s="167"/>
      <c r="Z1" s="167"/>
    </row>
    <row r="2" spans="2:26" ht="10.199999999999999" customHeight="1">
      <c r="B2" s="98" t="s">
        <v>153</v>
      </c>
      <c r="C2" s="98" t="s">
        <v>154</v>
      </c>
      <c r="D2" s="98" t="s">
        <v>154</v>
      </c>
      <c r="E2" s="98" t="s">
        <v>155</v>
      </c>
      <c r="F2" s="98" t="s">
        <v>155</v>
      </c>
      <c r="G2" s="98" t="s">
        <v>156</v>
      </c>
      <c r="H2" s="98" t="s">
        <v>157</v>
      </c>
      <c r="I2" s="98" t="s">
        <v>158</v>
      </c>
      <c r="J2" s="98" t="s">
        <v>159</v>
      </c>
      <c r="K2" s="98" t="s">
        <v>160</v>
      </c>
      <c r="L2" s="98" t="s">
        <v>161</v>
      </c>
      <c r="P2" s="167"/>
      <c r="Q2" s="167"/>
      <c r="R2" s="167"/>
      <c r="S2" s="167"/>
      <c r="T2" s="167"/>
      <c r="U2" s="167"/>
      <c r="V2" s="167"/>
      <c r="W2" s="167"/>
      <c r="X2" s="167"/>
      <c r="Y2" s="167"/>
      <c r="Z2" s="167"/>
    </row>
    <row r="3" spans="2:26" ht="10.199999999999999" customHeight="1">
      <c r="P3" s="167"/>
      <c r="Q3" s="167"/>
      <c r="R3" s="167"/>
      <c r="S3" s="167"/>
      <c r="T3" s="167"/>
      <c r="U3" s="167"/>
      <c r="V3" s="167"/>
      <c r="W3" s="167"/>
      <c r="X3" s="167"/>
      <c r="Y3" s="167"/>
      <c r="Z3" s="167"/>
    </row>
    <row r="4" spans="2:26" ht="10.199999999999999" customHeight="1">
      <c r="B4" s="98" t="s">
        <v>162</v>
      </c>
      <c r="C4" s="95" t="str">
        <f ca="1">IF(P1="","","L"&amp;MID(INDIRECT("P"&amp;L4),6,2))</f>
        <v/>
      </c>
      <c r="D4" s="95" t="str">
        <f ca="1">IF(P1="","",MID(INDIRECT("P"&amp;L4),SEARCH("(",INDIRECT("P"&amp;L4),1)+1,3))</f>
        <v/>
      </c>
      <c r="E4" s="95" t="str">
        <f ca="1">IF(P1="","",MID(INDIRECT("P"&amp;L4),SEARCH(")",INDIRECT("P"&amp;L4),1)+2,LEN(INDIRECT("P"&amp;L4))))</f>
        <v/>
      </c>
      <c r="F4" s="95"/>
      <c r="G4" s="95"/>
      <c r="H4" s="95"/>
      <c r="I4" s="95"/>
      <c r="J4" s="95"/>
      <c r="K4" s="95"/>
      <c r="L4" s="95" t="str">
        <f>IF(P1="","",MATCH("CASE*",P1:P10,0))</f>
        <v/>
      </c>
      <c r="M4" s="99">
        <f>ROUND(COUNT(P:P)*1.6,0)</f>
        <v>0</v>
      </c>
      <c r="P4" s="167"/>
      <c r="Q4" s="167"/>
      <c r="R4" s="167"/>
      <c r="S4" s="167"/>
      <c r="T4" s="167"/>
      <c r="U4" s="167"/>
      <c r="V4" s="167"/>
      <c r="W4" s="167"/>
      <c r="X4" s="167"/>
      <c r="Y4" s="167"/>
      <c r="Z4" s="167"/>
    </row>
    <row r="5" spans="2:26" ht="10.199999999999999" customHeight="1">
      <c r="P5" s="167"/>
      <c r="Q5" s="167"/>
      <c r="R5" s="167"/>
      <c r="S5" s="167"/>
      <c r="T5" s="167"/>
      <c r="U5" s="167"/>
      <c r="V5" s="167"/>
      <c r="W5" s="167"/>
      <c r="X5" s="167"/>
      <c r="Y5" s="167"/>
      <c r="Z5" s="167"/>
    </row>
    <row r="6" spans="2:26" ht="10.199999999999999" customHeight="1">
      <c r="B6" s="97" t="str">
        <f>IF(Calculation!BE11="","",Calculation!BE11)</f>
        <v/>
      </c>
      <c r="C6" s="99" t="str">
        <f t="shared" ref="C6:L21" ca="1" si="0">IF($M$4=0,"",VLOOKUP($B6,INDIRECT("$P$1:$Z$"&amp;$M$4),COLUMN()-1,0))</f>
        <v/>
      </c>
      <c r="D6" s="99" t="str">
        <f t="shared" ca="1" si="0"/>
        <v/>
      </c>
      <c r="E6" s="99" t="str">
        <f t="shared" ca="1" si="0"/>
        <v/>
      </c>
      <c r="F6" s="99" t="str">
        <f t="shared" ca="1" si="0"/>
        <v/>
      </c>
      <c r="G6" s="99" t="str">
        <f t="shared" ca="1" si="0"/>
        <v/>
      </c>
      <c r="H6" s="99" t="str">
        <f t="shared" ca="1" si="0"/>
        <v/>
      </c>
      <c r="I6" s="99" t="str">
        <f t="shared" ca="1" si="0"/>
        <v/>
      </c>
      <c r="J6" s="99" t="str">
        <f t="shared" ca="1" si="0"/>
        <v/>
      </c>
      <c r="K6" s="99" t="str">
        <f t="shared" ca="1" si="0"/>
        <v/>
      </c>
      <c r="L6" s="99" t="str">
        <f t="shared" ca="1" si="0"/>
        <v/>
      </c>
      <c r="P6" s="167"/>
      <c r="Q6" s="167"/>
      <c r="R6" s="167"/>
      <c r="S6" s="167"/>
      <c r="T6" s="167"/>
      <c r="U6" s="167"/>
      <c r="V6" s="167"/>
      <c r="W6" s="167"/>
      <c r="X6" s="167"/>
      <c r="Y6" s="167"/>
      <c r="Z6" s="167"/>
    </row>
    <row r="7" spans="2:26" ht="10.199999999999999" customHeight="1">
      <c r="B7" s="97" t="str">
        <f>IF(Calculation!BE12="","",Calculation!BE12)</f>
        <v/>
      </c>
      <c r="C7" s="99" t="str">
        <f t="shared" ca="1" si="0"/>
        <v/>
      </c>
      <c r="D7" s="99" t="str">
        <f t="shared" ca="1" si="0"/>
        <v/>
      </c>
      <c r="E7" s="99" t="str">
        <f t="shared" ca="1" si="0"/>
        <v/>
      </c>
      <c r="F7" s="99" t="str">
        <f t="shared" ca="1" si="0"/>
        <v/>
      </c>
      <c r="G7" s="99" t="str">
        <f t="shared" ca="1" si="0"/>
        <v/>
      </c>
      <c r="H7" s="99" t="str">
        <f t="shared" ca="1" si="0"/>
        <v/>
      </c>
      <c r="I7" s="99" t="str">
        <f t="shared" ca="1" si="0"/>
        <v/>
      </c>
      <c r="J7" s="99" t="str">
        <f t="shared" ca="1" si="0"/>
        <v/>
      </c>
      <c r="K7" s="99" t="str">
        <f t="shared" ca="1" si="0"/>
        <v/>
      </c>
      <c r="L7" s="99" t="str">
        <f t="shared" ca="1" si="0"/>
        <v/>
      </c>
      <c r="P7" s="167"/>
      <c r="Q7" s="167"/>
      <c r="R7" s="167"/>
      <c r="S7" s="167"/>
      <c r="T7" s="167"/>
      <c r="U7" s="167"/>
      <c r="V7" s="167"/>
      <c r="W7" s="167"/>
      <c r="X7" s="167"/>
      <c r="Y7" s="167"/>
      <c r="Z7" s="167"/>
    </row>
    <row r="8" spans="2:26" ht="10.199999999999999" customHeight="1">
      <c r="B8" s="97" t="str">
        <f>IF(Calculation!BE13="","",Calculation!BE13)</f>
        <v/>
      </c>
      <c r="C8" s="99" t="str">
        <f t="shared" ca="1" si="0"/>
        <v/>
      </c>
      <c r="D8" s="99" t="str">
        <f t="shared" ca="1" si="0"/>
        <v/>
      </c>
      <c r="E8" s="99" t="str">
        <f t="shared" ca="1" si="0"/>
        <v/>
      </c>
      <c r="F8" s="99" t="str">
        <f t="shared" ca="1" si="0"/>
        <v/>
      </c>
      <c r="G8" s="99" t="str">
        <f t="shared" ca="1" si="0"/>
        <v/>
      </c>
      <c r="H8" s="99" t="str">
        <f t="shared" ca="1" si="0"/>
        <v/>
      </c>
      <c r="I8" s="99" t="str">
        <f t="shared" ca="1" si="0"/>
        <v/>
      </c>
      <c r="J8" s="99" t="str">
        <f t="shared" ca="1" si="0"/>
        <v/>
      </c>
      <c r="K8" s="99" t="str">
        <f t="shared" ca="1" si="0"/>
        <v/>
      </c>
      <c r="L8" s="99" t="str">
        <f t="shared" ca="1" si="0"/>
        <v/>
      </c>
      <c r="P8" s="169"/>
      <c r="Q8" s="169"/>
      <c r="R8" s="169"/>
      <c r="S8" s="169"/>
      <c r="T8" s="169"/>
      <c r="U8" s="169"/>
      <c r="V8" s="169"/>
      <c r="W8" s="169"/>
      <c r="X8" s="169"/>
      <c r="Y8" s="169"/>
      <c r="Z8" s="169"/>
    </row>
    <row r="9" spans="2:26" ht="10.199999999999999" customHeight="1">
      <c r="B9" s="97" t="str">
        <f>IF(Calculation!BE14="","",Calculation!BE14)</f>
        <v/>
      </c>
      <c r="C9" s="99" t="str">
        <f t="shared" ca="1" si="0"/>
        <v/>
      </c>
      <c r="D9" s="99" t="str">
        <f t="shared" ca="1" si="0"/>
        <v/>
      </c>
      <c r="E9" s="99" t="str">
        <f t="shared" ca="1" si="0"/>
        <v/>
      </c>
      <c r="F9" s="99" t="str">
        <f t="shared" ca="1" si="0"/>
        <v/>
      </c>
      <c r="G9" s="99" t="str">
        <f t="shared" ca="1" si="0"/>
        <v/>
      </c>
      <c r="H9" s="99" t="str">
        <f t="shared" ca="1" si="0"/>
        <v/>
      </c>
      <c r="I9" s="99" t="str">
        <f t="shared" ca="1" si="0"/>
        <v/>
      </c>
      <c r="J9" s="99" t="str">
        <f t="shared" ca="1" si="0"/>
        <v/>
      </c>
      <c r="K9" s="99" t="str">
        <f t="shared" ca="1" si="0"/>
        <v/>
      </c>
      <c r="L9" s="99" t="str">
        <f t="shared" ca="1" si="0"/>
        <v/>
      </c>
      <c r="P9" s="167"/>
      <c r="Q9" s="167"/>
      <c r="R9" s="167"/>
      <c r="S9" s="167"/>
      <c r="T9" s="167"/>
      <c r="U9" s="167"/>
      <c r="V9" s="167"/>
      <c r="W9" s="167"/>
      <c r="X9" s="167"/>
      <c r="Y9" s="167"/>
      <c r="Z9" s="167"/>
    </row>
    <row r="10" spans="2:26" ht="10.199999999999999" customHeight="1">
      <c r="B10" s="97" t="str">
        <f>IF(Calculation!BE15="","",Calculation!BE15)</f>
        <v/>
      </c>
      <c r="C10" s="99" t="str">
        <f t="shared" ca="1" si="0"/>
        <v/>
      </c>
      <c r="D10" s="99" t="str">
        <f t="shared" ca="1" si="0"/>
        <v/>
      </c>
      <c r="E10" s="99" t="str">
        <f t="shared" ca="1" si="0"/>
        <v/>
      </c>
      <c r="F10" s="99" t="str">
        <f t="shared" ca="1" si="0"/>
        <v/>
      </c>
      <c r="G10" s="99" t="str">
        <f t="shared" ca="1" si="0"/>
        <v/>
      </c>
      <c r="H10" s="99" t="str">
        <f t="shared" ca="1" si="0"/>
        <v/>
      </c>
      <c r="I10" s="99" t="str">
        <f t="shared" ca="1" si="0"/>
        <v/>
      </c>
      <c r="J10" s="99" t="str">
        <f t="shared" ca="1" si="0"/>
        <v/>
      </c>
      <c r="K10" s="99" t="str">
        <f t="shared" ca="1" si="0"/>
        <v/>
      </c>
      <c r="L10" s="99" t="str">
        <f t="shared" ca="1" si="0"/>
        <v/>
      </c>
      <c r="P10" s="167"/>
      <c r="Q10" s="167"/>
      <c r="R10" s="167"/>
      <c r="S10" s="167"/>
      <c r="T10" s="167"/>
      <c r="U10" s="167"/>
      <c r="V10" s="167"/>
      <c r="W10" s="167"/>
      <c r="X10" s="167"/>
      <c r="Y10" s="167"/>
      <c r="Z10" s="167"/>
    </row>
    <row r="11" spans="2:26" ht="10.199999999999999" customHeight="1">
      <c r="B11" s="97" t="str">
        <f>IF(Calculation!BE16="","",Calculation!BE16)</f>
        <v/>
      </c>
      <c r="C11" s="99" t="str">
        <f t="shared" ca="1" si="0"/>
        <v/>
      </c>
      <c r="D11" s="99" t="str">
        <f t="shared" ca="1" si="0"/>
        <v/>
      </c>
      <c r="E11" s="99" t="str">
        <f t="shared" ca="1" si="0"/>
        <v/>
      </c>
      <c r="F11" s="99" t="str">
        <f t="shared" ca="1" si="0"/>
        <v/>
      </c>
      <c r="G11" s="99" t="str">
        <f t="shared" ca="1" si="0"/>
        <v/>
      </c>
      <c r="H11" s="99" t="str">
        <f t="shared" ca="1" si="0"/>
        <v/>
      </c>
      <c r="I11" s="99" t="str">
        <f t="shared" ca="1" si="0"/>
        <v/>
      </c>
      <c r="J11" s="99" t="str">
        <f t="shared" ca="1" si="0"/>
        <v/>
      </c>
      <c r="K11" s="99" t="str">
        <f t="shared" ca="1" si="0"/>
        <v/>
      </c>
      <c r="L11" s="99" t="str">
        <f t="shared" ca="1" si="0"/>
        <v/>
      </c>
      <c r="P11" s="167"/>
      <c r="Q11" s="167"/>
      <c r="R11" s="167"/>
      <c r="S11" s="167"/>
      <c r="T11" s="167"/>
      <c r="U11" s="167"/>
      <c r="V11" s="167"/>
      <c r="W11" s="167"/>
      <c r="X11" s="167"/>
      <c r="Y11" s="167"/>
      <c r="Z11" s="167"/>
    </row>
    <row r="12" spans="2:26" ht="10.199999999999999" customHeight="1">
      <c r="B12" s="97" t="str">
        <f>IF(Calculation!BE17="","",Calculation!BE17)</f>
        <v/>
      </c>
      <c r="C12" s="99" t="str">
        <f t="shared" ca="1" si="0"/>
        <v/>
      </c>
      <c r="D12" s="99" t="str">
        <f t="shared" ca="1" si="0"/>
        <v/>
      </c>
      <c r="E12" s="99" t="str">
        <f t="shared" ca="1" si="0"/>
        <v/>
      </c>
      <c r="F12" s="99" t="str">
        <f t="shared" ca="1" si="0"/>
        <v/>
      </c>
      <c r="G12" s="99" t="str">
        <f t="shared" ca="1" si="0"/>
        <v/>
      </c>
      <c r="H12" s="99" t="str">
        <f t="shared" ca="1" si="0"/>
        <v/>
      </c>
      <c r="I12" s="99" t="str">
        <f t="shared" ca="1" si="0"/>
        <v/>
      </c>
      <c r="J12" s="99" t="str">
        <f t="shared" ca="1" si="0"/>
        <v/>
      </c>
      <c r="K12" s="99" t="str">
        <f t="shared" ca="1" si="0"/>
        <v/>
      </c>
      <c r="L12" s="99" t="str">
        <f t="shared" ca="1" si="0"/>
        <v/>
      </c>
      <c r="P12" s="169"/>
      <c r="Q12" s="169"/>
      <c r="R12" s="169"/>
      <c r="S12" s="169"/>
      <c r="T12" s="169"/>
      <c r="U12" s="169"/>
      <c r="V12" s="169"/>
      <c r="W12" s="169"/>
      <c r="X12" s="169"/>
      <c r="Y12" s="169"/>
      <c r="Z12" s="169"/>
    </row>
    <row r="13" spans="2:26" ht="10.199999999999999" customHeight="1">
      <c r="B13" s="97" t="str">
        <f>IF(Calculation!BE18="","",Calculation!BE18)</f>
        <v/>
      </c>
      <c r="C13" s="99" t="str">
        <f t="shared" ca="1" si="0"/>
        <v/>
      </c>
      <c r="D13" s="99" t="str">
        <f t="shared" ca="1" si="0"/>
        <v/>
      </c>
      <c r="E13" s="99" t="str">
        <f t="shared" ca="1" si="0"/>
        <v/>
      </c>
      <c r="F13" s="99" t="str">
        <f t="shared" ca="1" si="0"/>
        <v/>
      </c>
      <c r="G13" s="99" t="str">
        <f t="shared" ca="1" si="0"/>
        <v/>
      </c>
      <c r="H13" s="99" t="str">
        <f t="shared" ca="1" si="0"/>
        <v/>
      </c>
      <c r="I13" s="99" t="str">
        <f t="shared" ca="1" si="0"/>
        <v/>
      </c>
      <c r="J13" s="99" t="str">
        <f t="shared" ca="1" si="0"/>
        <v/>
      </c>
      <c r="K13" s="99" t="str">
        <f t="shared" ca="1" si="0"/>
        <v/>
      </c>
      <c r="L13" s="99" t="str">
        <f t="shared" ca="1" si="0"/>
        <v/>
      </c>
      <c r="P13" s="167"/>
      <c r="Q13" s="167"/>
      <c r="R13" s="167"/>
      <c r="S13" s="167"/>
      <c r="T13" s="167"/>
      <c r="U13" s="167"/>
      <c r="V13" s="167"/>
      <c r="W13" s="167"/>
      <c r="X13" s="167"/>
      <c r="Y13" s="167"/>
      <c r="Z13" s="167"/>
    </row>
    <row r="14" spans="2:26" ht="10.199999999999999" customHeight="1">
      <c r="B14" s="97" t="str">
        <f>IF(Calculation!BE19="","",Calculation!BE19)</f>
        <v/>
      </c>
      <c r="C14" s="99" t="str">
        <f t="shared" ca="1" si="0"/>
        <v/>
      </c>
      <c r="D14" s="99" t="str">
        <f t="shared" ca="1" si="0"/>
        <v/>
      </c>
      <c r="E14" s="99" t="str">
        <f t="shared" ca="1" si="0"/>
        <v/>
      </c>
      <c r="F14" s="99" t="str">
        <f t="shared" ca="1" si="0"/>
        <v/>
      </c>
      <c r="G14" s="99" t="str">
        <f t="shared" ca="1" si="0"/>
        <v/>
      </c>
      <c r="H14" s="99" t="str">
        <f t="shared" ca="1" si="0"/>
        <v/>
      </c>
      <c r="I14" s="99" t="str">
        <f t="shared" ca="1" si="0"/>
        <v/>
      </c>
      <c r="J14" s="99" t="str">
        <f t="shared" ca="1" si="0"/>
        <v/>
      </c>
      <c r="K14" s="99" t="str">
        <f t="shared" ca="1" si="0"/>
        <v/>
      </c>
      <c r="L14" s="99" t="str">
        <f t="shared" ca="1" si="0"/>
        <v/>
      </c>
      <c r="P14" s="167"/>
      <c r="Q14" s="167"/>
      <c r="R14" s="167"/>
      <c r="S14" s="167"/>
      <c r="T14" s="167"/>
      <c r="U14" s="167"/>
      <c r="V14" s="167"/>
      <c r="W14" s="167"/>
      <c r="X14" s="167"/>
      <c r="Y14" s="167"/>
      <c r="Z14" s="167"/>
    </row>
    <row r="15" spans="2:26" ht="10.199999999999999" customHeight="1">
      <c r="B15" s="97" t="str">
        <f>IF(Calculation!BE20="","",Calculation!BE20)</f>
        <v/>
      </c>
      <c r="C15" s="99" t="str">
        <f t="shared" ca="1" si="0"/>
        <v/>
      </c>
      <c r="D15" s="99" t="str">
        <f t="shared" ca="1" si="0"/>
        <v/>
      </c>
      <c r="E15" s="99" t="str">
        <f t="shared" ca="1" si="0"/>
        <v/>
      </c>
      <c r="F15" s="99" t="str">
        <f t="shared" ca="1" si="0"/>
        <v/>
      </c>
      <c r="G15" s="99" t="str">
        <f t="shared" ca="1" si="0"/>
        <v/>
      </c>
      <c r="H15" s="99" t="str">
        <f t="shared" ca="1" si="0"/>
        <v/>
      </c>
      <c r="I15" s="99" t="str">
        <f t="shared" ca="1" si="0"/>
        <v/>
      </c>
      <c r="J15" s="99" t="str">
        <f t="shared" ca="1" si="0"/>
        <v/>
      </c>
      <c r="K15" s="99" t="str">
        <f t="shared" ca="1" si="0"/>
        <v/>
      </c>
      <c r="L15" s="99" t="str">
        <f t="shared" ca="1" si="0"/>
        <v/>
      </c>
      <c r="P15" s="169"/>
      <c r="Q15" s="169"/>
      <c r="R15" s="169"/>
      <c r="S15" s="169"/>
      <c r="T15" s="169"/>
      <c r="U15" s="169"/>
      <c r="V15" s="169"/>
      <c r="W15" s="169"/>
      <c r="X15" s="169"/>
      <c r="Y15" s="169"/>
      <c r="Z15" s="169"/>
    </row>
    <row r="16" spans="2:26" ht="10.199999999999999" customHeight="1">
      <c r="B16" s="97" t="str">
        <f>IF(Calculation!BE21="","",Calculation!BE21)</f>
        <v/>
      </c>
      <c r="C16" s="99" t="str">
        <f t="shared" ca="1" si="0"/>
        <v/>
      </c>
      <c r="D16" s="99" t="str">
        <f t="shared" ca="1" si="0"/>
        <v/>
      </c>
      <c r="E16" s="99" t="str">
        <f t="shared" ca="1" si="0"/>
        <v/>
      </c>
      <c r="F16" s="99" t="str">
        <f t="shared" ca="1" si="0"/>
        <v/>
      </c>
      <c r="G16" s="99" t="str">
        <f t="shared" ca="1" si="0"/>
        <v/>
      </c>
      <c r="H16" s="99" t="str">
        <f t="shared" ca="1" si="0"/>
        <v/>
      </c>
      <c r="I16" s="99" t="str">
        <f t="shared" ca="1" si="0"/>
        <v/>
      </c>
      <c r="J16" s="99" t="str">
        <f t="shared" ca="1" si="0"/>
        <v/>
      </c>
      <c r="K16" s="99" t="str">
        <f t="shared" ca="1" si="0"/>
        <v/>
      </c>
      <c r="L16" s="99" t="str">
        <f t="shared" ca="1" si="0"/>
        <v/>
      </c>
      <c r="P16" s="167"/>
      <c r="Q16" s="167"/>
      <c r="R16" s="167"/>
      <c r="S16" s="167"/>
      <c r="T16" s="167"/>
      <c r="U16" s="167"/>
      <c r="V16" s="167"/>
      <c r="W16" s="167"/>
      <c r="X16" s="167"/>
      <c r="Y16" s="167"/>
      <c r="Z16" s="167"/>
    </row>
    <row r="17" spans="2:26" ht="10.199999999999999" customHeight="1">
      <c r="B17" s="97" t="str">
        <f>IF(Calculation!BE22="","",Calculation!BE22)</f>
        <v/>
      </c>
      <c r="C17" s="99" t="str">
        <f t="shared" ca="1" si="0"/>
        <v/>
      </c>
      <c r="D17" s="99" t="str">
        <f t="shared" ca="1" si="0"/>
        <v/>
      </c>
      <c r="E17" s="99" t="str">
        <f t="shared" ca="1" si="0"/>
        <v/>
      </c>
      <c r="F17" s="99" t="str">
        <f t="shared" ca="1" si="0"/>
        <v/>
      </c>
      <c r="G17" s="99" t="str">
        <f t="shared" ca="1" si="0"/>
        <v/>
      </c>
      <c r="H17" s="99" t="str">
        <f t="shared" ca="1" si="0"/>
        <v/>
      </c>
      <c r="I17" s="99" t="str">
        <f t="shared" ca="1" si="0"/>
        <v/>
      </c>
      <c r="J17" s="99" t="str">
        <f t="shared" ca="1" si="0"/>
        <v/>
      </c>
      <c r="K17" s="99" t="str">
        <f t="shared" ca="1" si="0"/>
        <v/>
      </c>
      <c r="L17" s="99" t="str">
        <f t="shared" ca="1" si="0"/>
        <v/>
      </c>
      <c r="P17" s="167"/>
      <c r="Q17" s="167"/>
      <c r="R17" s="167"/>
      <c r="S17" s="167"/>
      <c r="T17" s="167"/>
      <c r="U17" s="167"/>
      <c r="V17" s="167"/>
      <c r="W17" s="167"/>
      <c r="X17" s="167"/>
      <c r="Y17" s="167"/>
      <c r="Z17" s="167"/>
    </row>
    <row r="18" spans="2:26" ht="10.199999999999999" customHeight="1">
      <c r="B18" s="97" t="str">
        <f>IF(Calculation!BE23="","",Calculation!BE23)</f>
        <v/>
      </c>
      <c r="C18" s="99" t="str">
        <f t="shared" ca="1" si="0"/>
        <v/>
      </c>
      <c r="D18" s="99" t="str">
        <f t="shared" ca="1" si="0"/>
        <v/>
      </c>
      <c r="E18" s="99" t="str">
        <f t="shared" ca="1" si="0"/>
        <v/>
      </c>
      <c r="F18" s="99" t="str">
        <f t="shared" ca="1" si="0"/>
        <v/>
      </c>
      <c r="G18" s="99" t="str">
        <f t="shared" ca="1" si="0"/>
        <v/>
      </c>
      <c r="H18" s="99" t="str">
        <f t="shared" ca="1" si="0"/>
        <v/>
      </c>
      <c r="I18" s="99" t="str">
        <f t="shared" ca="1" si="0"/>
        <v/>
      </c>
      <c r="J18" s="99" t="str">
        <f t="shared" ca="1" si="0"/>
        <v/>
      </c>
      <c r="K18" s="99" t="str">
        <f t="shared" ca="1" si="0"/>
        <v/>
      </c>
      <c r="L18" s="99" t="str">
        <f t="shared" ca="1" si="0"/>
        <v/>
      </c>
      <c r="P18" s="169"/>
      <c r="Q18" s="169"/>
      <c r="R18" s="169"/>
      <c r="S18" s="169"/>
      <c r="T18" s="169"/>
      <c r="U18" s="169"/>
      <c r="V18" s="169"/>
      <c r="W18" s="169"/>
      <c r="X18" s="169"/>
      <c r="Y18" s="169"/>
      <c r="Z18" s="169"/>
    </row>
    <row r="19" spans="2:26" ht="10.199999999999999" customHeight="1">
      <c r="B19" s="97" t="str">
        <f>IF(Calculation!BE24="","",Calculation!BE24)</f>
        <v/>
      </c>
      <c r="C19" s="99" t="str">
        <f t="shared" ca="1" si="0"/>
        <v/>
      </c>
      <c r="D19" s="99" t="str">
        <f t="shared" ca="1" si="0"/>
        <v/>
      </c>
      <c r="E19" s="99" t="str">
        <f t="shared" ca="1" si="0"/>
        <v/>
      </c>
      <c r="F19" s="99" t="str">
        <f t="shared" ca="1" si="0"/>
        <v/>
      </c>
      <c r="G19" s="99" t="str">
        <f t="shared" ca="1" si="0"/>
        <v/>
      </c>
      <c r="H19" s="99" t="str">
        <f t="shared" ca="1" si="0"/>
        <v/>
      </c>
      <c r="I19" s="99" t="str">
        <f t="shared" ca="1" si="0"/>
        <v/>
      </c>
      <c r="J19" s="99" t="str">
        <f t="shared" ca="1" si="0"/>
        <v/>
      </c>
      <c r="K19" s="99" t="str">
        <f t="shared" ca="1" si="0"/>
        <v/>
      </c>
      <c r="L19" s="99" t="str">
        <f t="shared" ca="1" si="0"/>
        <v/>
      </c>
      <c r="P19" s="167"/>
      <c r="Q19" s="167"/>
      <c r="R19" s="167"/>
      <c r="S19" s="167"/>
      <c r="T19" s="167"/>
      <c r="U19" s="167"/>
      <c r="V19" s="167"/>
      <c r="W19" s="167"/>
      <c r="X19" s="167"/>
      <c r="Y19" s="167"/>
      <c r="Z19" s="167"/>
    </row>
    <row r="20" spans="2:26" ht="10.199999999999999" customHeight="1">
      <c r="B20" s="97" t="str">
        <f>IF(Calculation!BE25="","",Calculation!BE25)</f>
        <v/>
      </c>
      <c r="C20" s="99" t="str">
        <f t="shared" ca="1" si="0"/>
        <v/>
      </c>
      <c r="D20" s="99" t="str">
        <f t="shared" ca="1" si="0"/>
        <v/>
      </c>
      <c r="E20" s="99" t="str">
        <f t="shared" ca="1" si="0"/>
        <v/>
      </c>
      <c r="F20" s="99" t="str">
        <f t="shared" ca="1" si="0"/>
        <v/>
      </c>
      <c r="G20" s="99" t="str">
        <f t="shared" ca="1" si="0"/>
        <v/>
      </c>
      <c r="H20" s="99" t="str">
        <f t="shared" ca="1" si="0"/>
        <v/>
      </c>
      <c r="I20" s="99" t="str">
        <f t="shared" ca="1" si="0"/>
        <v/>
      </c>
      <c r="J20" s="99" t="str">
        <f t="shared" ca="1" si="0"/>
        <v/>
      </c>
      <c r="K20" s="99" t="str">
        <f t="shared" ca="1" si="0"/>
        <v/>
      </c>
      <c r="L20" s="99" t="str">
        <f t="shared" ca="1" si="0"/>
        <v/>
      </c>
      <c r="P20" s="167"/>
      <c r="Q20" s="167"/>
      <c r="R20" s="167"/>
      <c r="S20" s="167"/>
      <c r="T20" s="167"/>
      <c r="U20" s="167"/>
      <c r="V20" s="167"/>
      <c r="W20" s="167"/>
      <c r="X20" s="167"/>
      <c r="Y20" s="167"/>
      <c r="Z20" s="167"/>
    </row>
    <row r="21" spans="2:26" ht="10.199999999999999" customHeight="1">
      <c r="B21" s="97" t="str">
        <f>IF(Calculation!BE26="","",Calculation!BE26)</f>
        <v/>
      </c>
      <c r="C21" s="99" t="str">
        <f t="shared" ca="1" si="0"/>
        <v/>
      </c>
      <c r="D21" s="99" t="str">
        <f t="shared" ca="1" si="0"/>
        <v/>
      </c>
      <c r="E21" s="99" t="str">
        <f t="shared" ca="1" si="0"/>
        <v/>
      </c>
      <c r="F21" s="99" t="str">
        <f t="shared" ca="1" si="0"/>
        <v/>
      </c>
      <c r="G21" s="99" t="str">
        <f t="shared" ca="1" si="0"/>
        <v/>
      </c>
      <c r="H21" s="99" t="str">
        <f t="shared" ca="1" si="0"/>
        <v/>
      </c>
      <c r="I21" s="99" t="str">
        <f t="shared" ca="1" si="0"/>
        <v/>
      </c>
      <c r="J21" s="99" t="str">
        <f t="shared" ca="1" si="0"/>
        <v/>
      </c>
      <c r="K21" s="99" t="str">
        <f t="shared" ca="1" si="0"/>
        <v/>
      </c>
      <c r="L21" s="99" t="str">
        <f t="shared" ca="1" si="0"/>
        <v/>
      </c>
      <c r="P21" s="169"/>
      <c r="Q21" s="169"/>
      <c r="R21" s="169"/>
      <c r="S21" s="169"/>
      <c r="T21" s="169"/>
      <c r="U21" s="169"/>
      <c r="V21" s="169"/>
      <c r="W21" s="169"/>
      <c r="X21" s="169"/>
      <c r="Y21" s="169"/>
      <c r="Z21" s="169"/>
    </row>
    <row r="22" spans="2:26" ht="10.199999999999999" customHeight="1">
      <c r="B22" s="97" t="str">
        <f>IF(Calculation!BE27="","",Calculation!BE27)</f>
        <v/>
      </c>
      <c r="C22" s="99" t="str">
        <f t="shared" ref="C22:L37" ca="1" si="1">IF($M$4=0,"",VLOOKUP($B22,INDIRECT("$P$1:$Z$"&amp;$M$4),COLUMN()-1,0))</f>
        <v/>
      </c>
      <c r="D22" s="99" t="str">
        <f t="shared" ca="1" si="1"/>
        <v/>
      </c>
      <c r="E22" s="99" t="str">
        <f t="shared" ca="1" si="1"/>
        <v/>
      </c>
      <c r="F22" s="99" t="str">
        <f t="shared" ca="1" si="1"/>
        <v/>
      </c>
      <c r="G22" s="99" t="str">
        <f t="shared" ca="1" si="1"/>
        <v/>
      </c>
      <c r="H22" s="99" t="str">
        <f t="shared" ca="1" si="1"/>
        <v/>
      </c>
      <c r="I22" s="99" t="str">
        <f t="shared" ca="1" si="1"/>
        <v/>
      </c>
      <c r="J22" s="99" t="str">
        <f t="shared" ca="1" si="1"/>
        <v/>
      </c>
      <c r="K22" s="99" t="str">
        <f t="shared" ca="1" si="1"/>
        <v/>
      </c>
      <c r="L22" s="99" t="str">
        <f t="shared" ca="1" si="1"/>
        <v/>
      </c>
      <c r="P22" s="167"/>
      <c r="Q22" s="167"/>
      <c r="R22" s="167"/>
      <c r="S22" s="167"/>
      <c r="T22" s="167"/>
      <c r="U22" s="167"/>
      <c r="V22" s="167"/>
      <c r="W22" s="167"/>
      <c r="X22" s="167"/>
      <c r="Y22" s="167"/>
      <c r="Z22" s="167"/>
    </row>
    <row r="23" spans="2:26" ht="10.199999999999999" customHeight="1">
      <c r="B23" s="97" t="str">
        <f>IF(Calculation!BE28="","",Calculation!BE28)</f>
        <v/>
      </c>
      <c r="C23" s="99" t="str">
        <f t="shared" ca="1" si="1"/>
        <v/>
      </c>
      <c r="D23" s="99" t="str">
        <f t="shared" ca="1" si="1"/>
        <v/>
      </c>
      <c r="E23" s="99" t="str">
        <f t="shared" ca="1" si="1"/>
        <v/>
      </c>
      <c r="F23" s="99" t="str">
        <f t="shared" ca="1" si="1"/>
        <v/>
      </c>
      <c r="G23" s="99" t="str">
        <f t="shared" ca="1" si="1"/>
        <v/>
      </c>
      <c r="H23" s="99" t="str">
        <f t="shared" ca="1" si="1"/>
        <v/>
      </c>
      <c r="I23" s="99" t="str">
        <f t="shared" ca="1" si="1"/>
        <v/>
      </c>
      <c r="J23" s="99" t="str">
        <f t="shared" ca="1" si="1"/>
        <v/>
      </c>
      <c r="K23" s="99" t="str">
        <f t="shared" ca="1" si="1"/>
        <v/>
      </c>
      <c r="L23" s="99" t="str">
        <f t="shared" ca="1" si="1"/>
        <v/>
      </c>
      <c r="P23" s="167"/>
      <c r="Q23" s="167"/>
      <c r="R23" s="167"/>
      <c r="S23" s="167"/>
      <c r="T23" s="167"/>
      <c r="U23" s="167"/>
      <c r="V23" s="167"/>
      <c r="W23" s="167"/>
      <c r="X23" s="167"/>
      <c r="Y23" s="167"/>
      <c r="Z23" s="167"/>
    </row>
    <row r="24" spans="2:26" ht="10.199999999999999" customHeight="1">
      <c r="B24" s="97" t="str">
        <f>IF(Calculation!BE29="","",Calculation!BE29)</f>
        <v/>
      </c>
      <c r="C24" s="99" t="str">
        <f t="shared" ca="1" si="1"/>
        <v/>
      </c>
      <c r="D24" s="99" t="str">
        <f t="shared" ca="1" si="1"/>
        <v/>
      </c>
      <c r="E24" s="99" t="str">
        <f t="shared" ca="1" si="1"/>
        <v/>
      </c>
      <c r="F24" s="99" t="str">
        <f t="shared" ca="1" si="1"/>
        <v/>
      </c>
      <c r="G24" s="99" t="str">
        <f t="shared" ca="1" si="1"/>
        <v/>
      </c>
      <c r="H24" s="99" t="str">
        <f t="shared" ca="1" si="1"/>
        <v/>
      </c>
      <c r="I24" s="99" t="str">
        <f t="shared" ca="1" si="1"/>
        <v/>
      </c>
      <c r="J24" s="99" t="str">
        <f t="shared" ca="1" si="1"/>
        <v/>
      </c>
      <c r="K24" s="99" t="str">
        <f t="shared" ca="1" si="1"/>
        <v/>
      </c>
      <c r="L24" s="99" t="str">
        <f t="shared" ca="1" si="1"/>
        <v/>
      </c>
      <c r="P24" s="169"/>
      <c r="Q24" s="169"/>
      <c r="R24" s="169"/>
      <c r="S24" s="169"/>
      <c r="T24" s="169"/>
      <c r="U24" s="169"/>
      <c r="V24" s="169"/>
      <c r="W24" s="169"/>
      <c r="X24" s="169"/>
      <c r="Y24" s="169"/>
      <c r="Z24" s="169"/>
    </row>
    <row r="25" spans="2:26" ht="10.199999999999999" customHeight="1">
      <c r="B25" s="97" t="str">
        <f>IF(Calculation!BE30="","",Calculation!BE30)</f>
        <v/>
      </c>
      <c r="C25" s="99" t="str">
        <f t="shared" ca="1" si="1"/>
        <v/>
      </c>
      <c r="D25" s="99" t="str">
        <f t="shared" ca="1" si="1"/>
        <v/>
      </c>
      <c r="E25" s="99" t="str">
        <f t="shared" ca="1" si="1"/>
        <v/>
      </c>
      <c r="F25" s="99" t="str">
        <f t="shared" ca="1" si="1"/>
        <v/>
      </c>
      <c r="G25" s="99" t="str">
        <f t="shared" ca="1" si="1"/>
        <v/>
      </c>
      <c r="H25" s="99" t="str">
        <f t="shared" ca="1" si="1"/>
        <v/>
      </c>
      <c r="I25" s="99" t="str">
        <f t="shared" ca="1" si="1"/>
        <v/>
      </c>
      <c r="J25" s="99" t="str">
        <f t="shared" ca="1" si="1"/>
        <v/>
      </c>
      <c r="K25" s="99" t="str">
        <f t="shared" ca="1" si="1"/>
        <v/>
      </c>
      <c r="L25" s="99" t="str">
        <f t="shared" ca="1" si="1"/>
        <v/>
      </c>
      <c r="P25" s="167"/>
      <c r="Q25" s="167"/>
      <c r="R25" s="167"/>
      <c r="S25" s="167"/>
      <c r="T25" s="167"/>
      <c r="U25" s="167"/>
      <c r="V25" s="167"/>
      <c r="W25" s="167"/>
      <c r="X25" s="167"/>
      <c r="Y25" s="167"/>
      <c r="Z25" s="167"/>
    </row>
    <row r="26" spans="2:26" ht="10.199999999999999" customHeight="1">
      <c r="B26" s="97" t="str">
        <f>IF(Calculation!BE31="","",Calculation!BE31)</f>
        <v/>
      </c>
      <c r="C26" s="99" t="str">
        <f t="shared" ca="1" si="1"/>
        <v/>
      </c>
      <c r="D26" s="99" t="str">
        <f t="shared" ca="1" si="1"/>
        <v/>
      </c>
      <c r="E26" s="99" t="str">
        <f t="shared" ca="1" si="1"/>
        <v/>
      </c>
      <c r="F26" s="99" t="str">
        <f t="shared" ca="1" si="1"/>
        <v/>
      </c>
      <c r="G26" s="99" t="str">
        <f t="shared" ca="1" si="1"/>
        <v/>
      </c>
      <c r="H26" s="99" t="str">
        <f t="shared" ca="1" si="1"/>
        <v/>
      </c>
      <c r="I26" s="99" t="str">
        <f t="shared" ca="1" si="1"/>
        <v/>
      </c>
      <c r="J26" s="99" t="str">
        <f t="shared" ca="1" si="1"/>
        <v/>
      </c>
      <c r="K26" s="99" t="str">
        <f t="shared" ca="1" si="1"/>
        <v/>
      </c>
      <c r="L26" s="99" t="str">
        <f t="shared" ca="1" si="1"/>
        <v/>
      </c>
      <c r="P26" s="167"/>
      <c r="Q26" s="167"/>
      <c r="R26" s="167"/>
      <c r="S26" s="167"/>
      <c r="T26" s="167"/>
      <c r="U26" s="167"/>
      <c r="V26" s="167"/>
      <c r="W26" s="167"/>
      <c r="X26" s="167"/>
      <c r="Y26" s="167"/>
      <c r="Z26" s="167"/>
    </row>
    <row r="27" spans="2:26" ht="10.199999999999999" customHeight="1">
      <c r="B27" s="97" t="str">
        <f>IF(Calculation!BE32="","",Calculation!BE32)</f>
        <v/>
      </c>
      <c r="C27" s="99" t="str">
        <f t="shared" ca="1" si="1"/>
        <v/>
      </c>
      <c r="D27" s="99" t="str">
        <f t="shared" ca="1" si="1"/>
        <v/>
      </c>
      <c r="E27" s="99" t="str">
        <f t="shared" ca="1" si="1"/>
        <v/>
      </c>
      <c r="F27" s="99" t="str">
        <f t="shared" ca="1" si="1"/>
        <v/>
      </c>
      <c r="G27" s="99" t="str">
        <f t="shared" ca="1" si="1"/>
        <v/>
      </c>
      <c r="H27" s="99" t="str">
        <f t="shared" ca="1" si="1"/>
        <v/>
      </c>
      <c r="I27" s="99" t="str">
        <f t="shared" ca="1" si="1"/>
        <v/>
      </c>
      <c r="J27" s="99" t="str">
        <f t="shared" ca="1" si="1"/>
        <v/>
      </c>
      <c r="K27" s="99" t="str">
        <f t="shared" ca="1" si="1"/>
        <v/>
      </c>
      <c r="L27" s="99" t="str">
        <f t="shared" ca="1" si="1"/>
        <v/>
      </c>
      <c r="P27" s="169"/>
      <c r="Q27" s="169"/>
      <c r="R27" s="169"/>
      <c r="S27" s="169"/>
      <c r="T27" s="169"/>
      <c r="U27" s="169"/>
      <c r="V27" s="169"/>
      <c r="W27" s="169"/>
      <c r="X27" s="169"/>
      <c r="Y27" s="169"/>
      <c r="Z27" s="169"/>
    </row>
    <row r="28" spans="2:26" ht="10.199999999999999" customHeight="1">
      <c r="B28" s="97" t="str">
        <f>IF(Calculation!BE33="","",Calculation!BE33)</f>
        <v/>
      </c>
      <c r="C28" s="99" t="str">
        <f t="shared" ca="1" si="1"/>
        <v/>
      </c>
      <c r="D28" s="99" t="str">
        <f t="shared" ca="1" si="1"/>
        <v/>
      </c>
      <c r="E28" s="99" t="str">
        <f t="shared" ca="1" si="1"/>
        <v/>
      </c>
      <c r="F28" s="99" t="str">
        <f t="shared" ca="1" si="1"/>
        <v/>
      </c>
      <c r="G28" s="99" t="str">
        <f t="shared" ca="1" si="1"/>
        <v/>
      </c>
      <c r="H28" s="99" t="str">
        <f t="shared" ca="1" si="1"/>
        <v/>
      </c>
      <c r="I28" s="99" t="str">
        <f t="shared" ca="1" si="1"/>
        <v/>
      </c>
      <c r="J28" s="99" t="str">
        <f t="shared" ca="1" si="1"/>
        <v/>
      </c>
      <c r="K28" s="99" t="str">
        <f t="shared" ca="1" si="1"/>
        <v/>
      </c>
      <c r="L28" s="99" t="str">
        <f t="shared" ca="1" si="1"/>
        <v/>
      </c>
      <c r="P28" s="167"/>
      <c r="Q28" s="167"/>
      <c r="R28" s="167"/>
      <c r="S28" s="167"/>
      <c r="T28" s="167"/>
      <c r="U28" s="167"/>
      <c r="V28" s="167"/>
      <c r="W28" s="167"/>
      <c r="X28" s="167"/>
      <c r="Y28" s="167"/>
      <c r="Z28" s="167"/>
    </row>
    <row r="29" spans="2:26" ht="10.199999999999999" customHeight="1">
      <c r="B29" s="97" t="str">
        <f>IF(Calculation!BE34="","",Calculation!BE34)</f>
        <v/>
      </c>
      <c r="C29" s="99" t="str">
        <f t="shared" ca="1" si="1"/>
        <v/>
      </c>
      <c r="D29" s="99" t="str">
        <f t="shared" ca="1" si="1"/>
        <v/>
      </c>
      <c r="E29" s="99" t="str">
        <f t="shared" ca="1" si="1"/>
        <v/>
      </c>
      <c r="F29" s="99" t="str">
        <f t="shared" ca="1" si="1"/>
        <v/>
      </c>
      <c r="G29" s="99" t="str">
        <f t="shared" ca="1" si="1"/>
        <v/>
      </c>
      <c r="H29" s="99" t="str">
        <f t="shared" ca="1" si="1"/>
        <v/>
      </c>
      <c r="I29" s="99" t="str">
        <f t="shared" ca="1" si="1"/>
        <v/>
      </c>
      <c r="J29" s="99" t="str">
        <f t="shared" ca="1" si="1"/>
        <v/>
      </c>
      <c r="K29" s="99" t="str">
        <f t="shared" ca="1" si="1"/>
        <v/>
      </c>
      <c r="L29" s="99" t="str">
        <f t="shared" ca="1" si="1"/>
        <v/>
      </c>
      <c r="P29" s="167"/>
      <c r="Q29" s="167"/>
      <c r="R29" s="167"/>
      <c r="S29" s="167"/>
      <c r="T29" s="167"/>
      <c r="U29" s="167"/>
      <c r="V29" s="167"/>
      <c r="W29" s="167"/>
      <c r="X29" s="167"/>
      <c r="Y29" s="167"/>
      <c r="Z29" s="167"/>
    </row>
    <row r="30" spans="2:26" ht="10.199999999999999" customHeight="1">
      <c r="B30" s="97" t="str">
        <f>IF(Calculation!BE35="","",Calculation!BE35)</f>
        <v/>
      </c>
      <c r="C30" s="99" t="str">
        <f t="shared" ca="1" si="1"/>
        <v/>
      </c>
      <c r="D30" s="99" t="str">
        <f t="shared" ca="1" si="1"/>
        <v/>
      </c>
      <c r="E30" s="99" t="str">
        <f t="shared" ca="1" si="1"/>
        <v/>
      </c>
      <c r="F30" s="99" t="str">
        <f t="shared" ca="1" si="1"/>
        <v/>
      </c>
      <c r="G30" s="99" t="str">
        <f t="shared" ca="1" si="1"/>
        <v/>
      </c>
      <c r="H30" s="99" t="str">
        <f t="shared" ca="1" si="1"/>
        <v/>
      </c>
      <c r="I30" s="99" t="str">
        <f t="shared" ca="1" si="1"/>
        <v/>
      </c>
      <c r="J30" s="99" t="str">
        <f t="shared" ca="1" si="1"/>
        <v/>
      </c>
      <c r="K30" s="99" t="str">
        <f t="shared" ca="1" si="1"/>
        <v/>
      </c>
      <c r="L30" s="99" t="str">
        <f t="shared" ca="1" si="1"/>
        <v/>
      </c>
      <c r="P30" s="169"/>
      <c r="Q30" s="169"/>
      <c r="R30" s="169"/>
      <c r="S30" s="169"/>
      <c r="T30" s="169"/>
      <c r="U30" s="169"/>
      <c r="V30" s="169"/>
      <c r="W30" s="169"/>
      <c r="X30" s="169"/>
      <c r="Y30" s="169"/>
      <c r="Z30" s="169"/>
    </row>
    <row r="31" spans="2:26" ht="10.199999999999999" customHeight="1">
      <c r="B31" s="97" t="str">
        <f>IF(Calculation!BE36="","",Calculation!BE36)</f>
        <v/>
      </c>
      <c r="C31" s="99" t="str">
        <f t="shared" ca="1" si="1"/>
        <v/>
      </c>
      <c r="D31" s="99" t="str">
        <f t="shared" ca="1" si="1"/>
        <v/>
      </c>
      <c r="E31" s="99" t="str">
        <f t="shared" ca="1" si="1"/>
        <v/>
      </c>
      <c r="F31" s="99" t="str">
        <f t="shared" ca="1" si="1"/>
        <v/>
      </c>
      <c r="G31" s="99" t="str">
        <f t="shared" ca="1" si="1"/>
        <v/>
      </c>
      <c r="H31" s="99" t="str">
        <f t="shared" ca="1" si="1"/>
        <v/>
      </c>
      <c r="I31" s="99" t="str">
        <f t="shared" ca="1" si="1"/>
        <v/>
      </c>
      <c r="J31" s="99" t="str">
        <f t="shared" ca="1" si="1"/>
        <v/>
      </c>
      <c r="K31" s="99" t="str">
        <f t="shared" ca="1" si="1"/>
        <v/>
      </c>
      <c r="L31" s="99" t="str">
        <f t="shared" ca="1" si="1"/>
        <v/>
      </c>
      <c r="P31" s="167"/>
      <c r="Q31" s="167"/>
      <c r="R31" s="167"/>
      <c r="S31" s="167"/>
      <c r="T31" s="167"/>
      <c r="U31" s="167"/>
      <c r="V31" s="167"/>
      <c r="W31" s="167"/>
      <c r="X31" s="167"/>
      <c r="Y31" s="167"/>
      <c r="Z31" s="167"/>
    </row>
    <row r="32" spans="2:26" ht="10.199999999999999" customHeight="1">
      <c r="B32" s="97" t="str">
        <f>IF(Calculation!BE37="","",Calculation!BE37)</f>
        <v/>
      </c>
      <c r="C32" s="99" t="str">
        <f t="shared" ca="1" si="1"/>
        <v/>
      </c>
      <c r="D32" s="99" t="str">
        <f t="shared" ca="1" si="1"/>
        <v/>
      </c>
      <c r="E32" s="99" t="str">
        <f t="shared" ca="1" si="1"/>
        <v/>
      </c>
      <c r="F32" s="99" t="str">
        <f t="shared" ca="1" si="1"/>
        <v/>
      </c>
      <c r="G32" s="99" t="str">
        <f t="shared" ca="1" si="1"/>
        <v/>
      </c>
      <c r="H32" s="99" t="str">
        <f t="shared" ca="1" si="1"/>
        <v/>
      </c>
      <c r="I32" s="99" t="str">
        <f t="shared" ca="1" si="1"/>
        <v/>
      </c>
      <c r="J32" s="99" t="str">
        <f t="shared" ca="1" si="1"/>
        <v/>
      </c>
      <c r="K32" s="99" t="str">
        <f t="shared" ca="1" si="1"/>
        <v/>
      </c>
      <c r="L32" s="99" t="str">
        <f t="shared" ca="1" si="1"/>
        <v/>
      </c>
      <c r="P32" s="167"/>
      <c r="Q32" s="167"/>
      <c r="R32" s="167"/>
      <c r="S32" s="167"/>
      <c r="T32" s="167"/>
      <c r="U32" s="167"/>
      <c r="V32" s="167"/>
      <c r="W32" s="167"/>
      <c r="X32" s="167"/>
      <c r="Y32" s="167"/>
      <c r="Z32" s="167"/>
    </row>
    <row r="33" spans="2:26" ht="10.199999999999999" customHeight="1">
      <c r="B33" s="97" t="str">
        <f>IF(Calculation!BE38="","",Calculation!BE38)</f>
        <v/>
      </c>
      <c r="C33" s="99" t="str">
        <f t="shared" ca="1" si="1"/>
        <v/>
      </c>
      <c r="D33" s="99" t="str">
        <f t="shared" ca="1" si="1"/>
        <v/>
      </c>
      <c r="E33" s="99" t="str">
        <f t="shared" ca="1" si="1"/>
        <v/>
      </c>
      <c r="F33" s="99" t="str">
        <f t="shared" ca="1" si="1"/>
        <v/>
      </c>
      <c r="G33" s="99" t="str">
        <f t="shared" ca="1" si="1"/>
        <v/>
      </c>
      <c r="H33" s="99" t="str">
        <f t="shared" ca="1" si="1"/>
        <v/>
      </c>
      <c r="I33" s="99" t="str">
        <f t="shared" ca="1" si="1"/>
        <v/>
      </c>
      <c r="J33" s="99" t="str">
        <f t="shared" ca="1" si="1"/>
        <v/>
      </c>
      <c r="K33" s="99" t="str">
        <f t="shared" ca="1" si="1"/>
        <v/>
      </c>
      <c r="L33" s="99" t="str">
        <f t="shared" ca="1" si="1"/>
        <v/>
      </c>
      <c r="P33" s="169"/>
      <c r="Q33" s="169"/>
      <c r="R33" s="169"/>
      <c r="S33" s="169"/>
      <c r="T33" s="169"/>
      <c r="U33" s="169"/>
      <c r="V33" s="169"/>
      <c r="W33" s="169"/>
      <c r="X33" s="169"/>
      <c r="Y33" s="169"/>
      <c r="Z33" s="169"/>
    </row>
    <row r="34" spans="2:26" ht="10.199999999999999" customHeight="1">
      <c r="B34" s="97" t="str">
        <f>IF(Calculation!BE39="","",Calculation!BE39)</f>
        <v/>
      </c>
      <c r="C34" s="99" t="str">
        <f t="shared" ca="1" si="1"/>
        <v/>
      </c>
      <c r="D34" s="99" t="str">
        <f t="shared" ca="1" si="1"/>
        <v/>
      </c>
      <c r="E34" s="99" t="str">
        <f t="shared" ca="1" si="1"/>
        <v/>
      </c>
      <c r="F34" s="99" t="str">
        <f t="shared" ca="1" si="1"/>
        <v/>
      </c>
      <c r="G34" s="99" t="str">
        <f t="shared" ca="1" si="1"/>
        <v/>
      </c>
      <c r="H34" s="99" t="str">
        <f t="shared" ca="1" si="1"/>
        <v/>
      </c>
      <c r="I34" s="99" t="str">
        <f t="shared" ca="1" si="1"/>
        <v/>
      </c>
      <c r="J34" s="99" t="str">
        <f t="shared" ca="1" si="1"/>
        <v/>
      </c>
      <c r="K34" s="99" t="str">
        <f t="shared" ca="1" si="1"/>
        <v/>
      </c>
      <c r="L34" s="99" t="str">
        <f t="shared" ca="1" si="1"/>
        <v/>
      </c>
      <c r="P34" s="167"/>
      <c r="Q34" s="167"/>
      <c r="R34" s="167"/>
      <c r="S34" s="167"/>
      <c r="T34" s="167"/>
      <c r="U34" s="167"/>
      <c r="V34" s="167"/>
      <c r="W34" s="167"/>
      <c r="X34" s="167"/>
      <c r="Y34" s="167"/>
      <c r="Z34" s="167"/>
    </row>
    <row r="35" spans="2:26" ht="10.199999999999999" customHeight="1">
      <c r="B35" s="97" t="str">
        <f>IF(Calculation!BE40="","",Calculation!BE40)</f>
        <v/>
      </c>
      <c r="C35" s="99" t="str">
        <f t="shared" ca="1" si="1"/>
        <v/>
      </c>
      <c r="D35" s="99" t="str">
        <f t="shared" ca="1" si="1"/>
        <v/>
      </c>
      <c r="E35" s="99" t="str">
        <f t="shared" ca="1" si="1"/>
        <v/>
      </c>
      <c r="F35" s="99" t="str">
        <f t="shared" ca="1" si="1"/>
        <v/>
      </c>
      <c r="G35" s="99" t="str">
        <f t="shared" ca="1" si="1"/>
        <v/>
      </c>
      <c r="H35" s="99" t="str">
        <f t="shared" ca="1" si="1"/>
        <v/>
      </c>
      <c r="I35" s="99" t="str">
        <f t="shared" ca="1" si="1"/>
        <v/>
      </c>
      <c r="J35" s="99" t="str">
        <f t="shared" ca="1" si="1"/>
        <v/>
      </c>
      <c r="K35" s="99" t="str">
        <f t="shared" ca="1" si="1"/>
        <v/>
      </c>
      <c r="L35" s="99" t="str">
        <f t="shared" ca="1" si="1"/>
        <v/>
      </c>
      <c r="P35" s="167"/>
      <c r="Q35" s="167"/>
      <c r="R35" s="167"/>
      <c r="S35" s="167"/>
      <c r="T35" s="167"/>
      <c r="U35" s="167"/>
      <c r="V35" s="167"/>
      <c r="W35" s="167"/>
      <c r="X35" s="167"/>
      <c r="Y35" s="167"/>
      <c r="Z35" s="167"/>
    </row>
    <row r="36" spans="2:26" ht="10.199999999999999" customHeight="1">
      <c r="B36" s="97" t="str">
        <f>IF(Calculation!BE41="","",Calculation!BE41)</f>
        <v/>
      </c>
      <c r="C36" s="99" t="str">
        <f t="shared" ca="1" si="1"/>
        <v/>
      </c>
      <c r="D36" s="99" t="str">
        <f t="shared" ca="1" si="1"/>
        <v/>
      </c>
      <c r="E36" s="99" t="str">
        <f t="shared" ca="1" si="1"/>
        <v/>
      </c>
      <c r="F36" s="99" t="str">
        <f t="shared" ca="1" si="1"/>
        <v/>
      </c>
      <c r="G36" s="99" t="str">
        <f t="shared" ca="1" si="1"/>
        <v/>
      </c>
      <c r="H36" s="99" t="str">
        <f t="shared" ca="1" si="1"/>
        <v/>
      </c>
      <c r="I36" s="99" t="str">
        <f t="shared" ca="1" si="1"/>
        <v/>
      </c>
      <c r="J36" s="99" t="str">
        <f t="shared" ca="1" si="1"/>
        <v/>
      </c>
      <c r="K36" s="99" t="str">
        <f t="shared" ca="1" si="1"/>
        <v/>
      </c>
      <c r="L36" s="99" t="str">
        <f t="shared" ca="1" si="1"/>
        <v/>
      </c>
      <c r="P36" s="169"/>
      <c r="Q36" s="169"/>
      <c r="R36" s="169"/>
      <c r="S36" s="169"/>
      <c r="T36" s="169"/>
      <c r="U36" s="169"/>
      <c r="V36" s="169"/>
      <c r="W36" s="169"/>
      <c r="X36" s="169"/>
      <c r="Y36" s="169"/>
      <c r="Z36" s="169"/>
    </row>
    <row r="37" spans="2:26" ht="10.199999999999999" customHeight="1">
      <c r="B37" s="97" t="str">
        <f>IF(Calculation!BE42="","",Calculation!BE42)</f>
        <v/>
      </c>
      <c r="C37" s="99" t="str">
        <f t="shared" ca="1" si="1"/>
        <v/>
      </c>
      <c r="D37" s="99" t="str">
        <f t="shared" ca="1" si="1"/>
        <v/>
      </c>
      <c r="E37" s="99" t="str">
        <f t="shared" ca="1" si="1"/>
        <v/>
      </c>
      <c r="F37" s="99" t="str">
        <f t="shared" ca="1" si="1"/>
        <v/>
      </c>
      <c r="G37" s="99" t="str">
        <f t="shared" ca="1" si="1"/>
        <v/>
      </c>
      <c r="H37" s="99" t="str">
        <f t="shared" ca="1" si="1"/>
        <v/>
      </c>
      <c r="I37" s="99" t="str">
        <f t="shared" ca="1" si="1"/>
        <v/>
      </c>
      <c r="J37" s="99" t="str">
        <f t="shared" ca="1" si="1"/>
        <v/>
      </c>
      <c r="K37" s="99" t="str">
        <f t="shared" ca="1" si="1"/>
        <v/>
      </c>
      <c r="L37" s="99" t="str">
        <f t="shared" ca="1" si="1"/>
        <v/>
      </c>
      <c r="P37" s="167"/>
      <c r="Q37" s="167"/>
      <c r="R37" s="167"/>
      <c r="S37" s="167"/>
      <c r="T37" s="167"/>
      <c r="U37" s="167"/>
      <c r="V37" s="167"/>
      <c r="W37" s="167"/>
      <c r="X37" s="167"/>
      <c r="Y37" s="167"/>
      <c r="Z37" s="167"/>
    </row>
    <row r="38" spans="2:26" ht="10.199999999999999" customHeight="1">
      <c r="B38" s="97" t="str">
        <f>IF(Calculation!BE43="","",Calculation!BE43)</f>
        <v/>
      </c>
      <c r="C38" s="99" t="str">
        <f t="shared" ref="C38:L53" ca="1" si="2">IF($M$4=0,"",VLOOKUP($B38,INDIRECT("$P$1:$Z$"&amp;$M$4),COLUMN()-1,0))</f>
        <v/>
      </c>
      <c r="D38" s="99" t="str">
        <f t="shared" ca="1" si="2"/>
        <v/>
      </c>
      <c r="E38" s="99" t="str">
        <f t="shared" ca="1" si="2"/>
        <v/>
      </c>
      <c r="F38" s="99" t="str">
        <f t="shared" ca="1" si="2"/>
        <v/>
      </c>
      <c r="G38" s="99" t="str">
        <f t="shared" ca="1" si="2"/>
        <v/>
      </c>
      <c r="H38" s="99" t="str">
        <f t="shared" ca="1" si="2"/>
        <v/>
      </c>
      <c r="I38" s="99" t="str">
        <f t="shared" ca="1" si="2"/>
        <v/>
      </c>
      <c r="J38" s="99" t="str">
        <f t="shared" ca="1" si="2"/>
        <v/>
      </c>
      <c r="K38" s="99" t="str">
        <f t="shared" ca="1" si="2"/>
        <v/>
      </c>
      <c r="L38" s="99" t="str">
        <f t="shared" ca="1" si="2"/>
        <v/>
      </c>
      <c r="P38" s="167"/>
      <c r="Q38" s="167"/>
      <c r="R38" s="167"/>
      <c r="S38" s="167"/>
      <c r="T38" s="167"/>
      <c r="U38" s="167"/>
      <c r="V38" s="167"/>
      <c r="W38" s="167"/>
      <c r="X38" s="167"/>
      <c r="Y38" s="167"/>
      <c r="Z38" s="167"/>
    </row>
    <row r="39" spans="2:26" ht="10.199999999999999" customHeight="1">
      <c r="B39" s="97" t="str">
        <f>IF(Calculation!BE44="","",Calculation!BE44)</f>
        <v/>
      </c>
      <c r="C39" s="99" t="str">
        <f t="shared" ca="1" si="2"/>
        <v/>
      </c>
      <c r="D39" s="99" t="str">
        <f t="shared" ca="1" si="2"/>
        <v/>
      </c>
      <c r="E39" s="99" t="str">
        <f t="shared" ca="1" si="2"/>
        <v/>
      </c>
      <c r="F39" s="99" t="str">
        <f t="shared" ca="1" si="2"/>
        <v/>
      </c>
      <c r="G39" s="99" t="str">
        <f t="shared" ca="1" si="2"/>
        <v/>
      </c>
      <c r="H39" s="99" t="str">
        <f t="shared" ca="1" si="2"/>
        <v/>
      </c>
      <c r="I39" s="99" t="str">
        <f t="shared" ca="1" si="2"/>
        <v/>
      </c>
      <c r="J39" s="99" t="str">
        <f t="shared" ca="1" si="2"/>
        <v/>
      </c>
      <c r="K39" s="99" t="str">
        <f t="shared" ca="1" si="2"/>
        <v/>
      </c>
      <c r="L39" s="99" t="str">
        <f t="shared" ca="1" si="2"/>
        <v/>
      </c>
      <c r="P39" s="169"/>
      <c r="Q39" s="169"/>
      <c r="R39" s="169"/>
      <c r="S39" s="169"/>
      <c r="T39" s="169"/>
      <c r="U39" s="169"/>
      <c r="V39" s="169"/>
      <c r="W39" s="169"/>
      <c r="X39" s="169"/>
      <c r="Y39" s="169"/>
      <c r="Z39" s="169"/>
    </row>
    <row r="40" spans="2:26" ht="10.199999999999999" customHeight="1">
      <c r="B40" s="97" t="str">
        <f>IF(Calculation!BE45="","",Calculation!BE45)</f>
        <v/>
      </c>
      <c r="C40" s="99" t="str">
        <f t="shared" ca="1" si="2"/>
        <v/>
      </c>
      <c r="D40" s="99" t="str">
        <f t="shared" ca="1" si="2"/>
        <v/>
      </c>
      <c r="E40" s="99" t="str">
        <f t="shared" ca="1" si="2"/>
        <v/>
      </c>
      <c r="F40" s="99" t="str">
        <f t="shared" ca="1" si="2"/>
        <v/>
      </c>
      <c r="G40" s="99" t="str">
        <f t="shared" ca="1" si="2"/>
        <v/>
      </c>
      <c r="H40" s="99" t="str">
        <f t="shared" ca="1" si="2"/>
        <v/>
      </c>
      <c r="I40" s="99" t="str">
        <f t="shared" ca="1" si="2"/>
        <v/>
      </c>
      <c r="J40" s="99" t="str">
        <f t="shared" ca="1" si="2"/>
        <v/>
      </c>
      <c r="K40" s="99" t="str">
        <f t="shared" ca="1" si="2"/>
        <v/>
      </c>
      <c r="L40" s="99" t="str">
        <f t="shared" ca="1" si="2"/>
        <v/>
      </c>
      <c r="P40" s="167"/>
      <c r="Q40" s="167"/>
      <c r="R40" s="167"/>
      <c r="S40" s="167"/>
      <c r="T40" s="167"/>
      <c r="U40" s="167"/>
      <c r="V40" s="167"/>
      <c r="W40" s="167"/>
      <c r="X40" s="167"/>
      <c r="Y40" s="167"/>
      <c r="Z40" s="167"/>
    </row>
    <row r="41" spans="2:26" ht="10.199999999999999" customHeight="1">
      <c r="B41" s="97" t="str">
        <f>IF(Calculation!BE47="","",Calculation!BE47)</f>
        <v/>
      </c>
      <c r="C41" s="99" t="str">
        <f t="shared" ca="1" si="2"/>
        <v/>
      </c>
      <c r="D41" s="99" t="str">
        <f t="shared" ca="1" si="2"/>
        <v/>
      </c>
      <c r="E41" s="99" t="str">
        <f t="shared" ca="1" si="2"/>
        <v/>
      </c>
      <c r="F41" s="99" t="str">
        <f t="shared" ca="1" si="2"/>
        <v/>
      </c>
      <c r="G41" s="99" t="str">
        <f t="shared" ca="1" si="2"/>
        <v/>
      </c>
      <c r="H41" s="99" t="str">
        <f t="shared" ca="1" si="2"/>
        <v/>
      </c>
      <c r="I41" s="99" t="str">
        <f t="shared" ca="1" si="2"/>
        <v/>
      </c>
      <c r="J41" s="99" t="str">
        <f t="shared" ca="1" si="2"/>
        <v/>
      </c>
      <c r="K41" s="99" t="str">
        <f t="shared" ca="1" si="2"/>
        <v/>
      </c>
      <c r="L41" s="99" t="str">
        <f t="shared" ca="1" si="2"/>
        <v/>
      </c>
      <c r="P41" s="167"/>
      <c r="Q41" s="167"/>
      <c r="R41" s="167"/>
      <c r="S41" s="167"/>
      <c r="T41" s="167"/>
      <c r="U41" s="167"/>
      <c r="V41" s="167"/>
      <c r="W41" s="167"/>
      <c r="X41" s="167"/>
      <c r="Y41" s="167"/>
      <c r="Z41" s="167"/>
    </row>
    <row r="42" spans="2:26" ht="10.199999999999999" customHeight="1">
      <c r="B42" s="97" t="str">
        <f>IF(Calculation!BE48="","",Calculation!BE48)</f>
        <v/>
      </c>
      <c r="C42" s="99" t="str">
        <f t="shared" ca="1" si="2"/>
        <v/>
      </c>
      <c r="D42" s="99" t="str">
        <f t="shared" ca="1" si="2"/>
        <v/>
      </c>
      <c r="E42" s="99" t="str">
        <f t="shared" ca="1" si="2"/>
        <v/>
      </c>
      <c r="F42" s="99" t="str">
        <f t="shared" ca="1" si="2"/>
        <v/>
      </c>
      <c r="G42" s="99" t="str">
        <f t="shared" ca="1" si="2"/>
        <v/>
      </c>
      <c r="H42" s="99" t="str">
        <f t="shared" ca="1" si="2"/>
        <v/>
      </c>
      <c r="I42" s="99" t="str">
        <f t="shared" ca="1" si="2"/>
        <v/>
      </c>
      <c r="J42" s="99" t="str">
        <f t="shared" ca="1" si="2"/>
        <v/>
      </c>
      <c r="K42" s="99" t="str">
        <f t="shared" ca="1" si="2"/>
        <v/>
      </c>
      <c r="L42" s="99" t="str">
        <f t="shared" ca="1" si="2"/>
        <v/>
      </c>
      <c r="P42" s="169"/>
      <c r="Q42" s="169"/>
      <c r="R42" s="169"/>
      <c r="S42" s="169"/>
      <c r="T42" s="169"/>
      <c r="U42" s="169"/>
      <c r="V42" s="169"/>
      <c r="W42" s="169"/>
      <c r="X42" s="169"/>
      <c r="Y42" s="169"/>
      <c r="Z42" s="169"/>
    </row>
    <row r="43" spans="2:26" ht="10.199999999999999" customHeight="1">
      <c r="B43" s="97" t="str">
        <f>IF(Calculation!BE49="","",Calculation!BE49)</f>
        <v/>
      </c>
      <c r="C43" s="99" t="str">
        <f t="shared" ca="1" si="2"/>
        <v/>
      </c>
      <c r="D43" s="99" t="str">
        <f t="shared" ca="1" si="2"/>
        <v/>
      </c>
      <c r="E43" s="99" t="str">
        <f t="shared" ca="1" si="2"/>
        <v/>
      </c>
      <c r="F43" s="99" t="str">
        <f t="shared" ca="1" si="2"/>
        <v/>
      </c>
      <c r="G43" s="99" t="str">
        <f t="shared" ca="1" si="2"/>
        <v/>
      </c>
      <c r="H43" s="99" t="str">
        <f t="shared" ca="1" si="2"/>
        <v/>
      </c>
      <c r="I43" s="99" t="str">
        <f t="shared" ca="1" si="2"/>
        <v/>
      </c>
      <c r="J43" s="99" t="str">
        <f t="shared" ca="1" si="2"/>
        <v/>
      </c>
      <c r="K43" s="99" t="str">
        <f t="shared" ca="1" si="2"/>
        <v/>
      </c>
      <c r="L43" s="99" t="str">
        <f t="shared" ca="1" si="2"/>
        <v/>
      </c>
      <c r="P43" s="167"/>
      <c r="Q43" s="167"/>
      <c r="R43" s="167"/>
      <c r="S43" s="167"/>
      <c r="T43" s="167"/>
      <c r="U43" s="167"/>
      <c r="V43" s="167"/>
      <c r="W43" s="167"/>
      <c r="X43" s="167"/>
      <c r="Y43" s="167"/>
      <c r="Z43" s="167"/>
    </row>
    <row r="44" spans="2:26" ht="10.199999999999999" customHeight="1">
      <c r="B44" s="97" t="str">
        <f>IF(Calculation!BE50="","",Calculation!BE50)</f>
        <v/>
      </c>
      <c r="C44" s="99" t="str">
        <f t="shared" ca="1" si="2"/>
        <v/>
      </c>
      <c r="D44" s="99" t="str">
        <f t="shared" ca="1" si="2"/>
        <v/>
      </c>
      <c r="E44" s="99" t="str">
        <f t="shared" ca="1" si="2"/>
        <v/>
      </c>
      <c r="F44" s="99" t="str">
        <f t="shared" ca="1" si="2"/>
        <v/>
      </c>
      <c r="G44" s="99" t="str">
        <f t="shared" ca="1" si="2"/>
        <v/>
      </c>
      <c r="H44" s="99" t="str">
        <f t="shared" ca="1" si="2"/>
        <v/>
      </c>
      <c r="I44" s="99" t="str">
        <f t="shared" ca="1" si="2"/>
        <v/>
      </c>
      <c r="J44" s="99" t="str">
        <f t="shared" ca="1" si="2"/>
        <v/>
      </c>
      <c r="K44" s="99" t="str">
        <f t="shared" ca="1" si="2"/>
        <v/>
      </c>
      <c r="L44" s="99" t="str">
        <f t="shared" ca="1" si="2"/>
        <v/>
      </c>
      <c r="P44" s="167"/>
      <c r="Q44" s="167"/>
      <c r="R44" s="167"/>
      <c r="S44" s="167"/>
      <c r="T44" s="167"/>
      <c r="U44" s="167"/>
      <c r="V44" s="167"/>
      <c r="W44" s="167"/>
      <c r="X44" s="167"/>
      <c r="Y44" s="167"/>
      <c r="Z44" s="167"/>
    </row>
    <row r="45" spans="2:26" ht="10.199999999999999" customHeight="1">
      <c r="B45" s="97" t="str">
        <f>IF(Calculation!BE51="","",Calculation!BE51)</f>
        <v/>
      </c>
      <c r="C45" s="99" t="str">
        <f t="shared" ca="1" si="2"/>
        <v/>
      </c>
      <c r="D45" s="99" t="str">
        <f t="shared" ca="1" si="2"/>
        <v/>
      </c>
      <c r="E45" s="99" t="str">
        <f t="shared" ca="1" si="2"/>
        <v/>
      </c>
      <c r="F45" s="99" t="str">
        <f t="shared" ca="1" si="2"/>
        <v/>
      </c>
      <c r="G45" s="99" t="str">
        <f t="shared" ca="1" si="2"/>
        <v/>
      </c>
      <c r="H45" s="99" t="str">
        <f t="shared" ca="1" si="2"/>
        <v/>
      </c>
      <c r="I45" s="99" t="str">
        <f t="shared" ca="1" si="2"/>
        <v/>
      </c>
      <c r="J45" s="99" t="str">
        <f t="shared" ca="1" si="2"/>
        <v/>
      </c>
      <c r="K45" s="99" t="str">
        <f t="shared" ca="1" si="2"/>
        <v/>
      </c>
      <c r="L45" s="99" t="str">
        <f t="shared" ca="1" si="2"/>
        <v/>
      </c>
      <c r="P45" s="169"/>
      <c r="Q45" s="169"/>
      <c r="R45" s="169"/>
      <c r="S45" s="169"/>
      <c r="T45" s="169"/>
      <c r="U45" s="169"/>
      <c r="V45" s="169"/>
      <c r="W45" s="169"/>
      <c r="X45" s="169"/>
      <c r="Y45" s="169"/>
      <c r="Z45" s="169"/>
    </row>
    <row r="46" spans="2:26" ht="10.199999999999999" customHeight="1">
      <c r="B46" s="97" t="str">
        <f>IF(Calculation!BE52="","",Calculation!BE52)</f>
        <v/>
      </c>
      <c r="C46" s="99" t="str">
        <f t="shared" ca="1" si="2"/>
        <v/>
      </c>
      <c r="D46" s="99" t="str">
        <f t="shared" ca="1" si="2"/>
        <v/>
      </c>
      <c r="E46" s="99" t="str">
        <f t="shared" ca="1" si="2"/>
        <v/>
      </c>
      <c r="F46" s="99" t="str">
        <f t="shared" ca="1" si="2"/>
        <v/>
      </c>
      <c r="G46" s="99" t="str">
        <f t="shared" ca="1" si="2"/>
        <v/>
      </c>
      <c r="H46" s="99" t="str">
        <f t="shared" ca="1" si="2"/>
        <v/>
      </c>
      <c r="I46" s="99" t="str">
        <f t="shared" ca="1" si="2"/>
        <v/>
      </c>
      <c r="J46" s="99" t="str">
        <f t="shared" ca="1" si="2"/>
        <v/>
      </c>
      <c r="K46" s="99" t="str">
        <f t="shared" ca="1" si="2"/>
        <v/>
      </c>
      <c r="L46" s="99" t="str">
        <f t="shared" ca="1" si="2"/>
        <v/>
      </c>
      <c r="P46" s="167"/>
      <c r="Q46" s="167"/>
      <c r="R46" s="167"/>
      <c r="S46" s="167"/>
      <c r="T46" s="167"/>
      <c r="U46" s="167"/>
      <c r="V46" s="167"/>
      <c r="W46" s="167"/>
      <c r="X46" s="167"/>
      <c r="Y46" s="167"/>
      <c r="Z46" s="167"/>
    </row>
    <row r="47" spans="2:26" ht="10.199999999999999" customHeight="1">
      <c r="B47" s="97" t="str">
        <f>IF(Calculation!BE53="","",Calculation!BE53)</f>
        <v/>
      </c>
      <c r="C47" s="99" t="str">
        <f t="shared" ca="1" si="2"/>
        <v/>
      </c>
      <c r="D47" s="99" t="str">
        <f t="shared" ca="1" si="2"/>
        <v/>
      </c>
      <c r="E47" s="99" t="str">
        <f t="shared" ca="1" si="2"/>
        <v/>
      </c>
      <c r="F47" s="99" t="str">
        <f t="shared" ca="1" si="2"/>
        <v/>
      </c>
      <c r="G47" s="99" t="str">
        <f t="shared" ca="1" si="2"/>
        <v/>
      </c>
      <c r="H47" s="99" t="str">
        <f t="shared" ca="1" si="2"/>
        <v/>
      </c>
      <c r="I47" s="99" t="str">
        <f t="shared" ca="1" si="2"/>
        <v/>
      </c>
      <c r="J47" s="99" t="str">
        <f t="shared" ca="1" si="2"/>
        <v/>
      </c>
      <c r="K47" s="99" t="str">
        <f t="shared" ca="1" si="2"/>
        <v/>
      </c>
      <c r="L47" s="99" t="str">
        <f t="shared" ca="1" si="2"/>
        <v/>
      </c>
      <c r="P47" s="167"/>
      <c r="Q47" s="167"/>
      <c r="R47" s="167"/>
      <c r="S47" s="167"/>
      <c r="T47" s="167"/>
      <c r="U47" s="167"/>
      <c r="V47" s="167"/>
      <c r="W47" s="167"/>
      <c r="X47" s="167"/>
      <c r="Y47" s="167"/>
      <c r="Z47" s="167"/>
    </row>
    <row r="48" spans="2:26" ht="10.199999999999999" customHeight="1">
      <c r="B48" s="97" t="str">
        <f>IF(Calculation!BE54="","",Calculation!BE54)</f>
        <v/>
      </c>
      <c r="C48" s="99" t="str">
        <f t="shared" ca="1" si="2"/>
        <v/>
      </c>
      <c r="D48" s="99" t="str">
        <f t="shared" ca="1" si="2"/>
        <v/>
      </c>
      <c r="E48" s="99" t="str">
        <f t="shared" ca="1" si="2"/>
        <v/>
      </c>
      <c r="F48" s="99" t="str">
        <f t="shared" ca="1" si="2"/>
        <v/>
      </c>
      <c r="G48" s="99" t="str">
        <f t="shared" ca="1" si="2"/>
        <v/>
      </c>
      <c r="H48" s="99" t="str">
        <f t="shared" ca="1" si="2"/>
        <v/>
      </c>
      <c r="I48" s="99" t="str">
        <f t="shared" ca="1" si="2"/>
        <v/>
      </c>
      <c r="J48" s="99" t="str">
        <f t="shared" ca="1" si="2"/>
        <v/>
      </c>
      <c r="K48" s="99" t="str">
        <f t="shared" ca="1" si="2"/>
        <v/>
      </c>
      <c r="L48" s="99" t="str">
        <f t="shared" ca="1" si="2"/>
        <v/>
      </c>
      <c r="P48" s="169"/>
      <c r="Q48" s="169"/>
      <c r="R48" s="169"/>
      <c r="S48" s="169"/>
      <c r="T48" s="169"/>
      <c r="U48" s="169"/>
      <c r="V48" s="169"/>
      <c r="W48" s="169"/>
      <c r="X48" s="169"/>
      <c r="Y48" s="169"/>
      <c r="Z48" s="169"/>
    </row>
    <row r="49" spans="2:26" ht="10.199999999999999" customHeight="1">
      <c r="B49" s="97" t="str">
        <f>IF(Calculation!BE55="","",Calculation!BE55)</f>
        <v/>
      </c>
      <c r="C49" s="99" t="str">
        <f t="shared" ca="1" si="2"/>
        <v/>
      </c>
      <c r="D49" s="99" t="str">
        <f t="shared" ca="1" si="2"/>
        <v/>
      </c>
      <c r="E49" s="99" t="str">
        <f t="shared" ca="1" si="2"/>
        <v/>
      </c>
      <c r="F49" s="99" t="str">
        <f t="shared" ca="1" si="2"/>
        <v/>
      </c>
      <c r="G49" s="99" t="str">
        <f t="shared" ca="1" si="2"/>
        <v/>
      </c>
      <c r="H49" s="99" t="str">
        <f t="shared" ca="1" si="2"/>
        <v/>
      </c>
      <c r="I49" s="99" t="str">
        <f t="shared" ca="1" si="2"/>
        <v/>
      </c>
      <c r="J49" s="99" t="str">
        <f t="shared" ca="1" si="2"/>
        <v/>
      </c>
      <c r="K49" s="99" t="str">
        <f t="shared" ca="1" si="2"/>
        <v/>
      </c>
      <c r="L49" s="99" t="str">
        <f t="shared" ca="1" si="2"/>
        <v/>
      </c>
      <c r="P49" s="167"/>
      <c r="Q49" s="167"/>
      <c r="R49" s="167"/>
      <c r="S49" s="167"/>
      <c r="T49" s="167"/>
      <c r="U49" s="167"/>
      <c r="V49" s="167"/>
      <c r="W49" s="167"/>
      <c r="X49" s="167"/>
      <c r="Y49" s="167"/>
      <c r="Z49" s="167"/>
    </row>
    <row r="50" spans="2:26" ht="10.199999999999999" customHeight="1">
      <c r="B50" s="97" t="str">
        <f>IF(Calculation!BE56="","",Calculation!BE56)</f>
        <v/>
      </c>
      <c r="C50" s="99" t="str">
        <f t="shared" ca="1" si="2"/>
        <v/>
      </c>
      <c r="D50" s="99" t="str">
        <f t="shared" ca="1" si="2"/>
        <v/>
      </c>
      <c r="E50" s="99" t="str">
        <f t="shared" ca="1" si="2"/>
        <v/>
      </c>
      <c r="F50" s="99" t="str">
        <f t="shared" ca="1" si="2"/>
        <v/>
      </c>
      <c r="G50" s="99" t="str">
        <f t="shared" ca="1" si="2"/>
        <v/>
      </c>
      <c r="H50" s="99" t="str">
        <f t="shared" ca="1" si="2"/>
        <v/>
      </c>
      <c r="I50" s="99" t="str">
        <f t="shared" ca="1" si="2"/>
        <v/>
      </c>
      <c r="J50" s="99" t="str">
        <f t="shared" ca="1" si="2"/>
        <v/>
      </c>
      <c r="K50" s="99" t="str">
        <f t="shared" ca="1" si="2"/>
        <v/>
      </c>
      <c r="L50" s="99" t="str">
        <f t="shared" ca="1" si="2"/>
        <v/>
      </c>
      <c r="P50" s="167"/>
      <c r="Q50" s="167"/>
      <c r="R50" s="167"/>
      <c r="S50" s="167"/>
      <c r="T50" s="167"/>
      <c r="U50" s="167"/>
      <c r="V50" s="167"/>
      <c r="W50" s="167"/>
      <c r="X50" s="167"/>
      <c r="Y50" s="167"/>
      <c r="Z50" s="167"/>
    </row>
    <row r="51" spans="2:26" ht="10.199999999999999" customHeight="1">
      <c r="B51" s="97" t="str">
        <f>IF(Calculation!BE57="","",Calculation!BE57)</f>
        <v/>
      </c>
      <c r="C51" s="99" t="str">
        <f t="shared" ca="1" si="2"/>
        <v/>
      </c>
      <c r="D51" s="99" t="str">
        <f t="shared" ca="1" si="2"/>
        <v/>
      </c>
      <c r="E51" s="99" t="str">
        <f t="shared" ca="1" si="2"/>
        <v/>
      </c>
      <c r="F51" s="99" t="str">
        <f t="shared" ca="1" si="2"/>
        <v/>
      </c>
      <c r="G51" s="99" t="str">
        <f t="shared" ca="1" si="2"/>
        <v/>
      </c>
      <c r="H51" s="99" t="str">
        <f t="shared" ca="1" si="2"/>
        <v/>
      </c>
      <c r="I51" s="99" t="str">
        <f t="shared" ca="1" si="2"/>
        <v/>
      </c>
      <c r="J51" s="99" t="str">
        <f t="shared" ca="1" si="2"/>
        <v/>
      </c>
      <c r="K51" s="99" t="str">
        <f t="shared" ca="1" si="2"/>
        <v/>
      </c>
      <c r="L51" s="99" t="str">
        <f t="shared" ca="1" si="2"/>
        <v/>
      </c>
      <c r="P51" s="169"/>
      <c r="Q51" s="169"/>
      <c r="R51" s="169"/>
      <c r="S51" s="169"/>
      <c r="T51" s="169"/>
      <c r="U51" s="169"/>
      <c r="V51" s="169"/>
      <c r="W51" s="169"/>
      <c r="X51" s="169"/>
      <c r="Y51" s="169"/>
      <c r="Z51" s="169"/>
    </row>
    <row r="52" spans="2:26" ht="10.199999999999999" customHeight="1">
      <c r="B52" s="97" t="str">
        <f>IF(Calculation!BE58="","",Calculation!BE58)</f>
        <v/>
      </c>
      <c r="C52" s="99" t="str">
        <f t="shared" ca="1" si="2"/>
        <v/>
      </c>
      <c r="D52" s="99" t="str">
        <f t="shared" ca="1" si="2"/>
        <v/>
      </c>
      <c r="E52" s="99" t="str">
        <f t="shared" ca="1" si="2"/>
        <v/>
      </c>
      <c r="F52" s="99" t="str">
        <f t="shared" ca="1" si="2"/>
        <v/>
      </c>
      <c r="G52" s="99" t="str">
        <f t="shared" ca="1" si="2"/>
        <v/>
      </c>
      <c r="H52" s="99" t="str">
        <f t="shared" ca="1" si="2"/>
        <v/>
      </c>
      <c r="I52" s="99" t="str">
        <f t="shared" ca="1" si="2"/>
        <v/>
      </c>
      <c r="J52" s="99" t="str">
        <f t="shared" ca="1" si="2"/>
        <v/>
      </c>
      <c r="K52" s="99" t="str">
        <f t="shared" ca="1" si="2"/>
        <v/>
      </c>
      <c r="L52" s="99" t="str">
        <f t="shared" ca="1" si="2"/>
        <v/>
      </c>
      <c r="P52" s="167"/>
      <c r="Q52" s="167"/>
      <c r="R52" s="167"/>
      <c r="S52" s="167"/>
      <c r="T52" s="167"/>
      <c r="U52" s="167"/>
      <c r="V52" s="167"/>
      <c r="W52" s="167"/>
      <c r="X52" s="167"/>
      <c r="Y52" s="167"/>
      <c r="Z52" s="167"/>
    </row>
    <row r="53" spans="2:26" ht="10.199999999999999" customHeight="1">
      <c r="B53" s="97" t="str">
        <f>IF(Calculation!BE59="","",Calculation!BE59)</f>
        <v/>
      </c>
      <c r="C53" s="99" t="str">
        <f t="shared" ca="1" si="2"/>
        <v/>
      </c>
      <c r="D53" s="99" t="str">
        <f t="shared" ca="1" si="2"/>
        <v/>
      </c>
      <c r="E53" s="99" t="str">
        <f t="shared" ca="1" si="2"/>
        <v/>
      </c>
      <c r="F53" s="99" t="str">
        <f t="shared" ca="1" si="2"/>
        <v/>
      </c>
      <c r="G53" s="99" t="str">
        <f t="shared" ca="1" si="2"/>
        <v/>
      </c>
      <c r="H53" s="99" t="str">
        <f t="shared" ca="1" si="2"/>
        <v/>
      </c>
      <c r="I53" s="99" t="str">
        <f t="shared" ca="1" si="2"/>
        <v/>
      </c>
      <c r="J53" s="99" t="str">
        <f t="shared" ca="1" si="2"/>
        <v/>
      </c>
      <c r="K53" s="99" t="str">
        <f t="shared" ca="1" si="2"/>
        <v/>
      </c>
      <c r="L53" s="99" t="str">
        <f t="shared" ca="1" si="2"/>
        <v/>
      </c>
      <c r="P53" s="167"/>
      <c r="Q53" s="167"/>
      <c r="R53" s="167"/>
      <c r="S53" s="167"/>
      <c r="T53" s="167"/>
      <c r="U53" s="167"/>
      <c r="V53" s="167"/>
      <c r="W53" s="167"/>
      <c r="X53" s="167"/>
      <c r="Y53" s="167"/>
      <c r="Z53" s="167"/>
    </row>
    <row r="54" spans="2:26" ht="10.199999999999999" customHeight="1">
      <c r="B54" s="97" t="str">
        <f>IF(Calculation!BE60="","",Calculation!BE60)</f>
        <v/>
      </c>
      <c r="C54" s="99" t="str">
        <f t="shared" ref="C54:L55" ca="1" si="3">IF($M$4=0,"",VLOOKUP($B54,INDIRECT("$P$1:$Z$"&amp;$M$4),COLUMN()-1,0))</f>
        <v/>
      </c>
      <c r="D54" s="99" t="str">
        <f t="shared" ca="1" si="3"/>
        <v/>
      </c>
      <c r="E54" s="99" t="str">
        <f t="shared" ca="1" si="3"/>
        <v/>
      </c>
      <c r="F54" s="99" t="str">
        <f t="shared" ca="1" si="3"/>
        <v/>
      </c>
      <c r="G54" s="99" t="str">
        <f t="shared" ca="1" si="3"/>
        <v/>
      </c>
      <c r="H54" s="99" t="str">
        <f t="shared" ca="1" si="3"/>
        <v/>
      </c>
      <c r="I54" s="99" t="str">
        <f t="shared" ca="1" si="3"/>
        <v/>
      </c>
      <c r="J54" s="99" t="str">
        <f t="shared" ca="1" si="3"/>
        <v/>
      </c>
      <c r="K54" s="99" t="str">
        <f t="shared" ca="1" si="3"/>
        <v/>
      </c>
      <c r="L54" s="99" t="str">
        <f t="shared" ca="1" si="3"/>
        <v/>
      </c>
      <c r="P54" s="169"/>
      <c r="Q54" s="169"/>
      <c r="R54" s="169"/>
      <c r="S54" s="169"/>
      <c r="T54" s="169"/>
      <c r="U54" s="169"/>
      <c r="V54" s="169"/>
      <c r="W54" s="169"/>
      <c r="X54" s="169"/>
      <c r="Y54" s="169"/>
      <c r="Z54" s="169"/>
    </row>
    <row r="55" spans="2:26" ht="10.199999999999999" customHeight="1">
      <c r="B55" s="97" t="str">
        <f>IF(Calculation!BE61="","",Calculation!BE61)</f>
        <v/>
      </c>
      <c r="C55" s="99" t="str">
        <f t="shared" ca="1" si="3"/>
        <v/>
      </c>
      <c r="D55" s="99" t="str">
        <f t="shared" ca="1" si="3"/>
        <v/>
      </c>
      <c r="E55" s="99" t="str">
        <f t="shared" ca="1" si="3"/>
        <v/>
      </c>
      <c r="F55" s="99" t="str">
        <f t="shared" ca="1" si="3"/>
        <v/>
      </c>
      <c r="G55" s="99" t="str">
        <f t="shared" ca="1" si="3"/>
        <v/>
      </c>
      <c r="H55" s="99" t="str">
        <f t="shared" ca="1" si="3"/>
        <v/>
      </c>
      <c r="I55" s="99" t="str">
        <f t="shared" ca="1" si="3"/>
        <v/>
      </c>
      <c r="J55" s="99" t="str">
        <f t="shared" ca="1" si="3"/>
        <v/>
      </c>
      <c r="K55" s="99" t="str">
        <f t="shared" ca="1" si="3"/>
        <v/>
      </c>
      <c r="L55" s="99" t="str">
        <f t="shared" ca="1" si="3"/>
        <v/>
      </c>
      <c r="P55" s="167"/>
      <c r="Q55" s="167"/>
      <c r="R55" s="167"/>
      <c r="S55" s="167"/>
      <c r="T55" s="167"/>
      <c r="U55" s="167"/>
      <c r="V55" s="167"/>
      <c r="W55" s="167"/>
      <c r="X55" s="167"/>
      <c r="Y55" s="167"/>
      <c r="Z55" s="167"/>
    </row>
    <row r="56" spans="2:26" ht="10.199999999999999" customHeight="1">
      <c r="P56" s="167"/>
      <c r="Q56" s="167"/>
      <c r="R56" s="167"/>
      <c r="S56" s="167"/>
      <c r="T56" s="167"/>
      <c r="U56" s="167"/>
      <c r="V56" s="167"/>
      <c r="W56" s="167"/>
      <c r="X56" s="167"/>
      <c r="Y56" s="167"/>
      <c r="Z56" s="167"/>
    </row>
    <row r="57" spans="2:26" ht="10.199999999999999" customHeight="1">
      <c r="P57" s="169"/>
      <c r="Q57" s="169"/>
      <c r="R57" s="169"/>
      <c r="S57" s="169"/>
      <c r="T57" s="169"/>
      <c r="U57" s="169"/>
      <c r="V57" s="169"/>
      <c r="W57" s="169"/>
      <c r="X57" s="169"/>
      <c r="Y57" s="169"/>
      <c r="Z57" s="169"/>
    </row>
    <row r="58" spans="2:26" ht="10.199999999999999" customHeight="1">
      <c r="P58" s="167"/>
      <c r="Q58" s="167"/>
      <c r="R58" s="167"/>
      <c r="S58" s="167"/>
      <c r="T58" s="167"/>
      <c r="U58" s="167"/>
      <c r="V58" s="167"/>
      <c r="W58" s="167"/>
      <c r="X58" s="167"/>
      <c r="Y58" s="167"/>
      <c r="Z58" s="167"/>
    </row>
    <row r="59" spans="2:26" ht="10.199999999999999" customHeight="1">
      <c r="P59" s="167"/>
      <c r="Q59" s="167"/>
      <c r="R59" s="167"/>
      <c r="S59" s="167"/>
      <c r="T59" s="167"/>
      <c r="U59" s="167"/>
      <c r="V59" s="167"/>
      <c r="W59" s="167"/>
      <c r="X59" s="167"/>
      <c r="Y59" s="167"/>
      <c r="Z59" s="167"/>
    </row>
    <row r="60" spans="2:26" ht="10.199999999999999" customHeight="1">
      <c r="P60" s="169"/>
      <c r="Q60" s="169"/>
      <c r="R60" s="169"/>
      <c r="S60" s="169"/>
      <c r="T60" s="169"/>
      <c r="U60" s="169"/>
      <c r="V60" s="169"/>
      <c r="W60" s="169"/>
      <c r="X60" s="169"/>
      <c r="Y60" s="169"/>
      <c r="Z60" s="169"/>
    </row>
    <row r="61" spans="2:26" ht="10.199999999999999" customHeight="1">
      <c r="P61" s="167"/>
      <c r="Q61" s="167"/>
      <c r="R61" s="167"/>
      <c r="S61" s="167"/>
      <c r="T61" s="167"/>
      <c r="U61" s="167"/>
      <c r="V61" s="167"/>
      <c r="W61" s="167"/>
      <c r="X61" s="167"/>
      <c r="Y61" s="167"/>
      <c r="Z61" s="167"/>
    </row>
    <row r="62" spans="2:26" ht="10.199999999999999" customHeight="1">
      <c r="P62" s="167"/>
      <c r="Q62" s="167"/>
      <c r="R62" s="167"/>
      <c r="S62" s="167"/>
      <c r="T62" s="167"/>
      <c r="U62" s="167"/>
      <c r="V62" s="167"/>
      <c r="W62" s="167"/>
      <c r="X62" s="167"/>
      <c r="Y62" s="167"/>
      <c r="Z62" s="167"/>
    </row>
    <row r="63" spans="2:26" ht="10.199999999999999" customHeight="1">
      <c r="P63" s="169"/>
      <c r="Q63" s="169"/>
      <c r="R63" s="169"/>
      <c r="S63" s="169"/>
      <c r="T63" s="169"/>
      <c r="U63" s="169"/>
      <c r="V63" s="169"/>
      <c r="W63" s="169"/>
      <c r="X63" s="169"/>
      <c r="Y63" s="169"/>
      <c r="Z63" s="169"/>
    </row>
    <row r="64" spans="2:26" ht="10.199999999999999" customHeight="1">
      <c r="P64" s="167"/>
      <c r="Q64" s="167"/>
      <c r="R64" s="167"/>
      <c r="S64" s="167"/>
      <c r="T64" s="167"/>
      <c r="U64" s="167"/>
      <c r="V64" s="167"/>
      <c r="W64" s="167"/>
      <c r="X64" s="167"/>
      <c r="Y64" s="167"/>
      <c r="Z64" s="167"/>
    </row>
    <row r="65" spans="16:26" ht="10.199999999999999" customHeight="1">
      <c r="P65" s="167"/>
      <c r="Q65" s="167"/>
      <c r="R65" s="167"/>
      <c r="S65" s="167"/>
      <c r="T65" s="167"/>
      <c r="U65" s="167"/>
      <c r="V65" s="167"/>
      <c r="W65" s="167"/>
      <c r="X65" s="167"/>
      <c r="Y65" s="167"/>
      <c r="Z65" s="167"/>
    </row>
    <row r="66" spans="16:26" ht="10.199999999999999" customHeight="1">
      <c r="P66" s="169"/>
      <c r="Q66" s="169"/>
      <c r="R66" s="169"/>
      <c r="S66" s="169"/>
      <c r="T66" s="169"/>
      <c r="U66" s="169"/>
      <c r="V66" s="169"/>
      <c r="W66" s="169"/>
      <c r="X66" s="169"/>
      <c r="Y66" s="169"/>
      <c r="Z66" s="169"/>
    </row>
    <row r="67" spans="16:26" ht="10.199999999999999" customHeight="1">
      <c r="P67" s="167"/>
      <c r="Q67" s="167"/>
      <c r="R67" s="167"/>
      <c r="S67" s="167"/>
      <c r="T67" s="167"/>
      <c r="U67" s="167"/>
      <c r="V67" s="167"/>
      <c r="W67" s="167"/>
      <c r="X67" s="167"/>
      <c r="Y67" s="167"/>
      <c r="Z67" s="167"/>
    </row>
    <row r="68" spans="16:26" ht="10.199999999999999" customHeight="1">
      <c r="P68" s="167"/>
      <c r="Q68" s="167"/>
      <c r="R68" s="167"/>
      <c r="S68" s="167"/>
      <c r="T68" s="167"/>
      <c r="U68" s="167"/>
      <c r="V68" s="167"/>
      <c r="W68" s="167"/>
      <c r="X68" s="167"/>
      <c r="Y68" s="167"/>
      <c r="Z68" s="167"/>
    </row>
    <row r="69" spans="16:26" ht="10.199999999999999" customHeight="1">
      <c r="P69" s="169"/>
      <c r="Q69" s="169"/>
      <c r="R69" s="169"/>
      <c r="S69" s="169"/>
      <c r="T69" s="169"/>
      <c r="U69" s="169"/>
      <c r="V69" s="169"/>
      <c r="W69" s="169"/>
      <c r="X69" s="169"/>
      <c r="Y69" s="169"/>
      <c r="Z69" s="169"/>
    </row>
    <row r="70" spans="16:26" ht="10.199999999999999" customHeight="1">
      <c r="P70" s="167"/>
      <c r="Q70" s="167"/>
      <c r="R70" s="167"/>
      <c r="S70" s="167"/>
      <c r="T70" s="167"/>
      <c r="U70" s="167"/>
      <c r="V70" s="167"/>
      <c r="W70" s="167"/>
      <c r="X70" s="167"/>
      <c r="Y70" s="167"/>
      <c r="Z70" s="167"/>
    </row>
    <row r="71" spans="16:26" ht="10.199999999999999" customHeight="1">
      <c r="P71" s="167"/>
      <c r="Q71" s="167"/>
      <c r="R71" s="167"/>
      <c r="S71" s="167"/>
      <c r="T71" s="167"/>
      <c r="U71" s="167"/>
      <c r="V71" s="167"/>
      <c r="W71" s="167"/>
      <c r="X71" s="167"/>
      <c r="Y71" s="167"/>
      <c r="Z71" s="167"/>
    </row>
    <row r="72" spans="16:26" ht="10.199999999999999" customHeight="1">
      <c r="P72" s="169"/>
      <c r="Q72" s="169"/>
      <c r="R72" s="169"/>
      <c r="S72" s="169"/>
      <c r="T72" s="169"/>
      <c r="U72" s="169"/>
      <c r="V72" s="169"/>
      <c r="W72" s="169"/>
      <c r="X72" s="169"/>
      <c r="Y72" s="169"/>
      <c r="Z72" s="169"/>
    </row>
    <row r="73" spans="16:26" ht="10.199999999999999" customHeight="1">
      <c r="P73" s="167"/>
      <c r="Q73" s="167"/>
      <c r="R73" s="167"/>
      <c r="S73" s="167"/>
      <c r="T73" s="167"/>
      <c r="U73" s="167"/>
      <c r="V73" s="167"/>
      <c r="W73" s="167"/>
      <c r="X73" s="167"/>
      <c r="Y73" s="167"/>
      <c r="Z73" s="167"/>
    </row>
    <row r="74" spans="16:26" ht="10.199999999999999" customHeight="1">
      <c r="P74" s="167"/>
      <c r="Q74" s="167"/>
      <c r="R74" s="167"/>
      <c r="S74" s="167"/>
      <c r="T74" s="167"/>
      <c r="U74" s="167"/>
      <c r="V74" s="167"/>
      <c r="W74" s="167"/>
      <c r="X74" s="167"/>
      <c r="Y74" s="167"/>
      <c r="Z74" s="167"/>
    </row>
    <row r="75" spans="16:26" ht="10.199999999999999" customHeight="1">
      <c r="P75" s="169"/>
      <c r="Q75" s="169"/>
      <c r="R75" s="169"/>
      <c r="S75" s="169"/>
      <c r="T75" s="169"/>
      <c r="U75" s="169"/>
      <c r="V75" s="169"/>
      <c r="W75" s="169"/>
      <c r="X75" s="169"/>
      <c r="Y75" s="169"/>
      <c r="Z75" s="169"/>
    </row>
    <row r="76" spans="16:26" ht="10.199999999999999" customHeight="1">
      <c r="P76" s="167"/>
      <c r="Q76" s="167"/>
      <c r="R76" s="167"/>
      <c r="S76" s="167"/>
      <c r="T76" s="167"/>
      <c r="U76" s="167"/>
      <c r="V76" s="167"/>
      <c r="W76" s="167"/>
      <c r="X76" s="167"/>
      <c r="Y76" s="167"/>
      <c r="Z76" s="167"/>
    </row>
    <row r="77" spans="16:26" ht="10.199999999999999" customHeight="1">
      <c r="P77" s="167"/>
      <c r="Q77" s="167"/>
      <c r="R77" s="167"/>
      <c r="S77" s="167"/>
      <c r="T77" s="167"/>
      <c r="U77" s="167"/>
      <c r="V77" s="167"/>
      <c r="W77" s="167"/>
      <c r="X77" s="167"/>
      <c r="Y77" s="167"/>
      <c r="Z77" s="167"/>
    </row>
    <row r="78" spans="16:26" ht="10.199999999999999" customHeight="1">
      <c r="P78" s="169"/>
      <c r="Q78" s="169"/>
      <c r="R78" s="169"/>
      <c r="S78" s="169"/>
      <c r="T78" s="169"/>
      <c r="U78" s="169"/>
      <c r="V78" s="169"/>
      <c r="W78" s="169"/>
      <c r="X78" s="169"/>
      <c r="Y78" s="169"/>
      <c r="Z78" s="169"/>
    </row>
    <row r="79" spans="16:26" ht="10.199999999999999" customHeight="1">
      <c r="P79" s="167"/>
      <c r="Q79" s="167"/>
      <c r="R79" s="167"/>
      <c r="S79" s="167"/>
      <c r="T79" s="167"/>
      <c r="U79" s="167"/>
      <c r="V79" s="167"/>
      <c r="W79" s="167"/>
      <c r="X79" s="167"/>
      <c r="Y79" s="167"/>
      <c r="Z79" s="167"/>
    </row>
    <row r="80" spans="16:26" ht="10.199999999999999" customHeight="1">
      <c r="P80" s="167"/>
      <c r="Q80" s="167"/>
      <c r="R80" s="167"/>
      <c r="S80" s="167"/>
      <c r="T80" s="167"/>
      <c r="U80" s="167"/>
      <c r="V80" s="167"/>
      <c r="W80" s="167"/>
      <c r="X80" s="167"/>
      <c r="Y80" s="167"/>
      <c r="Z80" s="167"/>
    </row>
    <row r="81" spans="16:26" ht="10.199999999999999" customHeight="1">
      <c r="P81" s="169"/>
      <c r="Q81" s="169"/>
      <c r="R81" s="169"/>
      <c r="S81" s="169"/>
      <c r="T81" s="169"/>
      <c r="U81" s="169"/>
      <c r="V81" s="169"/>
      <c r="W81" s="169"/>
      <c r="X81" s="169"/>
      <c r="Y81" s="169"/>
      <c r="Z81" s="169"/>
    </row>
    <row r="82" spans="16:26" ht="10.199999999999999" customHeight="1">
      <c r="P82" s="167"/>
      <c r="Q82" s="167"/>
      <c r="R82" s="167"/>
      <c r="S82" s="167"/>
      <c r="T82" s="167"/>
      <c r="U82" s="167"/>
      <c r="V82" s="167"/>
      <c r="W82" s="167"/>
      <c r="X82" s="167"/>
      <c r="Y82" s="167"/>
      <c r="Z82" s="167"/>
    </row>
    <row r="83" spans="16:26" ht="10.199999999999999" customHeight="1">
      <c r="P83" s="167"/>
      <c r="Q83" s="167"/>
      <c r="R83" s="167"/>
      <c r="S83" s="167"/>
      <c r="T83" s="167"/>
      <c r="U83" s="167"/>
      <c r="V83" s="167"/>
      <c r="W83" s="167"/>
      <c r="X83" s="167"/>
      <c r="Y83" s="167"/>
      <c r="Z83" s="167"/>
    </row>
    <row r="84" spans="16:26" ht="10.199999999999999" customHeight="1">
      <c r="P84" s="169"/>
      <c r="Q84" s="169"/>
      <c r="R84" s="169"/>
      <c r="S84" s="169"/>
      <c r="T84" s="169"/>
      <c r="U84" s="169"/>
      <c r="V84" s="169"/>
      <c r="W84" s="169"/>
      <c r="X84" s="169"/>
      <c r="Y84" s="169"/>
      <c r="Z84" s="169"/>
    </row>
    <row r="85" spans="16:26" ht="10.199999999999999" customHeight="1">
      <c r="P85" s="167"/>
      <c r="Q85" s="167"/>
      <c r="R85" s="167"/>
      <c r="S85" s="167"/>
      <c r="T85" s="167"/>
      <c r="U85" s="167"/>
      <c r="V85" s="167"/>
      <c r="W85" s="167"/>
      <c r="X85" s="167"/>
      <c r="Y85" s="167"/>
      <c r="Z85" s="167"/>
    </row>
    <row r="86" spans="16:26" ht="10.199999999999999" customHeight="1">
      <c r="P86" s="167"/>
      <c r="Q86" s="167"/>
      <c r="R86" s="167"/>
      <c r="S86" s="167"/>
      <c r="T86" s="167"/>
      <c r="U86" s="167"/>
      <c r="V86" s="167"/>
      <c r="W86" s="167"/>
      <c r="X86" s="167"/>
      <c r="Y86" s="167"/>
      <c r="Z86" s="167"/>
    </row>
    <row r="87" spans="16:26" ht="10.199999999999999" customHeight="1">
      <c r="P87" s="169"/>
      <c r="Q87" s="169"/>
      <c r="R87" s="169"/>
      <c r="S87" s="169"/>
      <c r="T87" s="169"/>
      <c r="U87" s="169"/>
      <c r="V87" s="169"/>
      <c r="W87" s="169"/>
      <c r="X87" s="169"/>
      <c r="Y87" s="169"/>
      <c r="Z87" s="169"/>
    </row>
    <row r="88" spans="16:26" ht="10.199999999999999" customHeight="1">
      <c r="P88" s="167"/>
      <c r="Q88" s="167"/>
      <c r="R88" s="167"/>
      <c r="S88" s="167"/>
      <c r="T88" s="167"/>
      <c r="U88" s="167"/>
      <c r="V88" s="167"/>
      <c r="W88" s="167"/>
      <c r="X88" s="167"/>
      <c r="Y88" s="167"/>
      <c r="Z88" s="167"/>
    </row>
    <row r="89" spans="16:26" ht="10.199999999999999" customHeight="1">
      <c r="P89" s="167"/>
      <c r="Q89" s="167"/>
      <c r="R89" s="167"/>
      <c r="S89" s="167"/>
      <c r="T89" s="167"/>
      <c r="U89" s="167"/>
      <c r="V89" s="167"/>
      <c r="W89" s="167"/>
      <c r="X89" s="167"/>
      <c r="Y89" s="167"/>
      <c r="Z89" s="167"/>
    </row>
    <row r="90" spans="16:26" ht="10.199999999999999" customHeight="1">
      <c r="P90" s="169"/>
      <c r="Q90" s="169"/>
      <c r="R90" s="169"/>
      <c r="S90" s="169"/>
      <c r="T90" s="169"/>
      <c r="U90" s="169"/>
      <c r="V90" s="169"/>
      <c r="W90" s="169"/>
      <c r="X90" s="169"/>
      <c r="Y90" s="169"/>
      <c r="Z90" s="169"/>
    </row>
    <row r="91" spans="16:26" ht="10.199999999999999" customHeight="1">
      <c r="P91" s="167"/>
      <c r="Q91" s="167"/>
      <c r="R91" s="167"/>
      <c r="S91" s="167"/>
      <c r="T91" s="167"/>
      <c r="U91" s="167"/>
      <c r="V91" s="167"/>
      <c r="W91" s="167"/>
      <c r="X91" s="167"/>
      <c r="Y91" s="167"/>
      <c r="Z91" s="167"/>
    </row>
    <row r="92" spans="16:26" ht="10.199999999999999" customHeight="1">
      <c r="P92" s="167"/>
      <c r="Q92" s="167"/>
      <c r="R92" s="167"/>
      <c r="S92" s="167"/>
      <c r="T92" s="167"/>
      <c r="U92" s="167"/>
      <c r="V92" s="167"/>
      <c r="W92" s="167"/>
      <c r="X92" s="167"/>
      <c r="Y92" s="167"/>
      <c r="Z92" s="167"/>
    </row>
    <row r="93" spans="16:26" ht="10.199999999999999" customHeight="1">
      <c r="P93" s="169"/>
      <c r="Q93" s="169"/>
      <c r="R93" s="169"/>
      <c r="S93" s="169"/>
      <c r="T93" s="169"/>
      <c r="U93" s="169"/>
      <c r="V93" s="169"/>
      <c r="W93" s="169"/>
      <c r="X93" s="169"/>
      <c r="Y93" s="169"/>
      <c r="Z93" s="169"/>
    </row>
    <row r="94" spans="16:26" ht="10.199999999999999" customHeight="1">
      <c r="P94" s="167"/>
      <c r="Q94" s="167"/>
      <c r="R94" s="167"/>
      <c r="S94" s="167"/>
      <c r="T94" s="167"/>
      <c r="U94" s="167"/>
      <c r="V94" s="167"/>
      <c r="W94" s="167"/>
      <c r="X94" s="167"/>
      <c r="Y94" s="167"/>
      <c r="Z94" s="167"/>
    </row>
    <row r="95" spans="16:26" ht="10.199999999999999" customHeight="1">
      <c r="P95" s="167"/>
      <c r="Q95" s="167"/>
      <c r="R95" s="167"/>
      <c r="S95" s="167"/>
      <c r="T95" s="167"/>
      <c r="U95" s="167"/>
      <c r="V95" s="167"/>
      <c r="W95" s="167"/>
      <c r="X95" s="167"/>
      <c r="Y95" s="167"/>
      <c r="Z95" s="167"/>
    </row>
    <row r="96" spans="16:26" ht="10.199999999999999" customHeight="1">
      <c r="P96" s="169"/>
      <c r="Q96" s="169"/>
      <c r="R96" s="169"/>
      <c r="S96" s="169"/>
      <c r="T96" s="169"/>
      <c r="U96" s="169"/>
      <c r="V96" s="169"/>
      <c r="W96" s="169"/>
      <c r="X96" s="169"/>
      <c r="Y96" s="169"/>
      <c r="Z96" s="169"/>
    </row>
    <row r="97" spans="16:26" ht="10.199999999999999" customHeight="1">
      <c r="P97" s="167"/>
      <c r="Q97" s="167"/>
      <c r="R97" s="167"/>
      <c r="S97" s="167"/>
      <c r="T97" s="167"/>
      <c r="U97" s="167"/>
      <c r="V97" s="167"/>
      <c r="W97" s="167"/>
      <c r="X97" s="167"/>
      <c r="Y97" s="167"/>
      <c r="Z97" s="167"/>
    </row>
    <row r="98" spans="16:26" ht="10.199999999999999" customHeight="1">
      <c r="P98" s="167"/>
      <c r="Q98" s="167"/>
      <c r="R98" s="167"/>
      <c r="S98" s="167"/>
      <c r="T98" s="167"/>
      <c r="U98" s="167"/>
      <c r="V98" s="167"/>
      <c r="W98" s="167"/>
      <c r="X98" s="167"/>
      <c r="Y98" s="167"/>
      <c r="Z98" s="167"/>
    </row>
    <row r="99" spans="16:26" ht="10.199999999999999" customHeight="1">
      <c r="P99" s="169"/>
      <c r="Q99" s="169"/>
      <c r="R99" s="169"/>
      <c r="S99" s="169"/>
      <c r="T99" s="169"/>
      <c r="U99" s="169"/>
      <c r="V99" s="169"/>
      <c r="W99" s="169"/>
      <c r="X99" s="169"/>
      <c r="Y99" s="169"/>
      <c r="Z99" s="169"/>
    </row>
    <row r="100" spans="16:26" ht="10.199999999999999" customHeight="1">
      <c r="P100" s="167"/>
      <c r="Q100" s="167"/>
      <c r="R100" s="167"/>
      <c r="S100" s="167"/>
      <c r="T100" s="167"/>
      <c r="U100" s="167"/>
      <c r="V100" s="167"/>
      <c r="W100" s="167"/>
      <c r="X100" s="167"/>
      <c r="Y100" s="167"/>
      <c r="Z100" s="167"/>
    </row>
    <row r="101" spans="16:26" ht="10.199999999999999" customHeight="1">
      <c r="P101" s="167"/>
      <c r="Q101" s="167"/>
      <c r="R101" s="167"/>
      <c r="S101" s="167"/>
      <c r="T101" s="167"/>
      <c r="U101" s="167"/>
      <c r="V101" s="167"/>
      <c r="W101" s="167"/>
      <c r="X101" s="167"/>
      <c r="Y101" s="167"/>
      <c r="Z101" s="167"/>
    </row>
    <row r="102" spans="16:26" ht="10.199999999999999" customHeight="1">
      <c r="P102" s="169"/>
      <c r="Q102" s="169"/>
      <c r="R102" s="169"/>
      <c r="S102" s="169"/>
      <c r="T102" s="169"/>
      <c r="U102" s="169"/>
      <c r="V102" s="169"/>
      <c r="W102" s="169"/>
      <c r="X102" s="169"/>
      <c r="Y102" s="169"/>
      <c r="Z102" s="169"/>
    </row>
    <row r="103" spans="16:26" ht="10.199999999999999" customHeight="1">
      <c r="P103" s="167"/>
      <c r="Q103" s="167"/>
      <c r="R103" s="167"/>
      <c r="S103" s="167"/>
      <c r="T103" s="167"/>
      <c r="U103" s="167"/>
      <c r="V103" s="167"/>
      <c r="W103" s="167"/>
      <c r="X103" s="167"/>
      <c r="Y103" s="167"/>
      <c r="Z103" s="167"/>
    </row>
    <row r="104" spans="16:26" ht="10.199999999999999" customHeight="1">
      <c r="P104" s="167"/>
      <c r="Q104" s="167"/>
      <c r="R104" s="167"/>
      <c r="S104" s="167"/>
      <c r="T104" s="167"/>
      <c r="U104" s="167"/>
      <c r="V104" s="167"/>
      <c r="W104" s="167"/>
      <c r="X104" s="167"/>
      <c r="Y104" s="167"/>
      <c r="Z104" s="167"/>
    </row>
    <row r="105" spans="16:26" ht="10.199999999999999" customHeight="1">
      <c r="P105" s="169"/>
      <c r="Q105" s="169"/>
      <c r="R105" s="169"/>
      <c r="S105" s="169"/>
      <c r="T105" s="169"/>
      <c r="U105" s="169"/>
      <c r="V105" s="169"/>
      <c r="W105" s="169"/>
      <c r="X105" s="169"/>
      <c r="Y105" s="169"/>
      <c r="Z105" s="169"/>
    </row>
    <row r="106" spans="16:26" ht="10.199999999999999" customHeight="1">
      <c r="P106" s="167"/>
      <c r="Q106" s="167"/>
      <c r="R106" s="167"/>
      <c r="S106" s="167"/>
      <c r="T106" s="167"/>
      <c r="U106" s="167"/>
      <c r="V106" s="167"/>
      <c r="W106" s="167"/>
      <c r="X106" s="167"/>
      <c r="Y106" s="167"/>
      <c r="Z106" s="167"/>
    </row>
    <row r="107" spans="16:26" ht="10.199999999999999" customHeight="1">
      <c r="P107" s="167"/>
      <c r="Q107" s="167"/>
      <c r="R107" s="167"/>
      <c r="S107" s="167"/>
      <c r="T107" s="167"/>
      <c r="U107" s="167"/>
      <c r="V107" s="167"/>
      <c r="W107" s="167"/>
      <c r="X107" s="167"/>
      <c r="Y107" s="167"/>
      <c r="Z107" s="167"/>
    </row>
    <row r="108" spans="16:26" ht="10.199999999999999" customHeight="1">
      <c r="P108" s="169"/>
      <c r="Q108" s="169"/>
      <c r="R108" s="169"/>
      <c r="S108" s="169"/>
      <c r="T108" s="169"/>
      <c r="U108" s="169"/>
      <c r="V108" s="169"/>
      <c r="W108" s="169"/>
      <c r="X108" s="169"/>
      <c r="Y108" s="169"/>
      <c r="Z108" s="169"/>
    </row>
    <row r="109" spans="16:26" ht="10.199999999999999" customHeight="1">
      <c r="P109" s="167"/>
      <c r="Q109" s="167"/>
      <c r="R109" s="167"/>
      <c r="S109" s="167"/>
      <c r="T109" s="167"/>
      <c r="U109" s="167"/>
      <c r="V109" s="167"/>
      <c r="W109" s="167"/>
      <c r="X109" s="167"/>
      <c r="Y109" s="167"/>
      <c r="Z109" s="167"/>
    </row>
    <row r="110" spans="16:26" ht="10.199999999999999" customHeight="1">
      <c r="P110" s="167"/>
      <c r="Q110" s="167"/>
      <c r="R110" s="167"/>
      <c r="S110" s="167"/>
      <c r="T110" s="167"/>
      <c r="U110" s="167"/>
      <c r="V110" s="167"/>
      <c r="W110" s="167"/>
      <c r="X110" s="167"/>
      <c r="Y110" s="167"/>
      <c r="Z110" s="167"/>
    </row>
    <row r="111" spans="16:26" ht="10.199999999999999" customHeight="1">
      <c r="P111" s="169"/>
      <c r="Q111" s="169"/>
      <c r="R111" s="169"/>
      <c r="S111" s="169"/>
      <c r="T111" s="169"/>
      <c r="U111" s="169"/>
      <c r="V111" s="169"/>
      <c r="W111" s="169"/>
      <c r="X111" s="169"/>
      <c r="Y111" s="169"/>
      <c r="Z111" s="169"/>
    </row>
    <row r="112" spans="16:26" ht="10.199999999999999" customHeight="1">
      <c r="P112" s="167"/>
      <c r="Q112" s="167"/>
      <c r="R112" s="167"/>
      <c r="S112" s="167"/>
      <c r="T112" s="167"/>
      <c r="U112" s="167"/>
      <c r="V112" s="167"/>
      <c r="W112" s="167"/>
      <c r="X112" s="167"/>
      <c r="Y112" s="167"/>
      <c r="Z112" s="167"/>
    </row>
    <row r="113" spans="16:26" ht="10.199999999999999" customHeight="1">
      <c r="P113" s="167"/>
      <c r="Q113" s="167"/>
      <c r="R113" s="167"/>
      <c r="S113" s="167"/>
      <c r="T113" s="167"/>
      <c r="U113" s="167"/>
      <c r="V113" s="167"/>
      <c r="W113" s="167"/>
      <c r="X113" s="167"/>
      <c r="Y113" s="167"/>
      <c r="Z113" s="167"/>
    </row>
    <row r="114" spans="16:26" ht="10.199999999999999" customHeight="1">
      <c r="P114" s="169"/>
      <c r="Q114" s="169"/>
      <c r="R114" s="169"/>
      <c r="S114" s="169"/>
      <c r="T114" s="169"/>
      <c r="U114" s="169"/>
      <c r="V114" s="169"/>
      <c r="W114" s="169"/>
      <c r="X114" s="169"/>
      <c r="Y114" s="169"/>
      <c r="Z114" s="169"/>
    </row>
    <row r="115" spans="16:26" ht="10.199999999999999" customHeight="1">
      <c r="P115" s="167"/>
      <c r="Q115" s="167"/>
      <c r="R115" s="167"/>
      <c r="S115" s="167"/>
      <c r="T115" s="167"/>
      <c r="U115" s="167"/>
      <c r="V115" s="167"/>
      <c r="W115" s="167"/>
      <c r="X115" s="167"/>
      <c r="Y115" s="167"/>
      <c r="Z115" s="167"/>
    </row>
    <row r="116" spans="16:26" ht="10.199999999999999" customHeight="1">
      <c r="P116" s="167"/>
      <c r="Q116" s="167"/>
      <c r="R116" s="167"/>
      <c r="S116" s="167"/>
      <c r="T116" s="167"/>
      <c r="U116" s="167"/>
      <c r="V116" s="167"/>
      <c r="W116" s="167"/>
      <c r="X116" s="167"/>
      <c r="Y116" s="167"/>
      <c r="Z116" s="167"/>
    </row>
    <row r="117" spans="16:26" ht="10.199999999999999" customHeight="1">
      <c r="P117" s="169"/>
      <c r="Q117" s="169"/>
      <c r="R117" s="169"/>
      <c r="S117" s="169"/>
      <c r="T117" s="169"/>
      <c r="U117" s="169"/>
      <c r="V117" s="169"/>
      <c r="W117" s="169"/>
      <c r="X117" s="169"/>
      <c r="Y117" s="169"/>
      <c r="Z117" s="169"/>
    </row>
    <row r="118" spans="16:26" ht="10.199999999999999" customHeight="1">
      <c r="P118" s="167"/>
      <c r="Q118" s="167"/>
      <c r="R118" s="167"/>
      <c r="S118" s="167"/>
      <c r="T118" s="167"/>
      <c r="U118" s="167"/>
      <c r="V118" s="167"/>
      <c r="W118" s="167"/>
      <c r="X118" s="167"/>
      <c r="Y118" s="167"/>
      <c r="Z118" s="167"/>
    </row>
    <row r="119" spans="16:26" ht="10.199999999999999" customHeight="1">
      <c r="P119" s="167"/>
      <c r="Q119" s="167"/>
      <c r="R119" s="167"/>
      <c r="S119" s="167"/>
      <c r="T119" s="167"/>
      <c r="U119" s="167"/>
      <c r="V119" s="167"/>
      <c r="W119" s="167"/>
      <c r="X119" s="167"/>
      <c r="Y119" s="167"/>
      <c r="Z119" s="167"/>
    </row>
    <row r="120" spans="16:26" ht="10.199999999999999" customHeight="1">
      <c r="P120" s="169"/>
      <c r="Q120" s="169"/>
      <c r="R120" s="169"/>
      <c r="S120" s="169"/>
      <c r="T120" s="169"/>
      <c r="U120" s="169"/>
      <c r="V120" s="169"/>
      <c r="W120" s="169"/>
      <c r="X120" s="169"/>
      <c r="Y120" s="169"/>
      <c r="Z120" s="169"/>
    </row>
    <row r="121" spans="16:26" ht="10.199999999999999" customHeight="1">
      <c r="P121" s="167"/>
      <c r="Q121" s="167"/>
      <c r="R121" s="167"/>
      <c r="S121" s="167"/>
      <c r="T121" s="167"/>
      <c r="U121" s="167"/>
      <c r="V121" s="167"/>
      <c r="W121" s="167"/>
      <c r="X121" s="167"/>
      <c r="Y121" s="167"/>
      <c r="Z121" s="167"/>
    </row>
    <row r="122" spans="16:26" ht="10.199999999999999" customHeight="1">
      <c r="P122" s="167"/>
      <c r="Q122" s="167"/>
      <c r="R122" s="167"/>
      <c r="S122" s="167"/>
      <c r="T122" s="167"/>
      <c r="U122" s="167"/>
      <c r="V122" s="167"/>
      <c r="W122" s="167"/>
      <c r="X122" s="167"/>
      <c r="Y122" s="167"/>
      <c r="Z122" s="167"/>
    </row>
    <row r="123" spans="16:26" ht="10.199999999999999" customHeight="1">
      <c r="P123" s="169"/>
      <c r="Q123" s="169"/>
      <c r="R123" s="169"/>
      <c r="S123" s="169"/>
      <c r="T123" s="169"/>
      <c r="U123" s="169"/>
      <c r="V123" s="169"/>
      <c r="W123" s="169"/>
      <c r="X123" s="169"/>
      <c r="Y123" s="169"/>
      <c r="Z123" s="169"/>
    </row>
    <row r="124" spans="16:26" ht="10.199999999999999" customHeight="1">
      <c r="P124" s="167"/>
      <c r="Q124" s="167"/>
      <c r="R124" s="167"/>
      <c r="S124" s="167"/>
      <c r="T124" s="167"/>
      <c r="U124" s="167"/>
      <c r="V124" s="167"/>
      <c r="W124" s="167"/>
      <c r="X124" s="167"/>
      <c r="Y124" s="167"/>
      <c r="Z124" s="167"/>
    </row>
    <row r="125" spans="16:26" ht="10.199999999999999" customHeight="1">
      <c r="P125" s="167"/>
      <c r="Q125" s="167"/>
      <c r="R125" s="167"/>
      <c r="S125" s="167"/>
      <c r="T125" s="167"/>
      <c r="U125" s="167"/>
      <c r="V125" s="167"/>
      <c r="W125" s="167"/>
      <c r="X125" s="167"/>
      <c r="Y125" s="167"/>
      <c r="Z125" s="167"/>
    </row>
    <row r="126" spans="16:26" ht="10.199999999999999" customHeight="1">
      <c r="P126" s="169"/>
      <c r="Q126" s="169"/>
      <c r="R126" s="169"/>
      <c r="S126" s="169"/>
      <c r="T126" s="169"/>
      <c r="U126" s="169"/>
      <c r="V126" s="169"/>
      <c r="W126" s="169"/>
      <c r="X126" s="169"/>
      <c r="Y126" s="169"/>
      <c r="Z126" s="169"/>
    </row>
    <row r="127" spans="16:26" ht="10.199999999999999" customHeight="1">
      <c r="P127" s="167"/>
      <c r="Q127" s="167"/>
      <c r="R127" s="167"/>
      <c r="S127" s="167"/>
      <c r="T127" s="167"/>
      <c r="U127" s="167"/>
      <c r="V127" s="167"/>
      <c r="W127" s="167"/>
      <c r="X127" s="167"/>
      <c r="Y127" s="167"/>
      <c r="Z127" s="167"/>
    </row>
    <row r="128" spans="16:26" ht="10.199999999999999" customHeight="1">
      <c r="P128" s="167"/>
      <c r="Q128" s="167"/>
      <c r="R128" s="167"/>
      <c r="S128" s="167"/>
      <c r="T128" s="167"/>
      <c r="U128" s="167"/>
      <c r="V128" s="167"/>
      <c r="W128" s="167"/>
      <c r="X128" s="167"/>
      <c r="Y128" s="167"/>
      <c r="Z128" s="167"/>
    </row>
    <row r="129" spans="16:26" ht="10.199999999999999" customHeight="1">
      <c r="P129" s="169"/>
      <c r="Q129" s="169"/>
      <c r="R129" s="169"/>
      <c r="S129" s="169"/>
      <c r="T129" s="169"/>
      <c r="U129" s="169"/>
      <c r="V129" s="169"/>
      <c r="W129" s="169"/>
      <c r="X129" s="169"/>
      <c r="Y129" s="169"/>
      <c r="Z129" s="169"/>
    </row>
    <row r="130" spans="16:26" ht="10.199999999999999" customHeight="1">
      <c r="P130" s="167"/>
      <c r="Q130" s="167"/>
      <c r="R130" s="167"/>
      <c r="S130" s="167"/>
      <c r="T130" s="167"/>
      <c r="U130" s="167"/>
      <c r="V130" s="167"/>
      <c r="W130" s="167"/>
      <c r="X130" s="167"/>
      <c r="Y130" s="167"/>
      <c r="Z130" s="167"/>
    </row>
    <row r="131" spans="16:26" ht="10.199999999999999" customHeight="1">
      <c r="P131" s="167"/>
      <c r="Q131" s="167"/>
      <c r="R131" s="167"/>
      <c r="S131" s="167"/>
      <c r="T131" s="167"/>
      <c r="U131" s="167"/>
      <c r="V131" s="167"/>
      <c r="W131" s="167"/>
      <c r="X131" s="167"/>
      <c r="Y131" s="167"/>
      <c r="Z131" s="167"/>
    </row>
    <row r="132" spans="16:26" ht="10.199999999999999" customHeight="1">
      <c r="P132" s="169"/>
      <c r="Q132" s="169"/>
      <c r="R132" s="169"/>
      <c r="S132" s="169"/>
      <c r="T132" s="169"/>
      <c r="U132" s="169"/>
      <c r="V132" s="169"/>
      <c r="W132" s="169"/>
      <c r="X132" s="169"/>
      <c r="Y132" s="169"/>
      <c r="Z132" s="169"/>
    </row>
    <row r="133" spans="16:26" ht="10.199999999999999" customHeight="1">
      <c r="P133" s="167"/>
      <c r="Q133" s="167"/>
      <c r="R133" s="167"/>
      <c r="S133" s="167"/>
      <c r="T133" s="167"/>
      <c r="U133" s="167"/>
      <c r="V133" s="167"/>
      <c r="W133" s="167"/>
      <c r="X133" s="167"/>
      <c r="Y133" s="167"/>
      <c r="Z133" s="167"/>
    </row>
    <row r="134" spans="16:26" ht="10.199999999999999" customHeight="1">
      <c r="P134" s="167"/>
      <c r="Q134" s="167"/>
      <c r="R134" s="167"/>
      <c r="S134" s="167"/>
      <c r="T134" s="167"/>
      <c r="U134" s="167"/>
      <c r="V134" s="167"/>
      <c r="W134" s="167"/>
      <c r="X134" s="167"/>
      <c r="Y134" s="167"/>
      <c r="Z134" s="167"/>
    </row>
    <row r="135" spans="16:26" ht="10.199999999999999" customHeight="1">
      <c r="P135" s="169"/>
      <c r="Q135" s="169"/>
      <c r="R135" s="169"/>
      <c r="S135" s="169"/>
      <c r="T135" s="169"/>
      <c r="U135" s="169"/>
      <c r="V135" s="169"/>
      <c r="W135" s="169"/>
      <c r="X135" s="169"/>
      <c r="Y135" s="169"/>
      <c r="Z135" s="169"/>
    </row>
    <row r="136" spans="16:26" ht="10.199999999999999" customHeight="1">
      <c r="P136" s="167"/>
      <c r="Q136" s="167"/>
      <c r="R136" s="167"/>
      <c r="S136" s="167"/>
      <c r="T136" s="167"/>
      <c r="U136" s="167"/>
      <c r="V136" s="167"/>
      <c r="W136" s="167"/>
      <c r="X136" s="167"/>
      <c r="Y136" s="167"/>
      <c r="Z136" s="167"/>
    </row>
    <row r="137" spans="16:26" ht="10.199999999999999" customHeight="1">
      <c r="P137" s="167"/>
      <c r="Q137" s="167"/>
      <c r="R137" s="167"/>
      <c r="S137" s="167"/>
      <c r="T137" s="167"/>
      <c r="U137" s="167"/>
      <c r="V137" s="167"/>
      <c r="W137" s="167"/>
      <c r="X137" s="167"/>
      <c r="Y137" s="167"/>
      <c r="Z137" s="167"/>
    </row>
    <row r="138" spans="16:26" ht="10.199999999999999" customHeight="1">
      <c r="P138" s="169"/>
      <c r="Q138" s="169"/>
      <c r="R138" s="169"/>
      <c r="S138" s="169"/>
      <c r="T138" s="169"/>
      <c r="U138" s="169"/>
      <c r="V138" s="169"/>
      <c r="W138" s="169"/>
      <c r="X138" s="169"/>
      <c r="Y138" s="169"/>
      <c r="Z138" s="169"/>
    </row>
    <row r="139" spans="16:26" ht="10.199999999999999" customHeight="1">
      <c r="P139" s="167"/>
      <c r="Q139" s="167"/>
      <c r="R139" s="167"/>
      <c r="S139" s="167"/>
      <c r="T139" s="167"/>
      <c r="U139" s="167"/>
      <c r="V139" s="167"/>
      <c r="W139" s="167"/>
      <c r="X139" s="167"/>
      <c r="Y139" s="167"/>
      <c r="Z139" s="167"/>
    </row>
    <row r="140" spans="16:26" ht="10.199999999999999" customHeight="1">
      <c r="P140" s="167"/>
      <c r="Q140" s="167"/>
      <c r="R140" s="167"/>
      <c r="S140" s="167"/>
      <c r="T140" s="167"/>
      <c r="U140" s="167"/>
      <c r="V140" s="167"/>
      <c r="W140" s="167"/>
      <c r="X140" s="167"/>
      <c r="Y140" s="167"/>
      <c r="Z140" s="167"/>
    </row>
    <row r="141" spans="16:26" ht="10.199999999999999" customHeight="1">
      <c r="P141" s="169"/>
      <c r="Q141" s="169"/>
      <c r="R141" s="169"/>
      <c r="S141" s="169"/>
      <c r="T141" s="169"/>
      <c r="U141" s="169"/>
      <c r="V141" s="169"/>
      <c r="W141" s="169"/>
      <c r="X141" s="169"/>
      <c r="Y141" s="169"/>
      <c r="Z141" s="169"/>
    </row>
    <row r="142" spans="16:26" ht="10.199999999999999" customHeight="1">
      <c r="P142" s="167"/>
      <c r="Q142" s="167"/>
      <c r="R142" s="167"/>
      <c r="S142" s="167"/>
      <c r="T142" s="167"/>
      <c r="U142" s="167"/>
      <c r="V142" s="167"/>
      <c r="W142" s="167"/>
      <c r="X142" s="167"/>
      <c r="Y142" s="167"/>
      <c r="Z142" s="167"/>
    </row>
    <row r="143" spans="16:26" ht="10.199999999999999" customHeight="1">
      <c r="P143" s="167"/>
      <c r="Q143" s="167"/>
      <c r="R143" s="167"/>
      <c r="S143" s="167"/>
      <c r="T143" s="167"/>
      <c r="U143" s="167"/>
      <c r="V143" s="167"/>
      <c r="W143" s="167"/>
      <c r="X143" s="167"/>
      <c r="Y143" s="167"/>
      <c r="Z143" s="167"/>
    </row>
    <row r="144" spans="16:26" ht="10.199999999999999" customHeight="1">
      <c r="P144" s="169"/>
      <c r="Q144" s="169"/>
      <c r="R144" s="169"/>
      <c r="S144" s="169"/>
      <c r="T144" s="169"/>
      <c r="U144" s="169"/>
      <c r="V144" s="169"/>
      <c r="W144" s="169"/>
      <c r="X144" s="169"/>
      <c r="Y144" s="169"/>
      <c r="Z144" s="169"/>
    </row>
    <row r="145" spans="16:26" ht="10.199999999999999" customHeight="1">
      <c r="P145" s="167"/>
      <c r="Q145" s="167"/>
      <c r="R145" s="167"/>
      <c r="S145" s="167"/>
      <c r="T145" s="167"/>
      <c r="U145" s="167"/>
      <c r="V145" s="167"/>
      <c r="W145" s="167"/>
      <c r="X145" s="167"/>
      <c r="Y145" s="167"/>
      <c r="Z145" s="167"/>
    </row>
    <row r="146" spans="16:26" ht="10.199999999999999" customHeight="1">
      <c r="P146" s="167"/>
      <c r="Q146" s="167"/>
      <c r="R146" s="167"/>
      <c r="S146" s="167"/>
      <c r="T146" s="167"/>
      <c r="U146" s="167"/>
      <c r="V146" s="167"/>
      <c r="W146" s="167"/>
      <c r="X146" s="167"/>
      <c r="Y146" s="167"/>
      <c r="Z146" s="167"/>
    </row>
    <row r="147" spans="16:26" ht="10.199999999999999" customHeight="1">
      <c r="P147" s="169"/>
      <c r="Q147" s="169"/>
      <c r="R147" s="169"/>
      <c r="S147" s="169"/>
      <c r="T147" s="169"/>
      <c r="U147" s="169"/>
      <c r="V147" s="169"/>
      <c r="W147" s="169"/>
      <c r="X147" s="169"/>
      <c r="Y147" s="169"/>
      <c r="Z147" s="169"/>
    </row>
    <row r="148" spans="16:26" ht="10.199999999999999" customHeight="1">
      <c r="P148" s="167"/>
      <c r="Q148" s="167"/>
      <c r="R148" s="167"/>
      <c r="S148" s="167"/>
      <c r="T148" s="167"/>
      <c r="U148" s="167"/>
      <c r="V148" s="167"/>
      <c r="W148" s="167"/>
      <c r="X148" s="167"/>
      <c r="Y148" s="167"/>
      <c r="Z148" s="167"/>
    </row>
    <row r="149" spans="16:26" ht="10.199999999999999" customHeight="1">
      <c r="P149" s="167"/>
      <c r="Q149" s="167"/>
      <c r="R149" s="167"/>
      <c r="S149" s="167"/>
      <c r="T149" s="167"/>
      <c r="U149" s="167"/>
      <c r="V149" s="167"/>
      <c r="W149" s="167"/>
      <c r="X149" s="167"/>
      <c r="Y149" s="167"/>
      <c r="Z149" s="167"/>
    </row>
    <row r="150" spans="16:26" ht="10.199999999999999" customHeight="1">
      <c r="P150" s="169"/>
      <c r="Q150" s="169"/>
      <c r="R150" s="169"/>
      <c r="S150" s="169"/>
      <c r="T150" s="169"/>
      <c r="U150" s="169"/>
      <c r="V150" s="169"/>
      <c r="W150" s="169"/>
      <c r="X150" s="169"/>
      <c r="Y150" s="169"/>
      <c r="Z150" s="169"/>
    </row>
    <row r="151" spans="16:26" ht="10.199999999999999" customHeight="1">
      <c r="P151" s="167"/>
      <c r="Q151" s="167"/>
      <c r="R151" s="167"/>
      <c r="S151" s="167"/>
      <c r="T151" s="167"/>
      <c r="U151" s="167"/>
      <c r="V151" s="167"/>
      <c r="W151" s="167"/>
      <c r="X151" s="167"/>
      <c r="Y151" s="167"/>
      <c r="Z151" s="167"/>
    </row>
    <row r="152" spans="16:26" ht="10.199999999999999" customHeight="1">
      <c r="P152" s="167"/>
      <c r="Q152" s="167"/>
      <c r="R152" s="167"/>
      <c r="S152" s="167"/>
      <c r="T152" s="167"/>
      <c r="U152" s="167"/>
      <c r="V152" s="167"/>
      <c r="W152" s="167"/>
      <c r="X152" s="167"/>
      <c r="Y152" s="167"/>
      <c r="Z152" s="167"/>
    </row>
    <row r="153" spans="16:26" ht="10.199999999999999" customHeight="1">
      <c r="P153" s="169"/>
      <c r="Q153" s="169"/>
      <c r="R153" s="169"/>
      <c r="S153" s="169"/>
      <c r="T153" s="169"/>
      <c r="U153" s="169"/>
      <c r="V153" s="169"/>
      <c r="W153" s="169"/>
      <c r="X153" s="169"/>
      <c r="Y153" s="169"/>
      <c r="Z153" s="169"/>
    </row>
    <row r="154" spans="16:26" ht="10.199999999999999" customHeight="1">
      <c r="P154" s="167"/>
      <c r="Q154" s="167"/>
      <c r="R154" s="167"/>
      <c r="S154" s="167"/>
      <c r="T154" s="167"/>
      <c r="U154" s="167"/>
      <c r="V154" s="167"/>
      <c r="W154" s="167"/>
      <c r="X154" s="167"/>
      <c r="Y154" s="167"/>
      <c r="Z154" s="167"/>
    </row>
    <row r="155" spans="16:26" ht="10.199999999999999" customHeight="1">
      <c r="P155" s="167"/>
      <c r="Q155" s="167"/>
      <c r="R155" s="167"/>
      <c r="S155" s="167"/>
      <c r="T155" s="167"/>
      <c r="U155" s="167"/>
      <c r="V155" s="167"/>
      <c r="W155" s="167"/>
      <c r="X155" s="167"/>
      <c r="Y155" s="167"/>
      <c r="Z155" s="167"/>
    </row>
    <row r="156" spans="16:26" ht="10.199999999999999" customHeight="1">
      <c r="P156" s="169"/>
      <c r="Q156" s="169"/>
      <c r="R156" s="169"/>
      <c r="S156" s="169"/>
      <c r="T156" s="169"/>
      <c r="U156" s="169"/>
      <c r="V156" s="169"/>
      <c r="W156" s="169"/>
      <c r="X156" s="169"/>
      <c r="Y156" s="169"/>
      <c r="Z156" s="169"/>
    </row>
    <row r="157" spans="16:26" ht="10.199999999999999" customHeight="1">
      <c r="P157" s="167"/>
      <c r="Q157" s="167"/>
      <c r="R157" s="167"/>
      <c r="S157" s="167"/>
      <c r="T157" s="167"/>
      <c r="U157" s="167"/>
      <c r="V157" s="167"/>
      <c r="W157" s="167"/>
      <c r="X157" s="167"/>
      <c r="Y157" s="167"/>
      <c r="Z157" s="167"/>
    </row>
    <row r="158" spans="16:26" ht="10.199999999999999" customHeight="1">
      <c r="P158" s="167"/>
      <c r="Q158" s="167"/>
      <c r="R158" s="167"/>
      <c r="S158" s="167"/>
      <c r="T158" s="167"/>
      <c r="U158" s="167"/>
      <c r="V158" s="167"/>
      <c r="W158" s="167"/>
      <c r="X158" s="167"/>
      <c r="Y158" s="167"/>
      <c r="Z158" s="167"/>
    </row>
    <row r="159" spans="16:26" ht="10.199999999999999" customHeight="1">
      <c r="P159" s="169"/>
      <c r="Q159" s="169"/>
      <c r="R159" s="169"/>
      <c r="S159" s="169"/>
      <c r="T159" s="169"/>
      <c r="U159" s="169"/>
      <c r="V159" s="169"/>
      <c r="W159" s="169"/>
      <c r="X159" s="169"/>
      <c r="Y159" s="169"/>
      <c r="Z159" s="169"/>
    </row>
    <row r="160" spans="16:26" ht="10.199999999999999" customHeight="1">
      <c r="P160" s="167"/>
      <c r="Q160" s="167"/>
      <c r="R160" s="167"/>
      <c r="S160" s="167"/>
      <c r="T160" s="167"/>
      <c r="U160" s="167"/>
      <c r="V160" s="167"/>
      <c r="W160" s="167"/>
      <c r="X160" s="167"/>
      <c r="Y160" s="167"/>
      <c r="Z160" s="167"/>
    </row>
    <row r="161" spans="16:26" ht="10.199999999999999" customHeight="1">
      <c r="P161" s="167"/>
      <c r="Q161" s="167"/>
      <c r="R161" s="167"/>
      <c r="S161" s="167"/>
      <c r="T161" s="167"/>
      <c r="U161" s="167"/>
      <c r="V161" s="167"/>
      <c r="W161" s="167"/>
      <c r="X161" s="167"/>
      <c r="Y161" s="167"/>
      <c r="Z161" s="167"/>
    </row>
    <row r="162" spans="16:26" ht="10.199999999999999" customHeight="1">
      <c r="P162" s="169"/>
      <c r="Q162" s="169"/>
      <c r="R162" s="169"/>
      <c r="S162" s="169"/>
      <c r="T162" s="169"/>
      <c r="U162" s="169"/>
      <c r="V162" s="169"/>
      <c r="W162" s="169"/>
      <c r="X162" s="169"/>
      <c r="Y162" s="169"/>
      <c r="Z162" s="169"/>
    </row>
    <row r="163" spans="16:26" ht="10.199999999999999" customHeight="1">
      <c r="P163" s="167"/>
      <c r="Q163" s="167"/>
      <c r="R163" s="167"/>
      <c r="S163" s="167"/>
      <c r="T163" s="167"/>
      <c r="U163" s="167"/>
      <c r="V163" s="167"/>
      <c r="W163" s="167"/>
      <c r="X163" s="167"/>
      <c r="Y163" s="167"/>
      <c r="Z163" s="167"/>
    </row>
    <row r="164" spans="16:26" ht="10.199999999999999" customHeight="1">
      <c r="P164" s="167"/>
      <c r="Q164" s="167"/>
      <c r="R164" s="167"/>
      <c r="S164" s="167"/>
      <c r="T164" s="167"/>
      <c r="U164" s="167"/>
      <c r="V164" s="167"/>
      <c r="W164" s="167"/>
      <c r="X164" s="167"/>
      <c r="Y164" s="167"/>
      <c r="Z164" s="167"/>
    </row>
    <row r="165" spans="16:26" ht="10.199999999999999" customHeight="1">
      <c r="P165" s="169"/>
      <c r="Q165" s="169"/>
      <c r="R165" s="169"/>
      <c r="S165" s="169"/>
      <c r="T165" s="169"/>
      <c r="U165" s="169"/>
      <c r="V165" s="169"/>
      <c r="W165" s="169"/>
      <c r="X165" s="169"/>
      <c r="Y165" s="169"/>
      <c r="Z165" s="169"/>
    </row>
    <row r="166" spans="16:26" ht="10.199999999999999" customHeight="1">
      <c r="P166" s="167"/>
      <c r="Q166" s="167"/>
      <c r="R166" s="167"/>
      <c r="S166" s="167"/>
      <c r="T166" s="167"/>
      <c r="U166" s="167"/>
      <c r="V166" s="167"/>
      <c r="W166" s="167"/>
      <c r="X166" s="167"/>
      <c r="Y166" s="167"/>
      <c r="Z166" s="167"/>
    </row>
    <row r="167" spans="16:26" ht="10.199999999999999" customHeight="1">
      <c r="P167" s="167"/>
      <c r="Q167" s="167"/>
      <c r="R167" s="167"/>
      <c r="S167" s="167"/>
      <c r="T167" s="167"/>
      <c r="U167" s="167"/>
      <c r="V167" s="167"/>
      <c r="W167" s="167"/>
      <c r="X167" s="167"/>
      <c r="Y167" s="167"/>
      <c r="Z167" s="167"/>
    </row>
    <row r="168" spans="16:26" ht="10.199999999999999" customHeight="1">
      <c r="P168" s="169"/>
      <c r="Q168" s="169"/>
      <c r="R168" s="169"/>
      <c r="S168" s="169"/>
      <c r="T168" s="169"/>
      <c r="U168" s="169"/>
      <c r="V168" s="169"/>
      <c r="W168" s="169"/>
      <c r="X168" s="169"/>
      <c r="Y168" s="169"/>
      <c r="Z168" s="169"/>
    </row>
    <row r="169" spans="16:26" ht="10.199999999999999" customHeight="1">
      <c r="P169" s="167"/>
      <c r="Q169" s="167"/>
      <c r="R169" s="167"/>
      <c r="S169" s="167"/>
      <c r="T169" s="167"/>
      <c r="U169" s="167"/>
      <c r="V169" s="167"/>
      <c r="W169" s="167"/>
      <c r="X169" s="167"/>
      <c r="Y169" s="167"/>
      <c r="Z169" s="167"/>
    </row>
    <row r="170" spans="16:26" ht="10.199999999999999" customHeight="1">
      <c r="P170" s="167"/>
      <c r="Q170" s="167"/>
      <c r="R170" s="167"/>
      <c r="S170" s="167"/>
      <c r="T170" s="167"/>
      <c r="U170" s="167"/>
      <c r="V170" s="167"/>
      <c r="W170" s="167"/>
      <c r="X170" s="167"/>
      <c r="Y170" s="167"/>
      <c r="Z170" s="167"/>
    </row>
    <row r="171" spans="16:26" ht="10.199999999999999" customHeight="1">
      <c r="P171" s="169"/>
      <c r="Q171" s="169"/>
      <c r="R171" s="169"/>
      <c r="S171" s="169"/>
      <c r="T171" s="169"/>
      <c r="U171" s="169"/>
      <c r="V171" s="169"/>
      <c r="W171" s="169"/>
      <c r="X171" s="169"/>
      <c r="Y171" s="169"/>
      <c r="Z171" s="169"/>
    </row>
    <row r="172" spans="16:26" ht="10.199999999999999" customHeight="1">
      <c r="P172" s="167"/>
      <c r="Q172" s="167"/>
      <c r="R172" s="167"/>
      <c r="S172" s="167"/>
      <c r="T172" s="167"/>
      <c r="U172" s="167"/>
      <c r="V172" s="167"/>
      <c r="W172" s="167"/>
      <c r="X172" s="167"/>
      <c r="Y172" s="167"/>
      <c r="Z172" s="167"/>
    </row>
    <row r="173" spans="16:26" ht="10.199999999999999" customHeight="1">
      <c r="P173" s="167"/>
      <c r="Q173" s="167"/>
      <c r="R173" s="167"/>
      <c r="S173" s="167"/>
      <c r="T173" s="167"/>
      <c r="U173" s="167"/>
      <c r="V173" s="167"/>
      <c r="W173" s="167"/>
      <c r="X173" s="167"/>
      <c r="Y173" s="167"/>
      <c r="Z173" s="167"/>
    </row>
    <row r="174" spans="16:26" ht="10.199999999999999" customHeight="1">
      <c r="P174" s="169"/>
      <c r="Q174" s="169"/>
      <c r="R174" s="169"/>
      <c r="S174" s="169"/>
      <c r="T174" s="169"/>
      <c r="U174" s="169"/>
      <c r="V174" s="169"/>
      <c r="W174" s="169"/>
      <c r="X174" s="169"/>
      <c r="Y174" s="169"/>
      <c r="Z174" s="169"/>
    </row>
    <row r="175" spans="16:26" ht="10.199999999999999" customHeight="1">
      <c r="P175" s="167"/>
      <c r="Q175" s="167"/>
      <c r="R175" s="167"/>
      <c r="S175" s="167"/>
      <c r="T175" s="167"/>
      <c r="U175" s="167"/>
      <c r="V175" s="167"/>
      <c r="W175" s="167"/>
      <c r="X175" s="167"/>
      <c r="Y175" s="167"/>
      <c r="Z175" s="167"/>
    </row>
    <row r="176" spans="16:26" ht="10.199999999999999" customHeight="1">
      <c r="P176" s="167"/>
      <c r="Q176" s="167"/>
      <c r="R176" s="167"/>
      <c r="S176" s="167"/>
      <c r="T176" s="167"/>
      <c r="U176" s="167"/>
      <c r="V176" s="167"/>
      <c r="W176" s="167"/>
      <c r="X176" s="167"/>
      <c r="Y176" s="167"/>
      <c r="Z176" s="167"/>
    </row>
    <row r="177" spans="16:26" ht="10.199999999999999" customHeight="1">
      <c r="P177" s="169"/>
      <c r="Q177" s="169"/>
      <c r="R177" s="169"/>
      <c r="S177" s="169"/>
      <c r="T177" s="169"/>
      <c r="U177" s="169"/>
      <c r="V177" s="169"/>
      <c r="W177" s="169"/>
      <c r="X177" s="169"/>
      <c r="Y177" s="169"/>
      <c r="Z177" s="169"/>
    </row>
    <row r="178" spans="16:26" ht="10.199999999999999" customHeight="1">
      <c r="P178" s="167"/>
      <c r="Q178" s="167"/>
      <c r="R178" s="167"/>
      <c r="S178" s="167"/>
      <c r="T178" s="167"/>
      <c r="U178" s="167"/>
      <c r="V178" s="167"/>
      <c r="W178" s="167"/>
      <c r="X178" s="167"/>
      <c r="Y178" s="167"/>
      <c r="Z178" s="167"/>
    </row>
    <row r="179" spans="16:26" ht="10.199999999999999" customHeight="1">
      <c r="P179" s="167"/>
      <c r="Q179" s="167"/>
      <c r="R179" s="167"/>
      <c r="S179" s="167"/>
      <c r="T179" s="167"/>
      <c r="U179" s="167"/>
      <c r="V179" s="167"/>
      <c r="W179" s="167"/>
      <c r="X179" s="167"/>
      <c r="Y179" s="167"/>
      <c r="Z179" s="167"/>
    </row>
    <row r="180" spans="16:26" ht="10.199999999999999" customHeight="1">
      <c r="P180" s="169"/>
      <c r="Q180" s="169"/>
      <c r="R180" s="169"/>
      <c r="S180" s="169"/>
      <c r="T180" s="169"/>
      <c r="U180" s="169"/>
      <c r="V180" s="169"/>
      <c r="W180" s="169"/>
      <c r="X180" s="169"/>
      <c r="Y180" s="169"/>
      <c r="Z180" s="169"/>
    </row>
    <row r="181" spans="16:26" ht="10.199999999999999" customHeight="1">
      <c r="P181" s="167"/>
      <c r="Q181" s="167"/>
      <c r="R181" s="167"/>
      <c r="S181" s="167"/>
      <c r="T181" s="167"/>
      <c r="U181" s="167"/>
      <c r="V181" s="167"/>
      <c r="W181" s="167"/>
      <c r="X181" s="167"/>
      <c r="Y181" s="167"/>
      <c r="Z181" s="167"/>
    </row>
    <row r="182" spans="16:26" ht="10.199999999999999" customHeight="1">
      <c r="P182" s="167"/>
      <c r="Q182" s="167"/>
      <c r="R182" s="167"/>
      <c r="S182" s="167"/>
      <c r="T182" s="167"/>
      <c r="U182" s="167"/>
      <c r="V182" s="167"/>
      <c r="W182" s="167"/>
      <c r="X182" s="167"/>
      <c r="Y182" s="167"/>
      <c r="Z182" s="167"/>
    </row>
    <row r="183" spans="16:26" ht="10.199999999999999" customHeight="1">
      <c r="P183" s="169"/>
      <c r="Q183" s="169"/>
      <c r="R183" s="169"/>
      <c r="S183" s="169"/>
      <c r="T183" s="169"/>
      <c r="U183" s="169"/>
      <c r="V183" s="169"/>
      <c r="W183" s="169"/>
      <c r="X183" s="169"/>
      <c r="Y183" s="169"/>
      <c r="Z183" s="169"/>
    </row>
    <row r="184" spans="16:26" ht="10.199999999999999" customHeight="1">
      <c r="P184" s="167"/>
      <c r="Q184" s="167"/>
      <c r="R184" s="167"/>
      <c r="S184" s="167"/>
      <c r="T184" s="167"/>
      <c r="U184" s="167"/>
      <c r="V184" s="167"/>
      <c r="W184" s="167"/>
      <c r="X184" s="167"/>
      <c r="Y184" s="167"/>
      <c r="Z184" s="167"/>
    </row>
    <row r="185" spans="16:26" ht="10.199999999999999" customHeight="1">
      <c r="P185" s="167"/>
      <c r="Q185" s="167"/>
      <c r="R185" s="167"/>
      <c r="S185" s="167"/>
      <c r="T185" s="167"/>
      <c r="U185" s="167"/>
      <c r="V185" s="167"/>
      <c r="W185" s="167"/>
      <c r="X185" s="167"/>
      <c r="Y185" s="167"/>
      <c r="Z185" s="167"/>
    </row>
    <row r="186" spans="16:26" ht="10.199999999999999" customHeight="1">
      <c r="P186" s="169"/>
      <c r="Q186" s="169"/>
      <c r="R186" s="169"/>
      <c r="S186" s="169"/>
      <c r="T186" s="169"/>
      <c r="U186" s="169"/>
      <c r="V186" s="169"/>
      <c r="W186" s="169"/>
      <c r="X186" s="169"/>
      <c r="Y186" s="169"/>
      <c r="Z186" s="169"/>
    </row>
    <row r="187" spans="16:26" ht="10.199999999999999" customHeight="1">
      <c r="P187" s="167"/>
      <c r="Q187" s="167"/>
      <c r="R187" s="167"/>
      <c r="S187" s="167"/>
      <c r="T187" s="167"/>
      <c r="U187" s="167"/>
      <c r="V187" s="167"/>
      <c r="W187" s="167"/>
      <c r="X187" s="167"/>
      <c r="Y187" s="167"/>
      <c r="Z187" s="167"/>
    </row>
    <row r="188" spans="16:26" ht="10.199999999999999" customHeight="1">
      <c r="P188" s="167"/>
      <c r="Q188" s="167"/>
      <c r="R188" s="167"/>
      <c r="S188" s="167"/>
      <c r="T188" s="167"/>
      <c r="U188" s="167"/>
      <c r="V188" s="167"/>
      <c r="W188" s="167"/>
      <c r="X188" s="167"/>
      <c r="Y188" s="167"/>
      <c r="Z188" s="167"/>
    </row>
    <row r="189" spans="16:26" ht="10.199999999999999" customHeight="1">
      <c r="P189" s="169"/>
      <c r="Q189" s="169"/>
      <c r="R189" s="169"/>
      <c r="S189" s="169"/>
      <c r="T189" s="169"/>
      <c r="U189" s="169"/>
      <c r="V189" s="169"/>
      <c r="W189" s="169"/>
      <c r="X189" s="169"/>
      <c r="Y189" s="169"/>
      <c r="Z189" s="169"/>
    </row>
    <row r="190" spans="16:26" ht="10.199999999999999" customHeight="1">
      <c r="P190" s="167"/>
      <c r="Q190" s="167"/>
      <c r="R190" s="167"/>
      <c r="S190" s="167"/>
      <c r="T190" s="167"/>
      <c r="U190" s="167"/>
      <c r="V190" s="167"/>
      <c r="W190" s="167"/>
      <c r="X190" s="167"/>
      <c r="Y190" s="167"/>
      <c r="Z190" s="167"/>
    </row>
    <row r="191" spans="16:26" ht="10.199999999999999" customHeight="1">
      <c r="P191" s="167"/>
      <c r="Q191" s="167"/>
      <c r="R191" s="167"/>
      <c r="S191" s="167"/>
      <c r="T191" s="167"/>
      <c r="U191" s="167"/>
      <c r="V191" s="167"/>
      <c r="W191" s="167"/>
      <c r="X191" s="167"/>
      <c r="Y191" s="167"/>
      <c r="Z191" s="167"/>
    </row>
    <row r="192" spans="16:26" ht="10.199999999999999" customHeight="1">
      <c r="P192" s="169"/>
      <c r="Q192" s="169"/>
      <c r="R192" s="169"/>
      <c r="S192" s="169"/>
      <c r="T192" s="169"/>
      <c r="U192" s="169"/>
      <c r="V192" s="169"/>
      <c r="W192" s="169"/>
      <c r="X192" s="169"/>
      <c r="Y192" s="169"/>
      <c r="Z192" s="169"/>
    </row>
    <row r="193" spans="16:26" ht="10.199999999999999" customHeight="1">
      <c r="P193" s="167"/>
      <c r="Q193" s="167"/>
      <c r="R193" s="167"/>
      <c r="S193" s="167"/>
      <c r="T193" s="167"/>
      <c r="U193" s="167"/>
      <c r="V193" s="167"/>
      <c r="W193" s="167"/>
      <c r="X193" s="167"/>
      <c r="Y193" s="167"/>
      <c r="Z193" s="167"/>
    </row>
    <row r="194" spans="16:26" ht="10.199999999999999" customHeight="1">
      <c r="P194" s="167"/>
      <c r="Q194" s="167"/>
      <c r="R194" s="167"/>
      <c r="S194" s="167"/>
      <c r="T194" s="167"/>
      <c r="U194" s="167"/>
      <c r="V194" s="167"/>
      <c r="W194" s="167"/>
      <c r="X194" s="167"/>
      <c r="Y194" s="167"/>
      <c r="Z194" s="167"/>
    </row>
    <row r="195" spans="16:26" ht="10.199999999999999" customHeight="1">
      <c r="P195" s="169"/>
      <c r="Q195" s="169"/>
      <c r="R195" s="169"/>
      <c r="S195" s="169"/>
      <c r="T195" s="169"/>
      <c r="U195" s="169"/>
      <c r="V195" s="169"/>
      <c r="W195" s="169"/>
      <c r="X195" s="169"/>
      <c r="Y195" s="169"/>
      <c r="Z195" s="169"/>
    </row>
    <row r="196" spans="16:26" ht="10.199999999999999" customHeight="1">
      <c r="P196" s="167"/>
      <c r="Q196" s="167"/>
      <c r="R196" s="167"/>
      <c r="S196" s="167"/>
      <c r="T196" s="167"/>
      <c r="U196" s="167"/>
      <c r="V196" s="167"/>
      <c r="W196" s="167"/>
      <c r="X196" s="167"/>
      <c r="Y196" s="167"/>
      <c r="Z196" s="167"/>
    </row>
    <row r="197" spans="16:26" ht="10.199999999999999" customHeight="1">
      <c r="P197" s="167"/>
      <c r="Q197" s="167"/>
      <c r="R197" s="167"/>
      <c r="S197" s="167"/>
      <c r="T197" s="167"/>
      <c r="U197" s="167"/>
      <c r="V197" s="167"/>
      <c r="W197" s="167"/>
      <c r="X197" s="167"/>
      <c r="Y197" s="167"/>
      <c r="Z197" s="167"/>
    </row>
    <row r="198" spans="16:26" ht="10.199999999999999" customHeight="1">
      <c r="P198" s="169"/>
      <c r="Q198" s="169"/>
      <c r="R198" s="169"/>
      <c r="S198" s="169"/>
      <c r="T198" s="169"/>
      <c r="U198" s="169"/>
      <c r="V198" s="169"/>
      <c r="W198" s="169"/>
      <c r="X198" s="169"/>
      <c r="Y198" s="169"/>
      <c r="Z198" s="169"/>
    </row>
    <row r="199" spans="16:26" ht="10.199999999999999" customHeight="1">
      <c r="P199" s="167"/>
      <c r="Q199" s="167"/>
      <c r="R199" s="167"/>
      <c r="S199" s="167"/>
      <c r="T199" s="167"/>
      <c r="U199" s="167"/>
      <c r="V199" s="167"/>
      <c r="W199" s="167"/>
      <c r="X199" s="167"/>
      <c r="Y199" s="167"/>
      <c r="Z199" s="167"/>
    </row>
    <row r="200" spans="16:26" ht="10.199999999999999" customHeight="1">
      <c r="P200" s="167"/>
      <c r="Q200" s="167"/>
      <c r="R200" s="167"/>
      <c r="S200" s="167"/>
      <c r="T200" s="167"/>
      <c r="U200" s="167"/>
      <c r="V200" s="167"/>
      <c r="W200" s="167"/>
      <c r="X200" s="167"/>
      <c r="Y200" s="167"/>
      <c r="Z200" s="167"/>
    </row>
    <row r="201" spans="16:26" ht="10.199999999999999" customHeight="1">
      <c r="P201" s="169"/>
      <c r="Q201" s="169"/>
      <c r="R201" s="169"/>
      <c r="S201" s="169"/>
      <c r="T201" s="169"/>
      <c r="U201" s="169"/>
      <c r="V201" s="169"/>
      <c r="W201" s="169"/>
      <c r="X201" s="169"/>
      <c r="Y201" s="169"/>
      <c r="Z201" s="169"/>
    </row>
    <row r="202" spans="16:26" ht="10.199999999999999" customHeight="1">
      <c r="P202" s="167"/>
      <c r="Q202" s="167"/>
      <c r="R202" s="167"/>
      <c r="S202" s="167"/>
      <c r="T202" s="167"/>
      <c r="U202" s="167"/>
      <c r="V202" s="167"/>
      <c r="W202" s="167"/>
      <c r="X202" s="167"/>
      <c r="Y202" s="167"/>
      <c r="Z202" s="167"/>
    </row>
    <row r="203" spans="16:26" ht="10.199999999999999" customHeight="1">
      <c r="P203" s="167"/>
      <c r="Q203" s="167"/>
      <c r="R203" s="167"/>
      <c r="S203" s="167"/>
      <c r="T203" s="167"/>
      <c r="U203" s="167"/>
      <c r="V203" s="167"/>
      <c r="W203" s="167"/>
      <c r="X203" s="167"/>
      <c r="Y203" s="167"/>
      <c r="Z203" s="167"/>
    </row>
    <row r="204" spans="16:26" ht="10.199999999999999" customHeight="1">
      <c r="P204" s="169"/>
      <c r="Q204" s="169"/>
      <c r="R204" s="169"/>
      <c r="S204" s="169"/>
      <c r="T204" s="169"/>
      <c r="U204" s="169"/>
      <c r="V204" s="169"/>
      <c r="W204" s="169"/>
      <c r="X204" s="169"/>
      <c r="Y204" s="169"/>
      <c r="Z204" s="169"/>
    </row>
    <row r="205" spans="16:26" ht="10.199999999999999" customHeight="1">
      <c r="P205" s="167"/>
      <c r="Q205" s="167"/>
      <c r="R205" s="167"/>
      <c r="S205" s="167"/>
      <c r="T205" s="167"/>
      <c r="U205" s="167"/>
      <c r="V205" s="167"/>
      <c r="W205" s="167"/>
      <c r="X205" s="167"/>
      <c r="Y205" s="167"/>
      <c r="Z205" s="167"/>
    </row>
    <row r="206" spans="16:26" ht="10.199999999999999" customHeight="1">
      <c r="P206" s="167"/>
      <c r="Q206" s="167"/>
      <c r="R206" s="167"/>
      <c r="S206" s="167"/>
      <c r="T206" s="167"/>
      <c r="U206" s="167"/>
      <c r="V206" s="167"/>
      <c r="W206" s="167"/>
      <c r="X206" s="167"/>
      <c r="Y206" s="167"/>
      <c r="Z206" s="167"/>
    </row>
    <row r="207" spans="16:26" ht="10.199999999999999" customHeight="1">
      <c r="P207" s="169"/>
      <c r="Q207" s="169"/>
      <c r="R207" s="169"/>
      <c r="S207" s="169"/>
      <c r="T207" s="169"/>
      <c r="U207" s="169"/>
      <c r="V207" s="169"/>
      <c r="W207" s="169"/>
      <c r="X207" s="169"/>
      <c r="Y207" s="169"/>
      <c r="Z207" s="169"/>
    </row>
    <row r="208" spans="16:26" ht="10.199999999999999" customHeight="1">
      <c r="P208" s="167"/>
      <c r="Q208" s="167"/>
      <c r="R208" s="167"/>
      <c r="S208" s="167"/>
      <c r="T208" s="167"/>
      <c r="U208" s="167"/>
      <c r="V208" s="167"/>
      <c r="W208" s="167"/>
      <c r="X208" s="167"/>
      <c r="Y208" s="167"/>
      <c r="Z208" s="167"/>
    </row>
    <row r="209" spans="16:26" ht="10.199999999999999" customHeight="1">
      <c r="P209" s="167"/>
      <c r="Q209" s="167"/>
      <c r="R209" s="167"/>
      <c r="S209" s="167"/>
      <c r="T209" s="167"/>
      <c r="U209" s="167"/>
      <c r="V209" s="167"/>
      <c r="W209" s="167"/>
      <c r="X209" s="167"/>
      <c r="Y209" s="167"/>
      <c r="Z209" s="167"/>
    </row>
    <row r="210" spans="16:26" ht="10.199999999999999" customHeight="1">
      <c r="P210" s="169"/>
      <c r="Q210" s="169"/>
      <c r="R210" s="169"/>
      <c r="S210" s="169"/>
      <c r="T210" s="169"/>
      <c r="U210" s="169"/>
      <c r="V210" s="169"/>
      <c r="W210" s="169"/>
      <c r="X210" s="169"/>
      <c r="Y210" s="169"/>
      <c r="Z210" s="169"/>
    </row>
    <row r="211" spans="16:26" ht="10.199999999999999" customHeight="1">
      <c r="P211" s="167"/>
      <c r="Q211" s="167"/>
      <c r="R211" s="167"/>
      <c r="S211" s="167"/>
      <c r="T211" s="167"/>
      <c r="U211" s="167"/>
      <c r="V211" s="167"/>
      <c r="W211" s="167"/>
      <c r="X211" s="167"/>
      <c r="Y211" s="167"/>
      <c r="Z211" s="167"/>
    </row>
    <row r="212" spans="16:26" ht="10.199999999999999" customHeight="1">
      <c r="P212" s="167"/>
      <c r="Q212" s="167"/>
      <c r="R212" s="167"/>
      <c r="S212" s="167"/>
      <c r="T212" s="167"/>
      <c r="U212" s="167"/>
      <c r="V212" s="167"/>
      <c r="W212" s="167"/>
      <c r="X212" s="167"/>
      <c r="Y212" s="167"/>
      <c r="Z212" s="167"/>
    </row>
    <row r="213" spans="16:26" ht="10.199999999999999" customHeight="1">
      <c r="P213" s="169"/>
      <c r="Q213" s="169"/>
      <c r="R213" s="169"/>
      <c r="S213" s="169"/>
      <c r="T213" s="169"/>
      <c r="U213" s="169"/>
      <c r="V213" s="169"/>
      <c r="W213" s="169"/>
      <c r="X213" s="169"/>
      <c r="Y213" s="169"/>
      <c r="Z213" s="169"/>
    </row>
    <row r="214" spans="16:26" ht="10.199999999999999" customHeight="1">
      <c r="P214" s="167"/>
      <c r="Q214" s="167"/>
      <c r="R214" s="167"/>
      <c r="S214" s="167"/>
      <c r="T214" s="167"/>
      <c r="U214" s="167"/>
      <c r="V214" s="167"/>
      <c r="W214" s="167"/>
      <c r="X214" s="167"/>
      <c r="Y214" s="167"/>
      <c r="Z214" s="167"/>
    </row>
    <row r="215" spans="16:26" ht="10.199999999999999" customHeight="1">
      <c r="P215" s="167"/>
      <c r="Q215" s="167"/>
      <c r="R215" s="167"/>
      <c r="S215" s="167"/>
      <c r="T215" s="167"/>
      <c r="U215" s="167"/>
      <c r="V215" s="167"/>
      <c r="W215" s="167"/>
      <c r="X215" s="167"/>
      <c r="Y215" s="167"/>
      <c r="Z215" s="167"/>
    </row>
    <row r="216" spans="16:26" ht="10.199999999999999" customHeight="1">
      <c r="P216" s="169"/>
      <c r="Q216" s="169"/>
      <c r="R216" s="169"/>
      <c r="S216" s="169"/>
      <c r="T216" s="169"/>
      <c r="U216" s="169"/>
      <c r="V216" s="169"/>
      <c r="W216" s="169"/>
      <c r="X216" s="169"/>
      <c r="Y216" s="169"/>
      <c r="Z216" s="169"/>
    </row>
    <row r="217" spans="16:26" ht="10.199999999999999" customHeight="1">
      <c r="P217" s="167"/>
      <c r="Q217" s="167"/>
      <c r="R217" s="167"/>
      <c r="S217" s="167"/>
      <c r="T217" s="167"/>
      <c r="U217" s="167"/>
      <c r="V217" s="167"/>
      <c r="W217" s="167"/>
      <c r="X217" s="167"/>
      <c r="Y217" s="167"/>
      <c r="Z217" s="167"/>
    </row>
    <row r="218" spans="16:26" ht="10.199999999999999" customHeight="1">
      <c r="P218" s="167"/>
      <c r="Q218" s="167"/>
      <c r="R218" s="167"/>
      <c r="S218" s="167"/>
      <c r="T218" s="167"/>
      <c r="U218" s="167"/>
      <c r="V218" s="167"/>
      <c r="W218" s="167"/>
      <c r="X218" s="167"/>
      <c r="Y218" s="167"/>
      <c r="Z218" s="167"/>
    </row>
    <row r="219" spans="16:26" ht="10.199999999999999" customHeight="1">
      <c r="P219" s="169"/>
      <c r="Q219" s="169"/>
      <c r="R219" s="169"/>
      <c r="S219" s="169"/>
      <c r="T219" s="169"/>
      <c r="U219" s="169"/>
      <c r="V219" s="169"/>
      <c r="W219" s="169"/>
      <c r="X219" s="169"/>
      <c r="Y219" s="169"/>
      <c r="Z219" s="169"/>
    </row>
    <row r="220" spans="16:26" ht="10.199999999999999" customHeight="1">
      <c r="P220" s="167"/>
      <c r="Q220" s="167"/>
      <c r="R220" s="167"/>
      <c r="S220" s="167"/>
      <c r="T220" s="167"/>
      <c r="U220" s="167"/>
      <c r="V220" s="167"/>
      <c r="W220" s="167"/>
      <c r="X220" s="167"/>
      <c r="Y220" s="167"/>
      <c r="Z220" s="167"/>
    </row>
    <row r="221" spans="16:26" ht="10.199999999999999" customHeight="1">
      <c r="P221" s="167"/>
      <c r="Q221" s="167"/>
      <c r="R221" s="167"/>
      <c r="S221" s="167"/>
      <c r="T221" s="167"/>
      <c r="U221" s="167"/>
      <c r="V221" s="167"/>
      <c r="W221" s="167"/>
      <c r="X221" s="167"/>
      <c r="Y221" s="167"/>
      <c r="Z221" s="167"/>
    </row>
    <row r="222" spans="16:26" ht="10.199999999999999" customHeight="1">
      <c r="P222" s="169"/>
      <c r="Q222" s="169"/>
      <c r="R222" s="169"/>
      <c r="S222" s="169"/>
      <c r="T222" s="169"/>
      <c r="U222" s="169"/>
      <c r="V222" s="169"/>
      <c r="W222" s="169"/>
      <c r="X222" s="169"/>
      <c r="Y222" s="169"/>
      <c r="Z222" s="169"/>
    </row>
    <row r="223" spans="16:26" ht="10.199999999999999" customHeight="1">
      <c r="P223" s="167"/>
      <c r="Q223" s="167"/>
      <c r="R223" s="167"/>
      <c r="S223" s="167"/>
      <c r="T223" s="167"/>
      <c r="U223" s="167"/>
      <c r="V223" s="167"/>
      <c r="W223" s="167"/>
      <c r="X223" s="167"/>
      <c r="Y223" s="167"/>
      <c r="Z223" s="167"/>
    </row>
    <row r="224" spans="16:26" ht="10.199999999999999" customHeight="1">
      <c r="P224" s="167"/>
      <c r="Q224" s="167"/>
      <c r="R224" s="167"/>
      <c r="S224" s="167"/>
      <c r="T224" s="167"/>
      <c r="U224" s="167"/>
      <c r="V224" s="167"/>
      <c r="W224" s="167"/>
      <c r="X224" s="167"/>
      <c r="Y224" s="167"/>
      <c r="Z224" s="167"/>
    </row>
    <row r="225" spans="16:26" ht="10.199999999999999" customHeight="1">
      <c r="P225" s="169"/>
      <c r="Q225" s="169"/>
      <c r="R225" s="169"/>
      <c r="S225" s="169"/>
      <c r="T225" s="169"/>
      <c r="U225" s="169"/>
      <c r="V225" s="169"/>
      <c r="W225" s="169"/>
      <c r="X225" s="169"/>
      <c r="Y225" s="169"/>
      <c r="Z225" s="169"/>
    </row>
    <row r="226" spans="16:26" ht="10.199999999999999" customHeight="1">
      <c r="P226" s="167"/>
      <c r="Q226" s="167"/>
      <c r="R226" s="167"/>
      <c r="S226" s="167"/>
      <c r="T226" s="167"/>
      <c r="U226" s="167"/>
      <c r="V226" s="167"/>
      <c r="W226" s="167"/>
      <c r="X226" s="167"/>
      <c r="Y226" s="167"/>
      <c r="Z226" s="167"/>
    </row>
    <row r="227" spans="16:26" ht="10.199999999999999" customHeight="1">
      <c r="P227" s="167"/>
      <c r="Q227" s="167"/>
      <c r="R227" s="167"/>
      <c r="S227" s="167"/>
      <c r="T227" s="167"/>
      <c r="U227" s="167"/>
      <c r="V227" s="167"/>
      <c r="W227" s="167"/>
      <c r="X227" s="167"/>
      <c r="Y227" s="167"/>
      <c r="Z227" s="167"/>
    </row>
    <row r="228" spans="16:26" ht="10.199999999999999" customHeight="1">
      <c r="P228" s="169"/>
      <c r="Q228" s="169"/>
      <c r="R228" s="169"/>
      <c r="S228" s="169"/>
      <c r="T228" s="169"/>
      <c r="U228" s="169"/>
      <c r="V228" s="169"/>
      <c r="W228" s="169"/>
      <c r="X228" s="169"/>
      <c r="Y228" s="169"/>
      <c r="Z228" s="169"/>
    </row>
    <row r="229" spans="16:26" ht="10.199999999999999" customHeight="1">
      <c r="P229" s="167"/>
      <c r="Q229" s="167"/>
      <c r="R229" s="167"/>
      <c r="S229" s="167"/>
      <c r="T229" s="167"/>
      <c r="U229" s="167"/>
      <c r="V229" s="167"/>
      <c r="W229" s="167"/>
      <c r="X229" s="167"/>
      <c r="Y229" s="167"/>
      <c r="Z229" s="167"/>
    </row>
    <row r="230" spans="16:26" ht="10.199999999999999" customHeight="1">
      <c r="P230" s="167"/>
      <c r="Q230" s="167"/>
      <c r="R230" s="167"/>
      <c r="S230" s="167"/>
      <c r="T230" s="167"/>
      <c r="U230" s="167"/>
      <c r="V230" s="167"/>
      <c r="W230" s="167"/>
      <c r="X230" s="167"/>
      <c r="Y230" s="167"/>
      <c r="Z230" s="167"/>
    </row>
    <row r="231" spans="16:26" ht="10.199999999999999" customHeight="1">
      <c r="P231" s="169"/>
      <c r="Q231" s="169"/>
      <c r="R231" s="169"/>
      <c r="S231" s="169"/>
      <c r="T231" s="169"/>
      <c r="U231" s="169"/>
      <c r="V231" s="169"/>
      <c r="W231" s="169"/>
      <c r="X231" s="169"/>
      <c r="Y231" s="169"/>
      <c r="Z231" s="169"/>
    </row>
    <row r="232" spans="16:26" ht="10.199999999999999" customHeight="1">
      <c r="P232" s="167"/>
      <c r="Q232" s="167"/>
      <c r="R232" s="167"/>
      <c r="S232" s="167"/>
      <c r="T232" s="167"/>
      <c r="U232" s="167"/>
      <c r="V232" s="167"/>
      <c r="W232" s="167"/>
      <c r="X232" s="167"/>
      <c r="Y232" s="167"/>
      <c r="Z232" s="167"/>
    </row>
    <row r="233" spans="16:26" ht="10.199999999999999" customHeight="1">
      <c r="P233" s="167"/>
      <c r="Q233" s="167"/>
      <c r="R233" s="167"/>
      <c r="S233" s="167"/>
      <c r="T233" s="167"/>
      <c r="U233" s="167"/>
      <c r="V233" s="167"/>
      <c r="W233" s="167"/>
      <c r="X233" s="167"/>
      <c r="Y233" s="167"/>
      <c r="Z233" s="167"/>
    </row>
    <row r="234" spans="16:26" ht="10.199999999999999" customHeight="1">
      <c r="P234" s="169"/>
      <c r="Q234" s="169"/>
      <c r="R234" s="169"/>
      <c r="S234" s="169"/>
      <c r="T234" s="169"/>
      <c r="U234" s="169"/>
      <c r="V234" s="169"/>
      <c r="W234" s="169"/>
      <c r="X234" s="169"/>
      <c r="Y234" s="169"/>
      <c r="Z234" s="169"/>
    </row>
    <row r="235" spans="16:26" ht="10.199999999999999" customHeight="1">
      <c r="P235" s="167"/>
      <c r="Q235" s="167"/>
      <c r="R235" s="167"/>
      <c r="S235" s="167"/>
      <c r="T235" s="167"/>
      <c r="U235" s="167"/>
      <c r="V235" s="167"/>
      <c r="W235" s="167"/>
      <c r="X235" s="167"/>
      <c r="Y235" s="167"/>
      <c r="Z235" s="167"/>
    </row>
    <row r="236" spans="16:26" ht="10.199999999999999" customHeight="1">
      <c r="P236" s="167"/>
      <c r="Q236" s="167"/>
      <c r="R236" s="167"/>
      <c r="S236" s="167"/>
      <c r="T236" s="167"/>
      <c r="U236" s="167"/>
      <c r="V236" s="167"/>
      <c r="W236" s="167"/>
      <c r="X236" s="167"/>
      <c r="Y236" s="167"/>
      <c r="Z236" s="167"/>
    </row>
    <row r="237" spans="16:26" ht="10.199999999999999" customHeight="1">
      <c r="P237" s="169"/>
      <c r="Q237" s="169"/>
      <c r="R237" s="169"/>
      <c r="S237" s="169"/>
      <c r="T237" s="169"/>
      <c r="U237" s="169"/>
      <c r="V237" s="169"/>
      <c r="W237" s="169"/>
      <c r="X237" s="169"/>
      <c r="Y237" s="169"/>
      <c r="Z237" s="169"/>
    </row>
    <row r="238" spans="16:26" ht="10.199999999999999" customHeight="1">
      <c r="P238" s="167"/>
      <c r="Q238" s="167"/>
      <c r="R238" s="167"/>
      <c r="S238" s="167"/>
      <c r="T238" s="167"/>
      <c r="U238" s="167"/>
      <c r="V238" s="167"/>
      <c r="W238" s="167"/>
      <c r="X238" s="167"/>
      <c r="Y238" s="167"/>
      <c r="Z238" s="167"/>
    </row>
    <row r="239" spans="16:26" ht="10.199999999999999" customHeight="1">
      <c r="P239" s="167"/>
      <c r="Q239" s="167"/>
      <c r="R239" s="167"/>
      <c r="S239" s="167"/>
      <c r="T239" s="167"/>
      <c r="U239" s="167"/>
      <c r="V239" s="167"/>
      <c r="W239" s="167"/>
      <c r="X239" s="167"/>
      <c r="Y239" s="167"/>
      <c r="Z239" s="167"/>
    </row>
    <row r="240" spans="16:26" ht="10.199999999999999" customHeight="1">
      <c r="P240" s="169"/>
      <c r="Q240" s="169"/>
      <c r="R240" s="169"/>
      <c r="S240" s="169"/>
      <c r="T240" s="169"/>
      <c r="U240" s="169"/>
      <c r="V240" s="169"/>
      <c r="W240" s="169"/>
      <c r="X240" s="169"/>
      <c r="Y240" s="169"/>
      <c r="Z240" s="169"/>
    </row>
    <row r="241" spans="16:26" ht="10.199999999999999" customHeight="1">
      <c r="P241" s="167"/>
      <c r="Q241" s="167"/>
      <c r="R241" s="167"/>
      <c r="S241" s="167"/>
      <c r="T241" s="167"/>
      <c r="U241" s="167"/>
      <c r="V241" s="167"/>
      <c r="W241" s="167"/>
      <c r="X241" s="167"/>
      <c r="Y241" s="167"/>
      <c r="Z241" s="167"/>
    </row>
    <row r="242" spans="16:26" ht="10.199999999999999" customHeight="1">
      <c r="P242" s="167"/>
      <c r="Q242" s="167"/>
      <c r="R242" s="167"/>
      <c r="S242" s="167"/>
      <c r="T242" s="167"/>
      <c r="U242" s="167"/>
      <c r="V242" s="167"/>
      <c r="W242" s="167"/>
      <c r="X242" s="167"/>
      <c r="Y242" s="167"/>
      <c r="Z242" s="167"/>
    </row>
    <row r="243" spans="16:26" ht="10.199999999999999" customHeight="1">
      <c r="P243" s="169"/>
      <c r="Q243" s="169"/>
      <c r="R243" s="169"/>
      <c r="S243" s="169"/>
      <c r="T243" s="169"/>
      <c r="U243" s="169"/>
      <c r="V243" s="169"/>
      <c r="W243" s="169"/>
      <c r="X243" s="169"/>
      <c r="Y243" s="169"/>
      <c r="Z243" s="169"/>
    </row>
    <row r="244" spans="16:26" ht="10.199999999999999" customHeight="1">
      <c r="P244" s="167"/>
      <c r="Q244" s="167"/>
      <c r="R244" s="167"/>
      <c r="S244" s="167"/>
      <c r="T244" s="167"/>
      <c r="U244" s="167"/>
      <c r="V244" s="167"/>
      <c r="W244" s="167"/>
      <c r="X244" s="167"/>
      <c r="Y244" s="167"/>
      <c r="Z244" s="167"/>
    </row>
    <row r="245" spans="16:26" ht="10.199999999999999" customHeight="1">
      <c r="P245" s="167"/>
      <c r="Q245" s="167"/>
      <c r="R245" s="167"/>
      <c r="S245" s="167"/>
      <c r="T245" s="167"/>
      <c r="U245" s="167"/>
      <c r="V245" s="167"/>
      <c r="W245" s="167"/>
      <c r="X245" s="167"/>
      <c r="Y245" s="167"/>
      <c r="Z245" s="167"/>
    </row>
    <row r="246" spans="16:26" ht="10.199999999999999" customHeight="1">
      <c r="P246" s="169"/>
      <c r="Q246" s="169"/>
      <c r="R246" s="169"/>
      <c r="S246" s="169"/>
      <c r="T246" s="169"/>
      <c r="U246" s="169"/>
      <c r="V246" s="169"/>
      <c r="W246" s="169"/>
      <c r="X246" s="169"/>
      <c r="Y246" s="169"/>
      <c r="Z246" s="169"/>
    </row>
    <row r="247" spans="16:26" ht="10.199999999999999" customHeight="1">
      <c r="P247" s="167"/>
      <c r="Q247" s="167"/>
      <c r="R247" s="167"/>
      <c r="S247" s="167"/>
      <c r="T247" s="167"/>
      <c r="U247" s="167"/>
      <c r="V247" s="167"/>
      <c r="W247" s="167"/>
      <c r="X247" s="167"/>
      <c r="Y247" s="167"/>
      <c r="Z247" s="167"/>
    </row>
    <row r="248" spans="16:26" ht="10.199999999999999" customHeight="1">
      <c r="P248" s="167"/>
      <c r="Q248" s="167"/>
      <c r="R248" s="167"/>
      <c r="S248" s="167"/>
      <c r="T248" s="167"/>
      <c r="U248" s="167"/>
      <c r="V248" s="167"/>
      <c r="W248" s="167"/>
      <c r="X248" s="167"/>
      <c r="Y248" s="167"/>
      <c r="Z248" s="167"/>
    </row>
    <row r="249" spans="16:26" ht="10.199999999999999" customHeight="1">
      <c r="P249" s="169"/>
      <c r="Q249" s="169"/>
      <c r="R249" s="169"/>
      <c r="S249" s="169"/>
      <c r="T249" s="169"/>
      <c r="U249" s="169"/>
      <c r="V249" s="169"/>
      <c r="W249" s="169"/>
      <c r="X249" s="169"/>
      <c r="Y249" s="169"/>
      <c r="Z249" s="169"/>
    </row>
    <row r="250" spans="16:26" ht="10.199999999999999" customHeight="1">
      <c r="P250" s="167"/>
      <c r="Q250" s="167"/>
      <c r="R250" s="167"/>
      <c r="S250" s="167"/>
      <c r="T250" s="167"/>
      <c r="U250" s="167"/>
      <c r="V250" s="167"/>
      <c r="W250" s="167"/>
      <c r="X250" s="167"/>
      <c r="Y250" s="167"/>
      <c r="Z250" s="167"/>
    </row>
    <row r="251" spans="16:26" ht="10.199999999999999" customHeight="1">
      <c r="P251" s="167"/>
      <c r="Q251" s="167"/>
      <c r="R251" s="167"/>
      <c r="S251" s="167"/>
      <c r="T251" s="167"/>
      <c r="U251" s="167"/>
      <c r="V251" s="167"/>
      <c r="W251" s="167"/>
      <c r="X251" s="167"/>
      <c r="Y251" s="167"/>
      <c r="Z251" s="167"/>
    </row>
    <row r="252" spans="16:26" ht="10.199999999999999" customHeight="1">
      <c r="P252" s="169"/>
      <c r="Q252" s="169"/>
      <c r="R252" s="169"/>
      <c r="S252" s="169"/>
      <c r="T252" s="169"/>
      <c r="U252" s="169"/>
      <c r="V252" s="169"/>
      <c r="W252" s="169"/>
      <c r="X252" s="169"/>
      <c r="Y252" s="169"/>
      <c r="Z252" s="169"/>
    </row>
    <row r="253" spans="16:26" ht="10.199999999999999" customHeight="1">
      <c r="P253" s="167"/>
      <c r="Q253" s="167"/>
      <c r="R253" s="167"/>
      <c r="S253" s="167"/>
      <c r="T253" s="167"/>
      <c r="U253" s="167"/>
      <c r="V253" s="167"/>
      <c r="W253" s="167"/>
      <c r="X253" s="167"/>
      <c r="Y253" s="167"/>
      <c r="Z253" s="167"/>
    </row>
    <row r="254" spans="16:26" ht="10.199999999999999" customHeight="1">
      <c r="P254" s="167"/>
      <c r="Q254" s="167"/>
      <c r="R254" s="167"/>
      <c r="S254" s="167"/>
      <c r="T254" s="167"/>
      <c r="U254" s="167"/>
      <c r="V254" s="167"/>
      <c r="W254" s="167"/>
      <c r="X254" s="167"/>
      <c r="Y254" s="167"/>
      <c r="Z254" s="167"/>
    </row>
    <row r="255" spans="16:26" ht="10.199999999999999" customHeight="1">
      <c r="P255" s="169"/>
      <c r="Q255" s="169"/>
      <c r="R255" s="169"/>
      <c r="S255" s="169"/>
      <c r="T255" s="169"/>
      <c r="U255" s="169"/>
      <c r="V255" s="169"/>
      <c r="W255" s="169"/>
      <c r="X255" s="169"/>
      <c r="Y255" s="169"/>
      <c r="Z255" s="169"/>
    </row>
    <row r="256" spans="16:26" ht="10.199999999999999" customHeight="1">
      <c r="P256" s="167"/>
      <c r="Q256" s="167"/>
      <c r="R256" s="167"/>
      <c r="S256" s="167"/>
      <c r="T256" s="167"/>
      <c r="U256" s="167"/>
      <c r="V256" s="167"/>
      <c r="W256" s="167"/>
      <c r="X256" s="167"/>
      <c r="Y256" s="167"/>
      <c r="Z256" s="167"/>
    </row>
    <row r="257" spans="16:26" ht="10.199999999999999" customHeight="1">
      <c r="P257" s="167"/>
      <c r="Q257" s="167"/>
      <c r="R257" s="167"/>
      <c r="S257" s="167"/>
      <c r="T257" s="167"/>
      <c r="U257" s="167"/>
      <c r="V257" s="167"/>
      <c r="W257" s="167"/>
      <c r="X257" s="167"/>
      <c r="Y257" s="167"/>
      <c r="Z257" s="167"/>
    </row>
    <row r="258" spans="16:26" ht="10.199999999999999" customHeight="1">
      <c r="P258" s="169"/>
      <c r="Q258" s="169"/>
      <c r="R258" s="169"/>
      <c r="S258" s="169"/>
      <c r="T258" s="169"/>
      <c r="U258" s="169"/>
      <c r="V258" s="169"/>
      <c r="W258" s="169"/>
      <c r="X258" s="169"/>
      <c r="Y258" s="169"/>
      <c r="Z258" s="169"/>
    </row>
    <row r="259" spans="16:26" ht="10.199999999999999" customHeight="1">
      <c r="P259" s="167"/>
      <c r="Q259" s="167"/>
      <c r="R259" s="167"/>
      <c r="S259" s="167"/>
      <c r="T259" s="167"/>
      <c r="U259" s="167"/>
      <c r="V259" s="167"/>
      <c r="W259" s="167"/>
      <c r="X259" s="167"/>
      <c r="Y259" s="167"/>
      <c r="Z259" s="167"/>
    </row>
    <row r="260" spans="16:26" ht="10.199999999999999" customHeight="1">
      <c r="P260" s="167"/>
      <c r="Q260" s="167"/>
      <c r="R260" s="167"/>
      <c r="S260" s="167"/>
      <c r="T260" s="167"/>
      <c r="U260" s="167"/>
      <c r="V260" s="167"/>
      <c r="W260" s="167"/>
      <c r="X260" s="167"/>
      <c r="Y260" s="167"/>
      <c r="Z260" s="167"/>
    </row>
    <row r="261" spans="16:26" ht="10.199999999999999" customHeight="1">
      <c r="P261" s="169"/>
      <c r="Q261" s="169"/>
      <c r="R261" s="169"/>
      <c r="S261" s="169"/>
      <c r="T261" s="169"/>
      <c r="U261" s="169"/>
      <c r="V261" s="169"/>
      <c r="W261" s="169"/>
      <c r="X261" s="169"/>
      <c r="Y261" s="169"/>
      <c r="Z261" s="169"/>
    </row>
    <row r="262" spans="16:26" ht="10.199999999999999" customHeight="1">
      <c r="P262" s="167"/>
      <c r="Q262" s="167"/>
      <c r="R262" s="167"/>
      <c r="S262" s="167"/>
      <c r="T262" s="167"/>
      <c r="U262" s="167"/>
      <c r="V262" s="167"/>
      <c r="W262" s="167"/>
      <c r="X262" s="167"/>
      <c r="Y262" s="167"/>
      <c r="Z262" s="167"/>
    </row>
    <row r="263" spans="16:26" ht="10.199999999999999" customHeight="1">
      <c r="P263" s="167"/>
      <c r="Q263" s="167"/>
      <c r="R263" s="167"/>
      <c r="S263" s="167"/>
      <c r="T263" s="167"/>
      <c r="U263" s="167"/>
      <c r="V263" s="167"/>
      <c r="W263" s="167"/>
      <c r="X263" s="167"/>
      <c r="Y263" s="167"/>
      <c r="Z263" s="167"/>
    </row>
    <row r="264" spans="16:26" ht="10.199999999999999" customHeight="1">
      <c r="P264" s="169"/>
      <c r="Q264" s="169"/>
      <c r="R264" s="169"/>
      <c r="S264" s="169"/>
      <c r="T264" s="169"/>
      <c r="U264" s="169"/>
      <c r="V264" s="169"/>
      <c r="W264" s="169"/>
      <c r="X264" s="169"/>
      <c r="Y264" s="169"/>
      <c r="Z264" s="169"/>
    </row>
    <row r="265" spans="16:26" ht="10.199999999999999" customHeight="1">
      <c r="P265" s="167"/>
      <c r="Q265" s="167"/>
      <c r="R265" s="167"/>
      <c r="S265" s="167"/>
      <c r="T265" s="167"/>
      <c r="U265" s="167"/>
      <c r="V265" s="167"/>
      <c r="W265" s="167"/>
      <c r="X265" s="167"/>
      <c r="Y265" s="167"/>
      <c r="Z265" s="167"/>
    </row>
    <row r="266" spans="16:26" ht="10.199999999999999" customHeight="1">
      <c r="P266" s="167"/>
      <c r="Q266" s="167"/>
      <c r="R266" s="167"/>
      <c r="S266" s="167"/>
      <c r="T266" s="167"/>
      <c r="U266" s="167"/>
      <c r="V266" s="167"/>
      <c r="W266" s="167"/>
      <c r="X266" s="167"/>
      <c r="Y266" s="167"/>
      <c r="Z266" s="167"/>
    </row>
    <row r="267" spans="16:26" ht="10.199999999999999" customHeight="1">
      <c r="P267" s="165"/>
      <c r="Q267" s="165"/>
      <c r="R267" s="165"/>
      <c r="S267" s="165"/>
      <c r="T267" s="165"/>
      <c r="U267" s="165"/>
      <c r="V267" s="165"/>
      <c r="W267" s="165"/>
      <c r="X267" s="165"/>
      <c r="Y267" s="165"/>
      <c r="Z267" s="165"/>
    </row>
    <row r="268" spans="16:26" ht="10.199999999999999" customHeight="1">
      <c r="P268" s="165"/>
      <c r="Q268" s="165"/>
      <c r="R268" s="165"/>
      <c r="S268" s="165"/>
      <c r="T268" s="165"/>
      <c r="U268" s="165"/>
      <c r="V268" s="165"/>
      <c r="W268" s="165"/>
      <c r="X268" s="165"/>
      <c r="Y268" s="165"/>
      <c r="Z268" s="165"/>
    </row>
    <row r="269" spans="16:26" ht="10.199999999999999" customHeight="1">
      <c r="P269" s="165"/>
      <c r="Q269" s="165"/>
      <c r="R269" s="165"/>
      <c r="S269" s="165"/>
      <c r="T269" s="165"/>
      <c r="U269" s="165"/>
      <c r="V269" s="165"/>
      <c r="W269" s="165"/>
      <c r="X269" s="165"/>
      <c r="Y269" s="165"/>
      <c r="Z269" s="165"/>
    </row>
    <row r="270" spans="16:26" ht="10.199999999999999" customHeight="1">
      <c r="P270" s="165"/>
      <c r="Q270" s="165"/>
      <c r="R270" s="165"/>
      <c r="S270" s="165"/>
      <c r="T270" s="165"/>
      <c r="U270" s="165"/>
      <c r="V270" s="165"/>
      <c r="W270" s="165"/>
      <c r="X270" s="165"/>
      <c r="Y270" s="165"/>
      <c r="Z270" s="165"/>
    </row>
    <row r="271" spans="16:26" ht="10.199999999999999" customHeight="1">
      <c r="P271" s="165"/>
      <c r="Q271" s="165"/>
      <c r="R271" s="165"/>
      <c r="S271" s="165"/>
      <c r="T271" s="165"/>
      <c r="U271" s="165"/>
      <c r="V271" s="165"/>
      <c r="W271" s="165"/>
      <c r="X271" s="165"/>
      <c r="Y271" s="165"/>
      <c r="Z271" s="165"/>
    </row>
    <row r="272" spans="16:26" ht="10.199999999999999" customHeight="1">
      <c r="P272" s="165"/>
      <c r="Q272" s="165"/>
      <c r="R272" s="165"/>
      <c r="S272" s="165"/>
      <c r="T272" s="165"/>
      <c r="U272" s="165"/>
      <c r="V272" s="165"/>
      <c r="W272" s="165"/>
      <c r="X272" s="165"/>
      <c r="Y272" s="165"/>
      <c r="Z272" s="165"/>
    </row>
    <row r="273" spans="16:26" ht="10.199999999999999" customHeight="1">
      <c r="P273" s="165"/>
      <c r="Q273" s="165"/>
      <c r="R273" s="165"/>
      <c r="S273" s="165"/>
      <c r="T273" s="165"/>
      <c r="U273" s="165"/>
      <c r="V273" s="165"/>
      <c r="W273" s="165"/>
      <c r="X273" s="165"/>
      <c r="Y273" s="165"/>
      <c r="Z273" s="165"/>
    </row>
    <row r="274" spans="16:26" ht="10.199999999999999" customHeight="1">
      <c r="P274" s="165"/>
      <c r="Q274" s="165"/>
      <c r="R274" s="165"/>
      <c r="S274" s="165"/>
      <c r="T274" s="165"/>
      <c r="U274" s="165"/>
      <c r="V274" s="165"/>
      <c r="W274" s="165"/>
      <c r="X274" s="165"/>
      <c r="Y274" s="165"/>
      <c r="Z274" s="165"/>
    </row>
    <row r="275" spans="16:26" ht="10.199999999999999" customHeight="1">
      <c r="P275" s="165"/>
      <c r="Q275" s="165"/>
      <c r="R275" s="165"/>
      <c r="S275" s="165"/>
      <c r="T275" s="165"/>
      <c r="U275" s="165"/>
      <c r="V275" s="165"/>
      <c r="W275" s="165"/>
      <c r="X275" s="165"/>
      <c r="Y275" s="165"/>
      <c r="Z275" s="165"/>
    </row>
    <row r="276" spans="16:26" ht="10.199999999999999" customHeight="1">
      <c r="P276" s="165"/>
      <c r="Q276" s="165"/>
      <c r="R276" s="165"/>
      <c r="S276" s="165"/>
      <c r="T276" s="165"/>
      <c r="U276" s="165"/>
      <c r="V276" s="165"/>
      <c r="W276" s="165"/>
      <c r="X276" s="165"/>
      <c r="Y276" s="165"/>
      <c r="Z276" s="165"/>
    </row>
    <row r="277" spans="16:26" ht="10.199999999999999" customHeight="1">
      <c r="P277" s="165"/>
      <c r="Q277" s="165"/>
      <c r="R277" s="165"/>
      <c r="S277" s="165"/>
      <c r="T277" s="165"/>
      <c r="U277" s="165"/>
      <c r="V277" s="165"/>
      <c r="W277" s="165"/>
      <c r="X277" s="165"/>
      <c r="Y277" s="165"/>
      <c r="Z277" s="165"/>
    </row>
    <row r="278" spans="16:26" ht="10.199999999999999" customHeight="1">
      <c r="P278" s="165"/>
      <c r="Q278" s="165"/>
      <c r="R278" s="165"/>
      <c r="S278" s="165"/>
      <c r="T278" s="165"/>
      <c r="U278" s="165"/>
      <c r="V278" s="165"/>
      <c r="W278" s="165"/>
      <c r="X278" s="165"/>
      <c r="Y278" s="165"/>
      <c r="Z278" s="165"/>
    </row>
    <row r="279" spans="16:26" ht="10.199999999999999" customHeight="1">
      <c r="P279" s="165"/>
      <c r="Q279" s="165"/>
      <c r="R279" s="165"/>
      <c r="S279" s="165"/>
      <c r="T279" s="165"/>
      <c r="U279" s="165"/>
      <c r="V279" s="165"/>
      <c r="W279" s="165"/>
      <c r="X279" s="165"/>
      <c r="Y279" s="165"/>
      <c r="Z279" s="165"/>
    </row>
    <row r="280" spans="16:26" ht="10.199999999999999" customHeight="1">
      <c r="P280" s="165"/>
      <c r="Q280" s="165"/>
      <c r="R280" s="165"/>
      <c r="S280" s="165"/>
      <c r="T280" s="165"/>
      <c r="U280" s="165"/>
      <c r="V280" s="165"/>
      <c r="W280" s="165"/>
      <c r="X280" s="165"/>
      <c r="Y280" s="165"/>
      <c r="Z280" s="165"/>
    </row>
    <row r="281" spans="16:26" ht="10.199999999999999" customHeight="1">
      <c r="P281" s="165"/>
      <c r="Q281" s="165"/>
      <c r="R281" s="165"/>
      <c r="S281" s="165"/>
      <c r="T281" s="165"/>
      <c r="U281" s="165"/>
      <c r="V281" s="165"/>
      <c r="W281" s="165"/>
      <c r="X281" s="165"/>
      <c r="Y281" s="165"/>
      <c r="Z281" s="165"/>
    </row>
    <row r="282" spans="16:26" ht="10.199999999999999" customHeight="1">
      <c r="P282" s="165"/>
      <c r="Q282" s="165"/>
      <c r="R282" s="165"/>
      <c r="S282" s="165"/>
      <c r="T282" s="165"/>
      <c r="U282" s="165"/>
      <c r="V282" s="165"/>
      <c r="W282" s="165"/>
      <c r="X282" s="165"/>
      <c r="Y282" s="165"/>
      <c r="Z282" s="165"/>
    </row>
    <row r="283" spans="16:26" ht="10.199999999999999" customHeight="1">
      <c r="P283" s="165"/>
      <c r="Q283" s="165"/>
      <c r="R283" s="165"/>
      <c r="S283" s="165"/>
      <c r="T283" s="165"/>
      <c r="U283" s="165"/>
      <c r="V283" s="165"/>
      <c r="W283" s="165"/>
      <c r="X283" s="165"/>
      <c r="Y283" s="165"/>
      <c r="Z283" s="165"/>
    </row>
    <row r="284" spans="16:26" ht="10.199999999999999" customHeight="1">
      <c r="P284" s="165"/>
      <c r="Q284" s="165"/>
      <c r="R284" s="165"/>
      <c r="S284" s="165"/>
      <c r="T284" s="165"/>
      <c r="U284" s="165"/>
      <c r="V284" s="165"/>
      <c r="W284" s="165"/>
      <c r="X284" s="165"/>
      <c r="Y284" s="165"/>
      <c r="Z284" s="165"/>
    </row>
    <row r="285" spans="16:26" ht="10.199999999999999" customHeight="1">
      <c r="P285" s="165"/>
      <c r="Q285" s="165"/>
      <c r="R285" s="165"/>
      <c r="S285" s="165"/>
      <c r="T285" s="165"/>
      <c r="U285" s="165"/>
      <c r="V285" s="165"/>
      <c r="W285" s="165"/>
      <c r="X285" s="165"/>
      <c r="Y285" s="165"/>
      <c r="Z285" s="165"/>
    </row>
    <row r="286" spans="16:26" ht="10.199999999999999" customHeight="1">
      <c r="P286" s="165"/>
      <c r="Q286" s="165"/>
      <c r="R286" s="165"/>
      <c r="S286" s="165"/>
      <c r="T286" s="165"/>
      <c r="U286" s="165"/>
      <c r="V286" s="165"/>
      <c r="W286" s="165"/>
      <c r="X286" s="165"/>
      <c r="Y286" s="165"/>
      <c r="Z286" s="165"/>
    </row>
    <row r="287" spans="16:26" ht="10.199999999999999" customHeight="1">
      <c r="P287" s="165"/>
      <c r="Q287" s="165"/>
      <c r="R287" s="165"/>
      <c r="S287" s="165"/>
      <c r="T287" s="165"/>
      <c r="U287" s="165"/>
      <c r="V287" s="165"/>
      <c r="W287" s="165"/>
      <c r="X287" s="165"/>
      <c r="Y287" s="165"/>
      <c r="Z287" s="165"/>
    </row>
    <row r="288" spans="16:26" ht="10.199999999999999" customHeight="1">
      <c r="P288" s="165"/>
      <c r="Q288" s="165"/>
      <c r="R288" s="165"/>
      <c r="S288" s="165"/>
      <c r="T288" s="165"/>
      <c r="U288" s="165"/>
      <c r="V288" s="165"/>
      <c r="W288" s="165"/>
      <c r="X288" s="165"/>
      <c r="Y288" s="165"/>
      <c r="Z288" s="165"/>
    </row>
    <row r="289" spans="16:26" ht="10.199999999999999" customHeight="1">
      <c r="P289" s="165"/>
      <c r="Q289" s="165"/>
      <c r="R289" s="165"/>
      <c r="S289" s="165"/>
      <c r="T289" s="165"/>
      <c r="U289" s="165"/>
      <c r="V289" s="165"/>
      <c r="W289" s="165"/>
      <c r="X289" s="165"/>
      <c r="Y289" s="165"/>
      <c r="Z289" s="165"/>
    </row>
    <row r="290" spans="16:26" ht="10.199999999999999" customHeight="1">
      <c r="P290" s="165"/>
      <c r="Q290" s="165"/>
      <c r="R290" s="165"/>
      <c r="S290" s="165"/>
      <c r="T290" s="165"/>
      <c r="U290" s="165"/>
      <c r="V290" s="165"/>
      <c r="W290" s="165"/>
      <c r="X290" s="165"/>
      <c r="Y290" s="165"/>
      <c r="Z290" s="165"/>
    </row>
    <row r="291" spans="16:26" ht="10.199999999999999" customHeight="1">
      <c r="P291" s="165"/>
      <c r="Q291" s="165"/>
      <c r="R291" s="165"/>
      <c r="S291" s="165"/>
      <c r="T291" s="165"/>
      <c r="U291" s="165"/>
      <c r="V291" s="165"/>
      <c r="W291" s="165"/>
      <c r="X291" s="165"/>
      <c r="Y291" s="165"/>
      <c r="Z291" s="165"/>
    </row>
    <row r="292" spans="16:26" ht="10.199999999999999" customHeight="1">
      <c r="P292" s="165"/>
      <c r="Q292" s="165"/>
      <c r="R292" s="165"/>
      <c r="S292" s="165"/>
      <c r="T292" s="165"/>
      <c r="U292" s="165"/>
      <c r="V292" s="165"/>
      <c r="W292" s="165"/>
      <c r="X292" s="165"/>
      <c r="Y292" s="165"/>
      <c r="Z292" s="165"/>
    </row>
    <row r="293" spans="16:26" ht="10.199999999999999" customHeight="1">
      <c r="P293" s="165"/>
      <c r="Q293" s="165"/>
      <c r="R293" s="165"/>
      <c r="S293" s="165"/>
      <c r="T293" s="165"/>
      <c r="U293" s="165"/>
      <c r="V293" s="165"/>
      <c r="W293" s="165"/>
      <c r="X293" s="165"/>
      <c r="Y293" s="165"/>
      <c r="Z293" s="165"/>
    </row>
    <row r="294" spans="16:26" ht="10.199999999999999" customHeight="1">
      <c r="P294" s="165"/>
      <c r="Q294" s="165"/>
      <c r="R294" s="165"/>
      <c r="S294" s="165"/>
      <c r="T294" s="165"/>
      <c r="U294" s="165"/>
      <c r="V294" s="165"/>
      <c r="W294" s="165"/>
      <c r="X294" s="165"/>
      <c r="Y294" s="165"/>
      <c r="Z294" s="165"/>
    </row>
    <row r="295" spans="16:26" ht="10.199999999999999" customHeight="1">
      <c r="P295" s="165"/>
      <c r="Q295" s="165"/>
      <c r="R295" s="165"/>
      <c r="S295" s="165"/>
      <c r="T295" s="165"/>
      <c r="U295" s="165"/>
      <c r="V295" s="165"/>
      <c r="W295" s="165"/>
      <c r="X295" s="165"/>
      <c r="Y295" s="165"/>
      <c r="Z295" s="165"/>
    </row>
    <row r="296" spans="16:26" ht="10.199999999999999" customHeight="1">
      <c r="P296" s="165"/>
      <c r="Q296" s="165"/>
      <c r="R296" s="165"/>
      <c r="S296" s="165"/>
      <c r="T296" s="165"/>
      <c r="U296" s="165"/>
      <c r="V296" s="165"/>
      <c r="W296" s="165"/>
      <c r="X296" s="165"/>
      <c r="Y296" s="165"/>
      <c r="Z296" s="165"/>
    </row>
    <row r="297" spans="16:26" ht="10.199999999999999" customHeight="1">
      <c r="P297" s="165"/>
      <c r="Q297" s="165"/>
      <c r="R297" s="165"/>
      <c r="S297" s="165"/>
      <c r="T297" s="165"/>
      <c r="U297" s="165"/>
      <c r="V297" s="165"/>
      <c r="W297" s="165"/>
      <c r="X297" s="165"/>
      <c r="Y297" s="165"/>
      <c r="Z297" s="165"/>
    </row>
    <row r="298" spans="16:26" ht="10.199999999999999" customHeight="1">
      <c r="P298" s="165"/>
      <c r="Q298" s="165"/>
      <c r="R298" s="165"/>
      <c r="S298" s="165"/>
      <c r="T298" s="165"/>
      <c r="U298" s="165"/>
      <c r="V298" s="165"/>
      <c r="W298" s="165"/>
      <c r="X298" s="165"/>
      <c r="Y298" s="165"/>
      <c r="Z298" s="165"/>
    </row>
    <row r="299" spans="16:26" ht="10.199999999999999" customHeight="1">
      <c r="P299" s="165"/>
      <c r="Q299" s="165"/>
      <c r="R299" s="165"/>
      <c r="S299" s="165"/>
      <c r="T299" s="165"/>
      <c r="U299" s="165"/>
      <c r="V299" s="165"/>
      <c r="W299" s="165"/>
      <c r="X299" s="165"/>
      <c r="Y299" s="165"/>
      <c r="Z299" s="165"/>
    </row>
    <row r="300" spans="16:26" ht="10.199999999999999" customHeight="1">
      <c r="P300" s="165"/>
      <c r="Q300" s="165"/>
      <c r="R300" s="165"/>
      <c r="S300" s="165"/>
      <c r="T300" s="165"/>
      <c r="U300" s="165"/>
      <c r="V300" s="165"/>
      <c r="W300" s="165"/>
      <c r="X300" s="165"/>
      <c r="Y300" s="165"/>
      <c r="Z300" s="165"/>
    </row>
    <row r="301" spans="16:26" ht="10.199999999999999" customHeight="1">
      <c r="P301" s="165"/>
      <c r="Q301" s="165"/>
      <c r="R301" s="165"/>
      <c r="S301" s="165"/>
      <c r="T301" s="165"/>
      <c r="U301" s="165"/>
      <c r="V301" s="165"/>
      <c r="W301" s="165"/>
      <c r="X301" s="165"/>
      <c r="Y301" s="165"/>
      <c r="Z301" s="165"/>
    </row>
    <row r="302" spans="16:26" ht="10.199999999999999" customHeight="1">
      <c r="P302" s="165"/>
      <c r="Q302" s="165"/>
      <c r="R302" s="165"/>
      <c r="S302" s="165"/>
      <c r="T302" s="165"/>
      <c r="U302" s="165"/>
      <c r="V302" s="165"/>
      <c r="W302" s="165"/>
      <c r="X302" s="165"/>
      <c r="Y302" s="165"/>
      <c r="Z302" s="165"/>
    </row>
    <row r="303" spans="16:26" ht="10.199999999999999" customHeight="1">
      <c r="P303" s="165"/>
      <c r="Q303" s="165"/>
      <c r="R303" s="165"/>
      <c r="S303" s="165"/>
      <c r="T303" s="165"/>
      <c r="U303" s="165"/>
      <c r="V303" s="165"/>
      <c r="W303" s="165"/>
      <c r="X303" s="165"/>
      <c r="Y303" s="165"/>
      <c r="Z303" s="165"/>
    </row>
    <row r="304" spans="16:26" ht="10.199999999999999" customHeight="1">
      <c r="P304" s="165"/>
      <c r="Q304" s="165"/>
      <c r="R304" s="165"/>
      <c r="S304" s="165"/>
      <c r="T304" s="165"/>
      <c r="U304" s="165"/>
      <c r="V304" s="165"/>
      <c r="W304" s="165"/>
      <c r="X304" s="165"/>
      <c r="Y304" s="165"/>
      <c r="Z304" s="165"/>
    </row>
    <row r="305" spans="16:26" ht="10.199999999999999" customHeight="1">
      <c r="P305" s="165"/>
      <c r="Q305" s="165"/>
      <c r="R305" s="165"/>
      <c r="S305" s="165"/>
      <c r="T305" s="165"/>
      <c r="U305" s="165"/>
      <c r="V305" s="165"/>
      <c r="W305" s="165"/>
      <c r="X305" s="165"/>
      <c r="Y305" s="165"/>
      <c r="Z305" s="165"/>
    </row>
    <row r="306" spans="16:26" ht="10.199999999999999" customHeight="1">
      <c r="P306" s="165"/>
      <c r="Q306" s="165"/>
      <c r="R306" s="165"/>
      <c r="S306" s="165"/>
      <c r="T306" s="165"/>
      <c r="U306" s="165"/>
      <c r="V306" s="165"/>
      <c r="W306" s="165"/>
      <c r="X306" s="165"/>
      <c r="Y306" s="165"/>
      <c r="Z306" s="165"/>
    </row>
    <row r="307" spans="16:26" ht="10.199999999999999" customHeight="1">
      <c r="P307" s="165"/>
      <c r="Q307" s="165"/>
      <c r="R307" s="165"/>
      <c r="S307" s="165"/>
      <c r="T307" s="165"/>
      <c r="U307" s="165"/>
      <c r="V307" s="165"/>
      <c r="W307" s="165"/>
      <c r="X307" s="165"/>
      <c r="Y307" s="165"/>
      <c r="Z307" s="165"/>
    </row>
    <row r="308" spans="16:26" ht="10.199999999999999" customHeight="1">
      <c r="P308" s="165"/>
      <c r="Q308" s="165"/>
      <c r="R308" s="165"/>
      <c r="S308" s="165"/>
      <c r="T308" s="165"/>
      <c r="U308" s="165"/>
      <c r="V308" s="165"/>
      <c r="W308" s="165"/>
      <c r="X308" s="165"/>
      <c r="Y308" s="165"/>
      <c r="Z308" s="165"/>
    </row>
    <row r="309" spans="16:26" ht="10.199999999999999" customHeight="1">
      <c r="P309" s="165"/>
      <c r="Q309" s="165"/>
      <c r="R309" s="165"/>
      <c r="S309" s="165"/>
      <c r="T309" s="165"/>
      <c r="U309" s="165"/>
      <c r="V309" s="165"/>
      <c r="W309" s="165"/>
      <c r="X309" s="165"/>
      <c r="Y309" s="165"/>
      <c r="Z309" s="165"/>
    </row>
    <row r="310" spans="16:26" ht="10.199999999999999" customHeight="1">
      <c r="P310" s="165"/>
      <c r="Q310" s="165"/>
      <c r="R310" s="165"/>
      <c r="S310" s="165"/>
      <c r="T310" s="165"/>
      <c r="U310" s="165"/>
      <c r="V310" s="165"/>
      <c r="W310" s="165"/>
      <c r="X310" s="165"/>
      <c r="Y310" s="165"/>
      <c r="Z310" s="165"/>
    </row>
    <row r="311" spans="16:26" ht="10.199999999999999" customHeight="1">
      <c r="P311" s="165"/>
      <c r="Q311" s="165"/>
      <c r="R311" s="165"/>
      <c r="S311" s="165"/>
      <c r="T311" s="165"/>
      <c r="U311" s="165"/>
      <c r="V311" s="165"/>
      <c r="W311" s="165"/>
      <c r="X311" s="165"/>
      <c r="Y311" s="165"/>
      <c r="Z311" s="165"/>
    </row>
    <row r="312" spans="16:26" ht="10.199999999999999" customHeight="1">
      <c r="P312" s="165"/>
      <c r="Q312" s="165"/>
      <c r="R312" s="165"/>
      <c r="S312" s="165"/>
      <c r="T312" s="165"/>
      <c r="U312" s="165"/>
      <c r="V312" s="165"/>
      <c r="W312" s="165"/>
      <c r="X312" s="165"/>
      <c r="Y312" s="165"/>
      <c r="Z312" s="165"/>
    </row>
    <row r="313" spans="16:26" ht="10.199999999999999" customHeight="1">
      <c r="P313" s="165"/>
      <c r="Q313" s="165"/>
      <c r="R313" s="165"/>
      <c r="S313" s="165"/>
      <c r="T313" s="165"/>
      <c r="U313" s="165"/>
      <c r="V313" s="165"/>
      <c r="W313" s="165"/>
      <c r="X313" s="165"/>
      <c r="Y313" s="165"/>
      <c r="Z313" s="165"/>
    </row>
    <row r="314" spans="16:26" ht="10.199999999999999" customHeight="1">
      <c r="P314" s="165"/>
      <c r="Q314" s="165"/>
      <c r="R314" s="165"/>
      <c r="S314" s="165"/>
      <c r="T314" s="165"/>
      <c r="U314" s="165"/>
      <c r="V314" s="165"/>
      <c r="W314" s="165"/>
      <c r="X314" s="165"/>
      <c r="Y314" s="165"/>
      <c r="Z314" s="165"/>
    </row>
    <row r="315" spans="16:26" ht="10.199999999999999" customHeight="1">
      <c r="P315" s="165"/>
      <c r="Q315" s="165"/>
      <c r="R315" s="165"/>
      <c r="S315" s="165"/>
      <c r="T315" s="165"/>
      <c r="U315" s="165"/>
      <c r="V315" s="165"/>
      <c r="W315" s="165"/>
      <c r="X315" s="165"/>
      <c r="Y315" s="165"/>
      <c r="Z315" s="165"/>
    </row>
    <row r="316" spans="16:26" ht="10.199999999999999" customHeight="1">
      <c r="P316" s="165"/>
      <c r="Q316" s="165"/>
      <c r="R316" s="165"/>
      <c r="S316" s="165"/>
      <c r="T316" s="165"/>
      <c r="U316" s="165"/>
      <c r="V316" s="165"/>
      <c r="W316" s="165"/>
      <c r="X316" s="165"/>
      <c r="Y316" s="165"/>
      <c r="Z316" s="165"/>
    </row>
    <row r="317" spans="16:26" ht="10.199999999999999" customHeight="1">
      <c r="P317" s="165"/>
      <c r="Q317" s="165"/>
      <c r="R317" s="165"/>
      <c r="S317" s="165"/>
      <c r="T317" s="165"/>
      <c r="U317" s="165"/>
      <c r="V317" s="165"/>
      <c r="W317" s="165"/>
      <c r="X317" s="165"/>
      <c r="Y317" s="165"/>
      <c r="Z317" s="165"/>
    </row>
    <row r="318" spans="16:26" ht="10.199999999999999" customHeight="1">
      <c r="P318" s="165"/>
      <c r="Q318" s="165"/>
      <c r="R318" s="165"/>
      <c r="S318" s="165"/>
      <c r="T318" s="165"/>
      <c r="U318" s="165"/>
      <c r="V318" s="165"/>
      <c r="W318" s="165"/>
      <c r="X318" s="165"/>
      <c r="Y318" s="165"/>
      <c r="Z318" s="165"/>
    </row>
    <row r="319" spans="16:26" ht="10.199999999999999" customHeight="1">
      <c r="P319" s="165"/>
      <c r="Q319" s="165"/>
      <c r="R319" s="165"/>
      <c r="S319" s="165"/>
      <c r="T319" s="165"/>
      <c r="U319" s="165"/>
      <c r="V319" s="165"/>
      <c r="W319" s="165"/>
      <c r="X319" s="165"/>
      <c r="Y319" s="165"/>
      <c r="Z319" s="165"/>
    </row>
    <row r="320" spans="16:26" ht="10.199999999999999" customHeight="1">
      <c r="P320" s="165"/>
      <c r="Q320" s="165"/>
      <c r="R320" s="165"/>
      <c r="S320" s="165"/>
      <c r="T320" s="165"/>
      <c r="U320" s="165"/>
      <c r="V320" s="165"/>
      <c r="W320" s="165"/>
      <c r="X320" s="165"/>
      <c r="Y320" s="165"/>
      <c r="Z320" s="165"/>
    </row>
    <row r="321" spans="16:26" ht="10.199999999999999" customHeight="1">
      <c r="P321" s="165"/>
      <c r="Q321" s="165"/>
      <c r="R321" s="165"/>
      <c r="S321" s="165"/>
      <c r="T321" s="165"/>
      <c r="U321" s="165"/>
      <c r="V321" s="165"/>
      <c r="W321" s="165"/>
      <c r="X321" s="165"/>
      <c r="Y321" s="165"/>
      <c r="Z321" s="165"/>
    </row>
    <row r="322" spans="16:26" ht="10.199999999999999" customHeight="1">
      <c r="P322" s="165"/>
      <c r="Q322" s="165"/>
      <c r="R322" s="165"/>
      <c r="S322" s="165"/>
      <c r="T322" s="165"/>
      <c r="U322" s="165"/>
      <c r="V322" s="165"/>
      <c r="W322" s="165"/>
      <c r="X322" s="165"/>
      <c r="Y322" s="165"/>
      <c r="Z322" s="165"/>
    </row>
    <row r="323" spans="16:26" ht="10.199999999999999" customHeight="1">
      <c r="P323" s="165"/>
      <c r="Q323" s="165"/>
      <c r="R323" s="165"/>
      <c r="S323" s="165"/>
      <c r="T323" s="165"/>
      <c r="U323" s="165"/>
      <c r="V323" s="165"/>
      <c r="W323" s="165"/>
      <c r="X323" s="165"/>
      <c r="Y323" s="165"/>
      <c r="Z323" s="165"/>
    </row>
    <row r="324" spans="16:26" ht="10.199999999999999" customHeight="1">
      <c r="P324" s="165"/>
      <c r="Q324" s="165"/>
      <c r="R324" s="165"/>
      <c r="S324" s="165"/>
      <c r="T324" s="165"/>
      <c r="U324" s="165"/>
      <c r="V324" s="165"/>
      <c r="W324" s="165"/>
      <c r="X324" s="165"/>
      <c r="Y324" s="165"/>
      <c r="Z324" s="165"/>
    </row>
    <row r="325" spans="16:26" ht="10.199999999999999" customHeight="1">
      <c r="P325" s="165"/>
      <c r="Q325" s="165"/>
      <c r="R325" s="165"/>
      <c r="S325" s="165"/>
      <c r="T325" s="165"/>
      <c r="U325" s="165"/>
      <c r="V325" s="165"/>
      <c r="W325" s="165"/>
      <c r="X325" s="165"/>
      <c r="Y325" s="165"/>
      <c r="Z325" s="165"/>
    </row>
    <row r="326" spans="16:26" ht="10.199999999999999" customHeight="1">
      <c r="P326" s="165"/>
      <c r="Q326" s="165"/>
      <c r="R326" s="165"/>
      <c r="S326" s="165"/>
      <c r="T326" s="165"/>
      <c r="U326" s="165"/>
      <c r="V326" s="165"/>
      <c r="W326" s="165"/>
      <c r="X326" s="165"/>
      <c r="Y326" s="165"/>
      <c r="Z326" s="165"/>
    </row>
    <row r="327" spans="16:26" ht="10.199999999999999" customHeight="1">
      <c r="P327" s="165"/>
      <c r="Q327" s="165"/>
      <c r="R327" s="165"/>
      <c r="S327" s="165"/>
      <c r="T327" s="165"/>
      <c r="U327" s="165"/>
      <c r="V327" s="165"/>
      <c r="W327" s="165"/>
      <c r="X327" s="165"/>
      <c r="Y327" s="165"/>
      <c r="Z327" s="165"/>
    </row>
    <row r="328" spans="16:26" ht="10.199999999999999" customHeight="1">
      <c r="P328" s="165"/>
      <c r="Q328" s="165"/>
      <c r="R328" s="165"/>
      <c r="S328" s="165"/>
      <c r="T328" s="165"/>
      <c r="U328" s="165"/>
      <c r="V328" s="165"/>
      <c r="W328" s="165"/>
      <c r="X328" s="165"/>
      <c r="Y328" s="165"/>
      <c r="Z328" s="165"/>
    </row>
    <row r="329" spans="16:26" ht="10.199999999999999" customHeight="1">
      <c r="P329" s="165"/>
      <c r="Q329" s="165"/>
      <c r="R329" s="165"/>
      <c r="S329" s="165"/>
      <c r="T329" s="165"/>
      <c r="U329" s="165"/>
      <c r="V329" s="165"/>
      <c r="W329" s="165"/>
      <c r="X329" s="165"/>
      <c r="Y329" s="165"/>
      <c r="Z329" s="165"/>
    </row>
    <row r="330" spans="16:26" ht="10.199999999999999" customHeight="1">
      <c r="P330" s="165"/>
      <c r="Q330" s="165"/>
      <c r="R330" s="165"/>
      <c r="S330" s="165"/>
      <c r="T330" s="165"/>
      <c r="U330" s="165"/>
      <c r="V330" s="165"/>
      <c r="W330" s="165"/>
      <c r="X330" s="165"/>
      <c r="Y330" s="165"/>
      <c r="Z330" s="165"/>
    </row>
    <row r="331" spans="16:26" ht="10.199999999999999" customHeight="1">
      <c r="P331" s="165"/>
      <c r="Q331" s="165"/>
      <c r="R331" s="165"/>
      <c r="S331" s="165"/>
      <c r="T331" s="165"/>
      <c r="U331" s="165"/>
      <c r="V331" s="165"/>
      <c r="W331" s="165"/>
      <c r="X331" s="165"/>
      <c r="Y331" s="165"/>
      <c r="Z331" s="165"/>
    </row>
    <row r="332" spans="16:26" ht="10.199999999999999" customHeight="1">
      <c r="P332" s="165"/>
      <c r="Q332" s="165"/>
      <c r="R332" s="165"/>
      <c r="S332" s="165"/>
      <c r="T332" s="165"/>
      <c r="U332" s="165"/>
      <c r="V332" s="165"/>
      <c r="W332" s="165"/>
      <c r="X332" s="165"/>
      <c r="Y332" s="165"/>
      <c r="Z332" s="165"/>
    </row>
    <row r="333" spans="16:26" ht="10.199999999999999" customHeight="1">
      <c r="P333" s="165"/>
      <c r="Q333" s="165"/>
      <c r="R333" s="165"/>
      <c r="S333" s="165"/>
      <c r="T333" s="165"/>
      <c r="U333" s="165"/>
      <c r="V333" s="165"/>
      <c r="W333" s="165"/>
      <c r="X333" s="165"/>
      <c r="Y333" s="165"/>
      <c r="Z333" s="165"/>
    </row>
    <row r="334" spans="16:26" ht="10.199999999999999" customHeight="1">
      <c r="P334" s="165"/>
      <c r="Q334" s="165"/>
      <c r="R334" s="165"/>
      <c r="S334" s="165"/>
      <c r="T334" s="165"/>
      <c r="U334" s="165"/>
      <c r="V334" s="165"/>
      <c r="W334" s="165"/>
      <c r="X334" s="165"/>
      <c r="Y334" s="165"/>
      <c r="Z334" s="165"/>
    </row>
    <row r="335" spans="16:26" ht="10.199999999999999" customHeight="1">
      <c r="P335" s="165"/>
      <c r="Q335" s="165"/>
      <c r="R335" s="165"/>
      <c r="S335" s="165"/>
      <c r="T335" s="165"/>
      <c r="U335" s="165"/>
      <c r="V335" s="165"/>
      <c r="W335" s="165"/>
      <c r="X335" s="165"/>
      <c r="Y335" s="165"/>
      <c r="Z335" s="165"/>
    </row>
    <row r="336" spans="16:26" ht="10.199999999999999" customHeight="1">
      <c r="P336" s="165"/>
      <c r="Q336" s="165"/>
      <c r="R336" s="165"/>
      <c r="S336" s="165"/>
      <c r="T336" s="165"/>
      <c r="U336" s="165"/>
      <c r="V336" s="165"/>
      <c r="W336" s="165"/>
      <c r="X336" s="165"/>
      <c r="Y336" s="165"/>
      <c r="Z336" s="165"/>
    </row>
    <row r="337" spans="16:26" ht="10.199999999999999" customHeight="1">
      <c r="P337" s="165"/>
      <c r="Q337" s="165"/>
      <c r="R337" s="165"/>
      <c r="S337" s="165"/>
      <c r="T337" s="165"/>
      <c r="U337" s="165"/>
      <c r="V337" s="165"/>
      <c r="W337" s="165"/>
      <c r="X337" s="165"/>
      <c r="Y337" s="165"/>
      <c r="Z337" s="165"/>
    </row>
    <row r="338" spans="16:26" ht="10.199999999999999" customHeight="1">
      <c r="P338" s="165"/>
      <c r="Q338" s="165"/>
      <c r="R338" s="165"/>
      <c r="S338" s="165"/>
      <c r="T338" s="165"/>
      <c r="U338" s="165"/>
      <c r="V338" s="165"/>
      <c r="W338" s="165"/>
      <c r="X338" s="165"/>
      <c r="Y338" s="165"/>
      <c r="Z338" s="165"/>
    </row>
    <row r="339" spans="16:26" ht="10.199999999999999" customHeight="1">
      <c r="P339" s="165"/>
      <c r="Q339" s="165"/>
      <c r="R339" s="165"/>
      <c r="S339" s="165"/>
      <c r="T339" s="165"/>
      <c r="U339" s="165"/>
      <c r="V339" s="165"/>
      <c r="W339" s="165"/>
      <c r="X339" s="165"/>
      <c r="Y339" s="165"/>
      <c r="Z339" s="165"/>
    </row>
    <row r="340" spans="16:26" ht="10.199999999999999" customHeight="1">
      <c r="P340" s="165"/>
      <c r="Q340" s="165"/>
      <c r="R340" s="165"/>
      <c r="S340" s="165"/>
      <c r="T340" s="165"/>
      <c r="U340" s="165"/>
      <c r="V340" s="165"/>
      <c r="W340" s="165"/>
      <c r="X340" s="165"/>
      <c r="Y340" s="165"/>
      <c r="Z340" s="165"/>
    </row>
    <row r="341" spans="16:26" ht="10.199999999999999" customHeight="1">
      <c r="P341" s="165"/>
      <c r="Q341" s="165"/>
      <c r="R341" s="165"/>
      <c r="S341" s="165"/>
      <c r="T341" s="165"/>
      <c r="U341" s="165"/>
      <c r="V341" s="165"/>
      <c r="W341" s="165"/>
      <c r="X341" s="165"/>
      <c r="Y341" s="165"/>
      <c r="Z341" s="165"/>
    </row>
    <row r="342" spans="16:26" ht="10.199999999999999" customHeight="1">
      <c r="P342" s="165"/>
      <c r="Q342" s="165"/>
      <c r="R342" s="165"/>
      <c r="S342" s="165"/>
      <c r="T342" s="165"/>
      <c r="U342" s="165"/>
      <c r="V342" s="165"/>
      <c r="W342" s="165"/>
      <c r="X342" s="165"/>
      <c r="Y342" s="165"/>
      <c r="Z342" s="165"/>
    </row>
    <row r="343" spans="16:26" ht="10.199999999999999" customHeight="1">
      <c r="P343" s="165"/>
      <c r="Q343" s="165"/>
      <c r="R343" s="165"/>
      <c r="S343" s="165"/>
      <c r="T343" s="165"/>
      <c r="U343" s="165"/>
      <c r="V343" s="165"/>
      <c r="W343" s="165"/>
      <c r="X343" s="165"/>
      <c r="Y343" s="165"/>
      <c r="Z343" s="165"/>
    </row>
    <row r="344" spans="16:26" ht="10.199999999999999" customHeight="1">
      <c r="P344" s="165"/>
      <c r="Q344" s="165"/>
      <c r="R344" s="165"/>
      <c r="S344" s="165"/>
      <c r="T344" s="165"/>
      <c r="U344" s="165"/>
      <c r="V344" s="165"/>
      <c r="W344" s="165"/>
      <c r="X344" s="165"/>
      <c r="Y344" s="165"/>
      <c r="Z344" s="165"/>
    </row>
    <row r="345" spans="16:26" ht="10.199999999999999" customHeight="1">
      <c r="P345" s="165"/>
      <c r="Q345" s="165"/>
      <c r="R345" s="165"/>
      <c r="S345" s="165"/>
      <c r="T345" s="165"/>
      <c r="U345" s="165"/>
      <c r="V345" s="165"/>
      <c r="W345" s="165"/>
      <c r="X345" s="165"/>
      <c r="Y345" s="165"/>
      <c r="Z345" s="165"/>
    </row>
    <row r="346" spans="16:26" ht="10.199999999999999" customHeight="1">
      <c r="P346" s="165"/>
      <c r="Q346" s="165"/>
      <c r="R346" s="165"/>
      <c r="S346" s="165"/>
      <c r="T346" s="165"/>
      <c r="U346" s="165"/>
      <c r="V346" s="165"/>
      <c r="W346" s="165"/>
      <c r="X346" s="165"/>
      <c r="Y346" s="165"/>
      <c r="Z346" s="165"/>
    </row>
    <row r="347" spans="16:26" ht="10.199999999999999" customHeight="1">
      <c r="P347" s="165"/>
      <c r="Q347" s="165"/>
      <c r="R347" s="165"/>
      <c r="S347" s="165"/>
      <c r="T347" s="165"/>
      <c r="U347" s="165"/>
      <c r="V347" s="165"/>
      <c r="W347" s="165"/>
      <c r="X347" s="165"/>
      <c r="Y347" s="165"/>
      <c r="Z347" s="165"/>
    </row>
    <row r="348" spans="16:26" ht="10.199999999999999" customHeight="1">
      <c r="P348" s="165"/>
      <c r="Q348" s="165"/>
      <c r="R348" s="165"/>
      <c r="S348" s="165"/>
      <c r="T348" s="165"/>
      <c r="U348" s="165"/>
      <c r="V348" s="165"/>
      <c r="W348" s="165"/>
      <c r="X348" s="165"/>
      <c r="Y348" s="165"/>
      <c r="Z348" s="165"/>
    </row>
    <row r="349" spans="16:26" ht="10.199999999999999" customHeight="1">
      <c r="P349" s="165"/>
      <c r="Q349" s="165"/>
      <c r="R349" s="165"/>
      <c r="S349" s="165"/>
      <c r="T349" s="165"/>
      <c r="U349" s="165"/>
      <c r="V349" s="165"/>
      <c r="W349" s="165"/>
      <c r="X349" s="165"/>
      <c r="Y349" s="165"/>
      <c r="Z349" s="165"/>
    </row>
    <row r="350" spans="16:26" ht="10.199999999999999" customHeight="1">
      <c r="P350" s="165"/>
      <c r="Q350" s="165"/>
      <c r="R350" s="165"/>
      <c r="S350" s="165"/>
      <c r="T350" s="165"/>
      <c r="U350" s="165"/>
      <c r="V350" s="165"/>
      <c r="W350" s="165"/>
      <c r="X350" s="165"/>
      <c r="Y350" s="165"/>
      <c r="Z350" s="165"/>
    </row>
    <row r="351" spans="16:26" ht="10.199999999999999" customHeight="1">
      <c r="P351" s="165"/>
      <c r="Q351" s="165"/>
      <c r="R351" s="165"/>
      <c r="S351" s="165"/>
      <c r="T351" s="165"/>
      <c r="U351" s="165"/>
      <c r="V351" s="165"/>
      <c r="W351" s="165"/>
      <c r="X351" s="165"/>
      <c r="Y351" s="165"/>
      <c r="Z351" s="165"/>
    </row>
    <row r="352" spans="16:26" ht="10.199999999999999" customHeight="1">
      <c r="P352" s="165"/>
      <c r="Q352" s="165"/>
      <c r="R352" s="165"/>
      <c r="S352" s="165"/>
      <c r="T352" s="165"/>
      <c r="U352" s="165"/>
      <c r="V352" s="165"/>
      <c r="W352" s="165"/>
      <c r="X352" s="165"/>
      <c r="Y352" s="165"/>
      <c r="Z352" s="165"/>
    </row>
    <row r="353" spans="16:26" ht="10.199999999999999" customHeight="1">
      <c r="P353" s="165"/>
      <c r="Q353" s="165"/>
      <c r="R353" s="165"/>
      <c r="S353" s="165"/>
      <c r="T353" s="165"/>
      <c r="U353" s="165"/>
      <c r="V353" s="165"/>
      <c r="W353" s="165"/>
      <c r="X353" s="165"/>
      <c r="Y353" s="165"/>
      <c r="Z353" s="165"/>
    </row>
    <row r="354" spans="16:26" ht="10.199999999999999" customHeight="1">
      <c r="P354" s="165"/>
      <c r="Q354" s="165"/>
      <c r="R354" s="165"/>
      <c r="S354" s="165"/>
      <c r="T354" s="165"/>
      <c r="U354" s="165"/>
      <c r="V354" s="165"/>
      <c r="W354" s="165"/>
      <c r="X354" s="165"/>
      <c r="Y354" s="165"/>
      <c r="Z354" s="165"/>
    </row>
    <row r="355" spans="16:26" ht="10.199999999999999" customHeight="1">
      <c r="P355" s="165"/>
      <c r="Q355" s="165"/>
      <c r="R355" s="165"/>
      <c r="S355" s="165"/>
      <c r="T355" s="165"/>
      <c r="U355" s="165"/>
      <c r="V355" s="165"/>
      <c r="W355" s="165"/>
      <c r="X355" s="165"/>
      <c r="Y355" s="165"/>
      <c r="Z355" s="165"/>
    </row>
    <row r="356" spans="16:26" ht="10.199999999999999" customHeight="1">
      <c r="P356" s="165"/>
      <c r="Q356" s="165"/>
      <c r="R356" s="165"/>
      <c r="S356" s="165"/>
      <c r="T356" s="165"/>
      <c r="U356" s="165"/>
      <c r="V356" s="165"/>
      <c r="W356" s="165"/>
      <c r="X356" s="165"/>
      <c r="Y356" s="165"/>
      <c r="Z356" s="165"/>
    </row>
    <row r="357" spans="16:26" ht="10.199999999999999" customHeight="1">
      <c r="P357" s="165"/>
      <c r="Q357" s="165"/>
      <c r="R357" s="165"/>
      <c r="S357" s="165"/>
      <c r="T357" s="165"/>
      <c r="U357" s="165"/>
      <c r="V357" s="165"/>
      <c r="W357" s="165"/>
      <c r="X357" s="165"/>
      <c r="Y357" s="165"/>
      <c r="Z357" s="165"/>
    </row>
    <row r="358" spans="16:26" ht="10.199999999999999" customHeight="1">
      <c r="P358" s="165"/>
      <c r="Q358" s="165"/>
      <c r="R358" s="165"/>
      <c r="S358" s="165"/>
      <c r="T358" s="165"/>
      <c r="U358" s="165"/>
      <c r="V358" s="165"/>
      <c r="W358" s="165"/>
      <c r="X358" s="165"/>
      <c r="Y358" s="165"/>
      <c r="Z358" s="165"/>
    </row>
    <row r="359" spans="16:26" ht="10.199999999999999" customHeight="1">
      <c r="P359" s="165"/>
      <c r="Q359" s="165"/>
      <c r="R359" s="165"/>
      <c r="S359" s="165"/>
      <c r="T359" s="165"/>
      <c r="U359" s="165"/>
      <c r="V359" s="165"/>
      <c r="W359" s="165"/>
      <c r="X359" s="165"/>
      <c r="Y359" s="165"/>
      <c r="Z359" s="165"/>
    </row>
    <row r="360" spans="16:26" ht="10.199999999999999" customHeight="1">
      <c r="P360" s="165"/>
      <c r="Q360" s="165"/>
      <c r="R360" s="165"/>
      <c r="S360" s="165"/>
      <c r="T360" s="165"/>
      <c r="U360" s="165"/>
      <c r="V360" s="165"/>
      <c r="W360" s="165"/>
      <c r="X360" s="165"/>
      <c r="Y360" s="165"/>
      <c r="Z360" s="165"/>
    </row>
    <row r="361" spans="16:26" ht="10.199999999999999" customHeight="1">
      <c r="P361" s="165"/>
      <c r="Q361" s="165"/>
      <c r="R361" s="165"/>
      <c r="S361" s="165"/>
      <c r="T361" s="165"/>
      <c r="U361" s="165"/>
      <c r="V361" s="165"/>
      <c r="W361" s="165"/>
      <c r="X361" s="165"/>
      <c r="Y361" s="165"/>
      <c r="Z361" s="165"/>
    </row>
    <row r="362" spans="16:26" ht="10.199999999999999" customHeight="1">
      <c r="P362" s="165"/>
      <c r="Q362" s="165"/>
      <c r="R362" s="165"/>
      <c r="S362" s="165"/>
      <c r="T362" s="165"/>
      <c r="U362" s="165"/>
      <c r="V362" s="165"/>
      <c r="W362" s="165"/>
      <c r="X362" s="165"/>
      <c r="Y362" s="165"/>
      <c r="Z362" s="165"/>
    </row>
    <row r="363" spans="16:26" ht="10.199999999999999" customHeight="1">
      <c r="P363" s="165"/>
      <c r="Q363" s="165"/>
      <c r="R363" s="165"/>
      <c r="S363" s="165"/>
      <c r="T363" s="165"/>
      <c r="U363" s="165"/>
      <c r="V363" s="165"/>
      <c r="W363" s="165"/>
      <c r="X363" s="165"/>
      <c r="Y363" s="165"/>
      <c r="Z363" s="165"/>
    </row>
    <row r="364" spans="16:26" ht="10.199999999999999" customHeight="1">
      <c r="P364" s="165"/>
      <c r="Q364" s="165"/>
      <c r="R364" s="165"/>
      <c r="S364" s="165"/>
      <c r="T364" s="165"/>
      <c r="U364" s="165"/>
      <c r="V364" s="165"/>
      <c r="W364" s="165"/>
      <c r="X364" s="165"/>
      <c r="Y364" s="165"/>
      <c r="Z364" s="165"/>
    </row>
    <row r="365" spans="16:26" ht="10.199999999999999" customHeight="1">
      <c r="P365" s="165"/>
      <c r="Q365" s="165"/>
      <c r="R365" s="165"/>
      <c r="S365" s="165"/>
      <c r="T365" s="165"/>
      <c r="U365" s="165"/>
      <c r="V365" s="165"/>
      <c r="W365" s="165"/>
      <c r="X365" s="165"/>
      <c r="Y365" s="165"/>
      <c r="Z365" s="165"/>
    </row>
    <row r="366" spans="16:26" ht="10.199999999999999" customHeight="1">
      <c r="P366" s="165"/>
      <c r="Q366" s="165"/>
      <c r="R366" s="165"/>
      <c r="S366" s="165"/>
      <c r="T366" s="165"/>
      <c r="U366" s="165"/>
      <c r="V366" s="165"/>
      <c r="W366" s="165"/>
      <c r="X366" s="165"/>
      <c r="Y366" s="165"/>
      <c r="Z366" s="165"/>
    </row>
    <row r="367" spans="16:26" ht="10.199999999999999" customHeight="1">
      <c r="P367" s="165"/>
      <c r="Q367" s="165"/>
      <c r="R367" s="165"/>
      <c r="S367" s="165"/>
      <c r="T367" s="165"/>
      <c r="U367" s="165"/>
      <c r="V367" s="165"/>
      <c r="W367" s="165"/>
      <c r="X367" s="165"/>
      <c r="Y367" s="165"/>
      <c r="Z367" s="165"/>
    </row>
    <row r="368" spans="16:26" ht="10.199999999999999" customHeight="1">
      <c r="P368" s="165"/>
      <c r="Q368" s="165"/>
      <c r="R368" s="165"/>
      <c r="S368" s="165"/>
      <c r="T368" s="165"/>
      <c r="U368" s="165"/>
      <c r="V368" s="165"/>
      <c r="W368" s="165"/>
      <c r="X368" s="165"/>
      <c r="Y368" s="165"/>
      <c r="Z368" s="165"/>
    </row>
    <row r="369" spans="16:26" ht="10.199999999999999" customHeight="1">
      <c r="P369" s="165"/>
      <c r="Q369" s="165"/>
      <c r="R369" s="165"/>
      <c r="S369" s="165"/>
      <c r="T369" s="165"/>
      <c r="U369" s="165"/>
      <c r="V369" s="165"/>
      <c r="W369" s="165"/>
      <c r="X369" s="165"/>
      <c r="Y369" s="165"/>
      <c r="Z369" s="165"/>
    </row>
    <row r="370" spans="16:26" ht="10.199999999999999" customHeight="1">
      <c r="P370" s="165"/>
      <c r="Q370" s="165"/>
      <c r="R370" s="165"/>
      <c r="S370" s="165"/>
      <c r="T370" s="165"/>
      <c r="U370" s="165"/>
      <c r="V370" s="165"/>
      <c r="W370" s="165"/>
      <c r="X370" s="165"/>
      <c r="Y370" s="165"/>
      <c r="Z370" s="165"/>
    </row>
    <row r="371" spans="16:26" ht="10.199999999999999" customHeight="1">
      <c r="P371" s="165"/>
      <c r="Q371" s="165"/>
      <c r="R371" s="165"/>
      <c r="S371" s="165"/>
      <c r="T371" s="165"/>
      <c r="U371" s="165"/>
      <c r="V371" s="165"/>
      <c r="W371" s="165"/>
      <c r="X371" s="165"/>
      <c r="Y371" s="165"/>
      <c r="Z371" s="165"/>
    </row>
    <row r="372" spans="16:26" ht="10.199999999999999" customHeight="1">
      <c r="P372" s="165"/>
      <c r="Q372" s="165"/>
      <c r="R372" s="165"/>
      <c r="S372" s="165"/>
      <c r="T372" s="165"/>
      <c r="U372" s="165"/>
      <c r="V372" s="165"/>
      <c r="W372" s="165"/>
      <c r="X372" s="165"/>
      <c r="Y372" s="165"/>
      <c r="Z372" s="165"/>
    </row>
    <row r="373" spans="16:26" ht="10.199999999999999" customHeight="1">
      <c r="P373" s="165"/>
      <c r="Q373" s="165"/>
      <c r="R373" s="165"/>
      <c r="S373" s="165"/>
      <c r="T373" s="165"/>
      <c r="U373" s="165"/>
      <c r="V373" s="165"/>
      <c r="W373" s="165"/>
      <c r="X373" s="165"/>
      <c r="Y373" s="165"/>
      <c r="Z373" s="165"/>
    </row>
    <row r="374" spans="16:26" ht="10.199999999999999" customHeight="1">
      <c r="P374" s="165"/>
      <c r="Q374" s="165"/>
      <c r="R374" s="165"/>
      <c r="S374" s="165"/>
      <c r="T374" s="165"/>
      <c r="U374" s="165"/>
      <c r="V374" s="165"/>
      <c r="W374" s="165"/>
      <c r="X374" s="165"/>
      <c r="Y374" s="165"/>
      <c r="Z374" s="165"/>
    </row>
    <row r="375" spans="16:26" ht="10.199999999999999" customHeight="1">
      <c r="P375" s="165"/>
      <c r="Q375" s="165"/>
      <c r="R375" s="165"/>
      <c r="S375" s="165"/>
      <c r="T375" s="165"/>
      <c r="U375" s="165"/>
      <c r="V375" s="165"/>
      <c r="W375" s="165"/>
      <c r="X375" s="165"/>
      <c r="Y375" s="165"/>
      <c r="Z375" s="165"/>
    </row>
    <row r="376" spans="16:26" ht="10.199999999999999" customHeight="1">
      <c r="P376" s="165"/>
      <c r="Q376" s="165"/>
      <c r="R376" s="165"/>
      <c r="S376" s="165"/>
      <c r="T376" s="165"/>
      <c r="U376" s="165"/>
      <c r="V376" s="165"/>
      <c r="W376" s="165"/>
      <c r="X376" s="165"/>
      <c r="Y376" s="165"/>
      <c r="Z376" s="165"/>
    </row>
    <row r="377" spans="16:26" ht="10.199999999999999" customHeight="1">
      <c r="P377" s="165"/>
      <c r="Q377" s="165"/>
      <c r="R377" s="165"/>
      <c r="S377" s="165"/>
      <c r="T377" s="165"/>
      <c r="U377" s="165"/>
      <c r="V377" s="165"/>
      <c r="W377" s="165"/>
      <c r="X377" s="165"/>
      <c r="Y377" s="165"/>
      <c r="Z377" s="165"/>
    </row>
    <row r="378" spans="16:26" ht="10.199999999999999" customHeight="1">
      <c r="P378" s="165"/>
      <c r="Q378" s="165"/>
      <c r="R378" s="165"/>
      <c r="S378" s="165"/>
      <c r="T378" s="165"/>
      <c r="U378" s="165"/>
      <c r="V378" s="165"/>
      <c r="W378" s="165"/>
      <c r="X378" s="165"/>
      <c r="Y378" s="165"/>
      <c r="Z378" s="165"/>
    </row>
    <row r="379" spans="16:26" ht="10.199999999999999" customHeight="1">
      <c r="P379" s="165"/>
      <c r="Q379" s="165"/>
      <c r="R379" s="165"/>
      <c r="S379" s="165"/>
      <c r="T379" s="165"/>
      <c r="U379" s="165"/>
      <c r="V379" s="165"/>
      <c r="W379" s="165"/>
      <c r="X379" s="165"/>
      <c r="Y379" s="165"/>
      <c r="Z379" s="165"/>
    </row>
    <row r="380" spans="16:26" ht="10.199999999999999" customHeight="1">
      <c r="P380" s="165"/>
      <c r="Q380" s="165"/>
      <c r="R380" s="165"/>
      <c r="S380" s="165"/>
      <c r="T380" s="165"/>
      <c r="U380" s="165"/>
      <c r="V380" s="165"/>
      <c r="W380" s="165"/>
      <c r="X380" s="165"/>
      <c r="Y380" s="165"/>
      <c r="Z380" s="165"/>
    </row>
    <row r="381" spans="16:26" ht="10.199999999999999" customHeight="1">
      <c r="P381" s="165"/>
      <c r="Q381" s="165"/>
      <c r="R381" s="165"/>
      <c r="S381" s="165"/>
      <c r="T381" s="165"/>
      <c r="U381" s="165"/>
      <c r="V381" s="165"/>
      <c r="W381" s="165"/>
      <c r="X381" s="165"/>
      <c r="Y381" s="165"/>
      <c r="Z381" s="165"/>
    </row>
    <row r="382" spans="16:26" ht="10.199999999999999" customHeight="1">
      <c r="P382" s="165"/>
      <c r="Q382" s="165"/>
      <c r="R382" s="165"/>
      <c r="S382" s="165"/>
      <c r="T382" s="165"/>
      <c r="U382" s="165"/>
      <c r="V382" s="165"/>
      <c r="W382" s="165"/>
      <c r="X382" s="165"/>
      <c r="Y382" s="165"/>
      <c r="Z382" s="165"/>
    </row>
    <row r="383" spans="16:26" ht="10.199999999999999" customHeight="1">
      <c r="P383" s="165"/>
      <c r="Q383" s="165"/>
      <c r="R383" s="165"/>
      <c r="S383" s="165"/>
      <c r="T383" s="165"/>
      <c r="U383" s="165"/>
      <c r="V383" s="165"/>
      <c r="W383" s="165"/>
      <c r="X383" s="165"/>
      <c r="Y383" s="165"/>
      <c r="Z383" s="165"/>
    </row>
    <row r="384" spans="16:26" ht="10.199999999999999" customHeight="1">
      <c r="P384" s="165"/>
      <c r="Q384" s="165"/>
      <c r="R384" s="165"/>
      <c r="S384" s="165"/>
      <c r="T384" s="165"/>
      <c r="U384" s="165"/>
      <c r="V384" s="165"/>
      <c r="W384" s="165"/>
      <c r="X384" s="165"/>
      <c r="Y384" s="165"/>
      <c r="Z384" s="165"/>
    </row>
    <row r="385" spans="16:26" ht="10.199999999999999" customHeight="1">
      <c r="P385" s="165"/>
      <c r="Q385" s="165"/>
      <c r="R385" s="165"/>
      <c r="S385" s="165"/>
      <c r="T385" s="165"/>
      <c r="U385" s="165"/>
      <c r="V385" s="165"/>
      <c r="W385" s="165"/>
      <c r="X385" s="165"/>
      <c r="Y385" s="165"/>
      <c r="Z385" s="165"/>
    </row>
    <row r="386" spans="16:26" ht="10.199999999999999" customHeight="1">
      <c r="P386" s="165"/>
      <c r="Q386" s="165"/>
      <c r="R386" s="165"/>
      <c r="S386" s="165"/>
      <c r="T386" s="165"/>
      <c r="U386" s="165"/>
      <c r="V386" s="165"/>
      <c r="W386" s="165"/>
      <c r="X386" s="165"/>
      <c r="Y386" s="165"/>
      <c r="Z386" s="165"/>
    </row>
    <row r="387" spans="16:26" ht="10.199999999999999" customHeight="1">
      <c r="P387" s="165"/>
      <c r="Q387" s="165"/>
      <c r="R387" s="165"/>
      <c r="S387" s="165"/>
      <c r="T387" s="165"/>
      <c r="U387" s="165"/>
      <c r="V387" s="165"/>
      <c r="W387" s="165"/>
      <c r="X387" s="165"/>
      <c r="Y387" s="165"/>
      <c r="Z387" s="165"/>
    </row>
    <row r="388" spans="16:26" ht="10.199999999999999" customHeight="1">
      <c r="P388" s="165"/>
      <c r="Q388" s="165"/>
      <c r="R388" s="165"/>
      <c r="S388" s="165"/>
      <c r="T388" s="165"/>
      <c r="U388" s="165"/>
      <c r="V388" s="165"/>
      <c r="W388" s="165"/>
      <c r="X388" s="165"/>
      <c r="Y388" s="165"/>
      <c r="Z388" s="165"/>
    </row>
    <row r="389" spans="16:26" ht="10.199999999999999" customHeight="1">
      <c r="P389" s="165"/>
      <c r="Q389" s="165"/>
      <c r="R389" s="165"/>
      <c r="S389" s="165"/>
      <c r="T389" s="165"/>
      <c r="U389" s="165"/>
      <c r="V389" s="165"/>
      <c r="W389" s="165"/>
      <c r="X389" s="165"/>
      <c r="Y389" s="165"/>
      <c r="Z389" s="165"/>
    </row>
    <row r="390" spans="16:26" ht="10.199999999999999" customHeight="1">
      <c r="P390" s="165"/>
      <c r="Q390" s="165"/>
      <c r="R390" s="165"/>
      <c r="S390" s="165"/>
      <c r="T390" s="165"/>
      <c r="U390" s="165"/>
      <c r="V390" s="165"/>
      <c r="W390" s="165"/>
      <c r="X390" s="165"/>
      <c r="Y390" s="165"/>
      <c r="Z390" s="165"/>
    </row>
    <row r="391" spans="16:26" ht="10.199999999999999" customHeight="1">
      <c r="P391" s="165"/>
      <c r="Q391" s="165"/>
      <c r="R391" s="165"/>
      <c r="S391" s="165"/>
      <c r="T391" s="165"/>
      <c r="U391" s="165"/>
      <c r="V391" s="165"/>
      <c r="W391" s="165"/>
      <c r="X391" s="165"/>
      <c r="Y391" s="165"/>
      <c r="Z391" s="165"/>
    </row>
    <row r="392" spans="16:26" ht="10.199999999999999" customHeight="1">
      <c r="P392" s="165"/>
      <c r="Q392" s="165"/>
      <c r="R392" s="165"/>
      <c r="S392" s="165"/>
      <c r="T392" s="165"/>
      <c r="U392" s="165"/>
      <c r="V392" s="165"/>
      <c r="W392" s="165"/>
      <c r="X392" s="165"/>
      <c r="Y392" s="165"/>
      <c r="Z392" s="165"/>
    </row>
    <row r="393" spans="16:26" ht="10.199999999999999" customHeight="1">
      <c r="P393" s="165"/>
      <c r="Q393" s="165"/>
      <c r="R393" s="165"/>
      <c r="S393" s="165"/>
      <c r="T393" s="165"/>
      <c r="U393" s="165"/>
      <c r="V393" s="165"/>
      <c r="W393" s="165"/>
      <c r="X393" s="165"/>
      <c r="Y393" s="165"/>
      <c r="Z393" s="165"/>
    </row>
    <row r="394" spans="16:26" ht="10.199999999999999" customHeight="1">
      <c r="P394" s="165"/>
      <c r="Q394" s="165"/>
      <c r="R394" s="165"/>
      <c r="S394" s="165"/>
      <c r="T394" s="165"/>
      <c r="U394" s="165"/>
      <c r="V394" s="165"/>
      <c r="W394" s="165"/>
      <c r="X394" s="165"/>
      <c r="Y394" s="165"/>
      <c r="Z394" s="165"/>
    </row>
    <row r="395" spans="16:26" ht="10.199999999999999" customHeight="1">
      <c r="P395" s="165"/>
      <c r="Q395" s="165"/>
      <c r="R395" s="165"/>
      <c r="S395" s="165"/>
      <c r="T395" s="165"/>
      <c r="U395" s="165"/>
      <c r="V395" s="165"/>
      <c r="W395" s="165"/>
      <c r="X395" s="165"/>
      <c r="Y395" s="165"/>
      <c r="Z395" s="165"/>
    </row>
    <row r="396" spans="16:26" ht="10.199999999999999" customHeight="1">
      <c r="P396" s="165"/>
      <c r="Q396" s="165"/>
      <c r="R396" s="165"/>
      <c r="S396" s="165"/>
      <c r="T396" s="165"/>
      <c r="U396" s="165"/>
      <c r="V396" s="165"/>
      <c r="W396" s="165"/>
      <c r="X396" s="165"/>
      <c r="Y396" s="165"/>
      <c r="Z396" s="165"/>
    </row>
    <row r="397" spans="16:26" ht="10.199999999999999" customHeight="1">
      <c r="P397" s="165"/>
      <c r="Q397" s="165"/>
      <c r="R397" s="165"/>
      <c r="S397" s="165"/>
      <c r="T397" s="165"/>
      <c r="U397" s="165"/>
      <c r="V397" s="165"/>
      <c r="W397" s="165"/>
      <c r="X397" s="165"/>
      <c r="Y397" s="165"/>
      <c r="Z397" s="165"/>
    </row>
    <row r="398" spans="16:26" ht="10.199999999999999" customHeight="1">
      <c r="P398" s="165"/>
      <c r="Q398" s="165"/>
      <c r="R398" s="165"/>
      <c r="S398" s="165"/>
      <c r="T398" s="165"/>
      <c r="U398" s="165"/>
      <c r="V398" s="165"/>
      <c r="W398" s="165"/>
      <c r="X398" s="165"/>
      <c r="Y398" s="165"/>
      <c r="Z398" s="165"/>
    </row>
    <row r="399" spans="16:26" ht="10.199999999999999" customHeight="1">
      <c r="P399" s="165"/>
      <c r="Q399" s="165"/>
      <c r="R399" s="165"/>
      <c r="S399" s="165"/>
      <c r="T399" s="165"/>
      <c r="U399" s="165"/>
      <c r="V399" s="165"/>
      <c r="W399" s="165"/>
      <c r="X399" s="165"/>
      <c r="Y399" s="165"/>
      <c r="Z399" s="165"/>
    </row>
    <row r="400" spans="16:26" ht="10.199999999999999" customHeight="1">
      <c r="P400" s="165"/>
      <c r="Q400" s="165"/>
      <c r="R400" s="165"/>
      <c r="S400" s="165"/>
      <c r="T400" s="165"/>
      <c r="U400" s="165"/>
      <c r="V400" s="165"/>
      <c r="W400" s="165"/>
      <c r="X400" s="165"/>
      <c r="Y400" s="165"/>
      <c r="Z400" s="165"/>
    </row>
    <row r="401" spans="16:26" ht="10.199999999999999" customHeight="1">
      <c r="P401" s="165"/>
      <c r="Q401" s="165"/>
      <c r="R401" s="165"/>
      <c r="S401" s="165"/>
      <c r="T401" s="165"/>
      <c r="U401" s="165"/>
      <c r="V401" s="165"/>
      <c r="W401" s="165"/>
      <c r="X401" s="165"/>
      <c r="Y401" s="165"/>
      <c r="Z401" s="165"/>
    </row>
    <row r="402" spans="16:26" ht="10.199999999999999" customHeight="1">
      <c r="P402" s="165"/>
      <c r="Q402" s="165"/>
      <c r="R402" s="165"/>
      <c r="S402" s="165"/>
      <c r="T402" s="165"/>
      <c r="U402" s="165"/>
      <c r="V402" s="165"/>
      <c r="W402" s="165"/>
      <c r="X402" s="165"/>
      <c r="Y402" s="165"/>
      <c r="Z402" s="165"/>
    </row>
    <row r="403" spans="16:26" ht="10.199999999999999" customHeight="1">
      <c r="P403" s="165"/>
      <c r="Q403" s="165"/>
      <c r="R403" s="165"/>
      <c r="S403" s="165"/>
      <c r="T403" s="165"/>
      <c r="U403" s="165"/>
      <c r="V403" s="165"/>
      <c r="W403" s="165"/>
      <c r="X403" s="165"/>
      <c r="Y403" s="165"/>
      <c r="Z403" s="165"/>
    </row>
    <row r="404" spans="16:26" ht="10.199999999999999" customHeight="1">
      <c r="P404" s="165"/>
      <c r="Q404" s="165"/>
      <c r="R404" s="165"/>
      <c r="S404" s="165"/>
      <c r="T404" s="165"/>
      <c r="U404" s="165"/>
      <c r="V404" s="165"/>
      <c r="W404" s="165"/>
      <c r="X404" s="165"/>
      <c r="Y404" s="165"/>
      <c r="Z404" s="165"/>
    </row>
    <row r="405" spans="16:26" ht="10.199999999999999" customHeight="1">
      <c r="P405" s="165"/>
      <c r="Q405" s="165"/>
      <c r="R405" s="165"/>
      <c r="S405" s="165"/>
      <c r="T405" s="165"/>
      <c r="U405" s="165"/>
      <c r="V405" s="165"/>
      <c r="W405" s="165"/>
      <c r="X405" s="165"/>
      <c r="Y405" s="165"/>
      <c r="Z405" s="165"/>
    </row>
    <row r="406" spans="16:26" ht="10.199999999999999" customHeight="1">
      <c r="P406" s="165"/>
      <c r="Q406" s="165"/>
      <c r="R406" s="165"/>
      <c r="S406" s="165"/>
      <c r="T406" s="165"/>
      <c r="U406" s="165"/>
      <c r="V406" s="165"/>
      <c r="W406" s="165"/>
      <c r="X406" s="165"/>
      <c r="Y406" s="165"/>
      <c r="Z406" s="165"/>
    </row>
    <row r="407" spans="16:26" ht="10.199999999999999" customHeight="1">
      <c r="P407" s="165"/>
      <c r="Q407" s="165"/>
      <c r="R407" s="165"/>
      <c r="S407" s="165"/>
      <c r="T407" s="165"/>
      <c r="U407" s="165"/>
      <c r="V407" s="165"/>
      <c r="W407" s="165"/>
      <c r="X407" s="165"/>
      <c r="Y407" s="165"/>
      <c r="Z407" s="165"/>
    </row>
    <row r="408" spans="16:26" ht="10.199999999999999" customHeight="1">
      <c r="P408" s="165"/>
      <c r="Q408" s="165"/>
      <c r="R408" s="165"/>
      <c r="S408" s="165"/>
      <c r="T408" s="165"/>
      <c r="U408" s="165"/>
      <c r="V408" s="165"/>
      <c r="W408" s="165"/>
      <c r="X408" s="165"/>
      <c r="Y408" s="165"/>
      <c r="Z408" s="165"/>
    </row>
    <row r="409" spans="16:26" ht="10.199999999999999" customHeight="1">
      <c r="P409" s="165"/>
      <c r="Q409" s="165"/>
      <c r="R409" s="165"/>
      <c r="S409" s="165"/>
      <c r="T409" s="165"/>
      <c r="U409" s="165"/>
      <c r="V409" s="165"/>
      <c r="W409" s="165"/>
      <c r="X409" s="165"/>
      <c r="Y409" s="165"/>
      <c r="Z409" s="165"/>
    </row>
    <row r="410" spans="16:26" ht="10.199999999999999" customHeight="1">
      <c r="P410" s="165"/>
      <c r="Q410" s="165"/>
      <c r="R410" s="165"/>
      <c r="S410" s="165"/>
      <c r="T410" s="165"/>
      <c r="U410" s="165"/>
      <c r="V410" s="165"/>
      <c r="W410" s="165"/>
      <c r="X410" s="165"/>
      <c r="Y410" s="165"/>
      <c r="Z410" s="165"/>
    </row>
    <row r="411" spans="16:26" ht="10.199999999999999" customHeight="1">
      <c r="P411" s="165"/>
      <c r="Q411" s="165"/>
      <c r="R411" s="165"/>
      <c r="S411" s="165"/>
      <c r="T411" s="165"/>
      <c r="U411" s="165"/>
      <c r="V411" s="165"/>
      <c r="W411" s="165"/>
      <c r="X411" s="165"/>
      <c r="Y411" s="165"/>
      <c r="Z411" s="165"/>
    </row>
    <row r="412" spans="16:26" ht="10.199999999999999" customHeight="1">
      <c r="P412" s="165"/>
      <c r="Q412" s="165"/>
      <c r="R412" s="165"/>
      <c r="S412" s="165"/>
      <c r="T412" s="165"/>
      <c r="U412" s="165"/>
      <c r="V412" s="165"/>
      <c r="W412" s="165"/>
      <c r="X412" s="165"/>
      <c r="Y412" s="165"/>
      <c r="Z412" s="165"/>
    </row>
    <row r="413" spans="16:26" ht="10.199999999999999" customHeight="1">
      <c r="P413" s="165"/>
      <c r="Q413" s="165"/>
      <c r="R413" s="165"/>
      <c r="S413" s="165"/>
      <c r="T413" s="165"/>
      <c r="U413" s="165"/>
      <c r="V413" s="165"/>
      <c r="W413" s="165"/>
      <c r="X413" s="165"/>
      <c r="Y413" s="165"/>
      <c r="Z413" s="165"/>
    </row>
    <row r="414" spans="16:26" ht="10.199999999999999" customHeight="1">
      <c r="P414" s="165"/>
      <c r="Q414" s="165"/>
      <c r="R414" s="165"/>
      <c r="S414" s="165"/>
      <c r="T414" s="165"/>
      <c r="U414" s="165"/>
      <c r="V414" s="165"/>
      <c r="W414" s="165"/>
      <c r="X414" s="165"/>
      <c r="Y414" s="165"/>
      <c r="Z414" s="165"/>
    </row>
    <row r="415" spans="16:26" ht="10.199999999999999" customHeight="1">
      <c r="P415" s="165"/>
      <c r="Q415" s="165"/>
      <c r="R415" s="165"/>
      <c r="S415" s="165"/>
      <c r="T415" s="165"/>
      <c r="U415" s="165"/>
      <c r="V415" s="165"/>
      <c r="W415" s="165"/>
      <c r="X415" s="165"/>
      <c r="Y415" s="165"/>
      <c r="Z415" s="165"/>
    </row>
    <row r="416" spans="16:26" ht="10.199999999999999" customHeight="1">
      <c r="P416" s="165"/>
      <c r="Q416" s="165"/>
      <c r="R416" s="165"/>
      <c r="S416" s="165"/>
      <c r="T416" s="165"/>
      <c r="U416" s="165"/>
      <c r="V416" s="165"/>
      <c r="W416" s="165"/>
      <c r="X416" s="165"/>
      <c r="Y416" s="165"/>
      <c r="Z416" s="165"/>
    </row>
    <row r="417" spans="16:26" ht="10.199999999999999" customHeight="1">
      <c r="P417" s="165"/>
      <c r="Q417" s="165"/>
      <c r="R417" s="165"/>
      <c r="S417" s="165"/>
      <c r="T417" s="165"/>
      <c r="U417" s="165"/>
      <c r="V417" s="165"/>
      <c r="W417" s="165"/>
      <c r="X417" s="165"/>
      <c r="Y417" s="165"/>
      <c r="Z417" s="165"/>
    </row>
    <row r="418" spans="16:26" ht="10.199999999999999" customHeight="1">
      <c r="P418" s="165"/>
      <c r="Q418" s="165"/>
      <c r="R418" s="165"/>
      <c r="S418" s="165"/>
      <c r="T418" s="165"/>
      <c r="U418" s="165"/>
      <c r="V418" s="165"/>
      <c r="W418" s="165"/>
      <c r="X418" s="165"/>
      <c r="Y418" s="165"/>
      <c r="Z418" s="165"/>
    </row>
    <row r="419" spans="16:26" ht="10.199999999999999" customHeight="1">
      <c r="P419" s="165"/>
      <c r="Q419" s="165"/>
      <c r="R419" s="165"/>
      <c r="S419" s="165"/>
      <c r="T419" s="165"/>
      <c r="U419" s="165"/>
      <c r="V419" s="165"/>
      <c r="W419" s="165"/>
      <c r="X419" s="165"/>
      <c r="Y419" s="165"/>
      <c r="Z419" s="165"/>
    </row>
    <row r="420" spans="16:26" ht="10.199999999999999" customHeight="1">
      <c r="P420" s="165"/>
      <c r="Q420" s="165"/>
      <c r="R420" s="165"/>
      <c r="S420" s="165"/>
      <c r="T420" s="165"/>
      <c r="U420" s="165"/>
      <c r="V420" s="165"/>
      <c r="W420" s="165"/>
      <c r="X420" s="165"/>
      <c r="Y420" s="165"/>
      <c r="Z420" s="165"/>
    </row>
    <row r="421" spans="16:26" ht="10.199999999999999" customHeight="1">
      <c r="P421" s="165"/>
      <c r="Q421" s="165"/>
      <c r="R421" s="165"/>
      <c r="S421" s="165"/>
      <c r="T421" s="165"/>
      <c r="U421" s="165"/>
      <c r="V421" s="165"/>
      <c r="W421" s="165"/>
      <c r="X421" s="165"/>
      <c r="Y421" s="165"/>
      <c r="Z421" s="165"/>
    </row>
    <row r="422" spans="16:26" ht="10.199999999999999" customHeight="1">
      <c r="P422" s="165"/>
      <c r="Q422" s="165"/>
      <c r="R422" s="165"/>
      <c r="S422" s="165"/>
      <c r="T422" s="165"/>
      <c r="U422" s="165"/>
      <c r="V422" s="165"/>
      <c r="W422" s="165"/>
      <c r="X422" s="165"/>
      <c r="Y422" s="165"/>
      <c r="Z422" s="165"/>
    </row>
    <row r="423" spans="16:26" ht="10.199999999999999" customHeight="1">
      <c r="P423" s="165"/>
      <c r="Q423" s="165"/>
      <c r="R423" s="165"/>
      <c r="S423" s="165"/>
      <c r="T423" s="165"/>
      <c r="U423" s="165"/>
      <c r="V423" s="165"/>
      <c r="W423" s="165"/>
      <c r="X423" s="165"/>
      <c r="Y423" s="165"/>
      <c r="Z423" s="165"/>
    </row>
    <row r="424" spans="16:26" ht="10.199999999999999" customHeight="1">
      <c r="P424" s="165"/>
      <c r="Q424" s="165"/>
      <c r="R424" s="165"/>
      <c r="S424" s="165"/>
      <c r="T424" s="165"/>
      <c r="U424" s="165"/>
      <c r="V424" s="165"/>
      <c r="W424" s="165"/>
      <c r="X424" s="165"/>
      <c r="Y424" s="165"/>
      <c r="Z424" s="165"/>
    </row>
    <row r="425" spans="16:26" ht="10.199999999999999" customHeight="1">
      <c r="P425" s="165"/>
      <c r="Q425" s="165"/>
      <c r="R425" s="165"/>
      <c r="S425" s="165"/>
      <c r="T425" s="165"/>
      <c r="U425" s="165"/>
      <c r="V425" s="165"/>
      <c r="W425" s="165"/>
      <c r="X425" s="165"/>
      <c r="Y425" s="165"/>
      <c r="Z425" s="165"/>
    </row>
    <row r="426" spans="16:26" ht="10.199999999999999" customHeight="1">
      <c r="P426" s="165"/>
      <c r="Q426" s="165"/>
      <c r="R426" s="165"/>
      <c r="S426" s="165"/>
      <c r="T426" s="165"/>
      <c r="U426" s="165"/>
      <c r="V426" s="165"/>
      <c r="W426" s="165"/>
      <c r="X426" s="165"/>
      <c r="Y426" s="165"/>
      <c r="Z426" s="165"/>
    </row>
    <row r="427" spans="16:26" ht="10.199999999999999" customHeight="1">
      <c r="P427" s="165"/>
      <c r="Q427" s="165"/>
      <c r="R427" s="165"/>
      <c r="S427" s="165"/>
      <c r="T427" s="165"/>
      <c r="U427" s="165"/>
      <c r="V427" s="165"/>
      <c r="W427" s="165"/>
      <c r="X427" s="165"/>
      <c r="Y427" s="165"/>
      <c r="Z427" s="165"/>
    </row>
    <row r="428" spans="16:26" ht="10.199999999999999" customHeight="1">
      <c r="P428" s="165"/>
      <c r="Q428" s="165"/>
      <c r="R428" s="165"/>
      <c r="S428" s="165"/>
      <c r="T428" s="165"/>
      <c r="U428" s="165"/>
      <c r="V428" s="165"/>
      <c r="W428" s="165"/>
      <c r="X428" s="165"/>
      <c r="Y428" s="165"/>
      <c r="Z428" s="165"/>
    </row>
    <row r="429" spans="16:26" ht="10.199999999999999" customHeight="1">
      <c r="P429" s="165"/>
      <c r="Q429" s="165"/>
      <c r="R429" s="165"/>
      <c r="S429" s="165"/>
      <c r="T429" s="165"/>
      <c r="U429" s="165"/>
      <c r="V429" s="165"/>
      <c r="W429" s="165"/>
      <c r="X429" s="165"/>
      <c r="Y429" s="165"/>
      <c r="Z429" s="165"/>
    </row>
    <row r="430" spans="16:26" ht="10.199999999999999" customHeight="1">
      <c r="P430" s="165"/>
      <c r="Q430" s="165"/>
      <c r="R430" s="165"/>
      <c r="S430" s="165"/>
      <c r="T430" s="165"/>
      <c r="U430" s="165"/>
      <c r="V430" s="165"/>
      <c r="W430" s="165"/>
      <c r="X430" s="165"/>
      <c r="Y430" s="165"/>
      <c r="Z430" s="165"/>
    </row>
    <row r="431" spans="16:26" ht="10.199999999999999" customHeight="1">
      <c r="P431" s="165"/>
      <c r="Q431" s="165"/>
      <c r="R431" s="165"/>
      <c r="S431" s="165"/>
      <c r="T431" s="165"/>
      <c r="U431" s="165"/>
      <c r="V431" s="165"/>
      <c r="W431" s="165"/>
      <c r="X431" s="165"/>
      <c r="Y431" s="165"/>
      <c r="Z431" s="165"/>
    </row>
    <row r="432" spans="16:26" ht="10.199999999999999" customHeight="1">
      <c r="P432" s="165"/>
      <c r="Q432" s="165"/>
      <c r="R432" s="165"/>
      <c r="S432" s="165"/>
      <c r="T432" s="165"/>
      <c r="U432" s="165"/>
      <c r="V432" s="165"/>
      <c r="W432" s="165"/>
      <c r="X432" s="165"/>
      <c r="Y432" s="165"/>
      <c r="Z432" s="165"/>
    </row>
    <row r="433" spans="16:26" ht="10.199999999999999" customHeight="1">
      <c r="P433" s="165"/>
      <c r="Q433" s="165"/>
      <c r="R433" s="165"/>
      <c r="S433" s="165"/>
      <c r="T433" s="165"/>
      <c r="U433" s="165"/>
      <c r="V433" s="165"/>
      <c r="W433" s="165"/>
      <c r="X433" s="165"/>
      <c r="Y433" s="165"/>
      <c r="Z433" s="165"/>
    </row>
    <row r="434" spans="16:26" ht="10.199999999999999" customHeight="1">
      <c r="P434" s="165"/>
      <c r="Q434" s="165"/>
      <c r="R434" s="165"/>
      <c r="S434" s="165"/>
      <c r="T434" s="165"/>
      <c r="U434" s="165"/>
      <c r="V434" s="165"/>
      <c r="W434" s="165"/>
      <c r="X434" s="165"/>
      <c r="Y434" s="165"/>
      <c r="Z434" s="165"/>
    </row>
    <row r="435" spans="16:26" ht="10.199999999999999" customHeight="1">
      <c r="P435" s="165"/>
      <c r="Q435" s="165"/>
      <c r="R435" s="165"/>
      <c r="S435" s="165"/>
      <c r="T435" s="165"/>
      <c r="U435" s="165"/>
      <c r="V435" s="165"/>
      <c r="W435" s="165"/>
      <c r="X435" s="165"/>
      <c r="Y435" s="165"/>
      <c r="Z435" s="165"/>
    </row>
    <row r="436" spans="16:26" ht="10.199999999999999" customHeight="1">
      <c r="P436" s="165"/>
      <c r="Q436" s="165"/>
      <c r="R436" s="165"/>
      <c r="S436" s="165"/>
      <c r="T436" s="165"/>
      <c r="U436" s="165"/>
      <c r="V436" s="165"/>
      <c r="W436" s="165"/>
      <c r="X436" s="165"/>
      <c r="Y436" s="165"/>
      <c r="Z436" s="165"/>
    </row>
    <row r="437" spans="16:26" ht="10.199999999999999" customHeight="1">
      <c r="P437" s="165"/>
      <c r="Q437" s="165"/>
      <c r="R437" s="165"/>
      <c r="S437" s="165"/>
      <c r="T437" s="165"/>
      <c r="U437" s="165"/>
      <c r="V437" s="165"/>
      <c r="W437" s="165"/>
      <c r="X437" s="165"/>
      <c r="Y437" s="165"/>
      <c r="Z437" s="165"/>
    </row>
    <row r="438" spans="16:26" ht="10.199999999999999" customHeight="1">
      <c r="P438" s="165"/>
      <c r="Q438" s="165"/>
      <c r="R438" s="165"/>
      <c r="S438" s="165"/>
      <c r="T438" s="165"/>
      <c r="U438" s="165"/>
      <c r="V438" s="165"/>
      <c r="W438" s="165"/>
      <c r="X438" s="165"/>
      <c r="Y438" s="165"/>
      <c r="Z438" s="165"/>
    </row>
    <row r="439" spans="16:26" ht="10.199999999999999" customHeight="1">
      <c r="P439" s="165"/>
      <c r="Q439" s="165"/>
      <c r="R439" s="165"/>
      <c r="S439" s="165"/>
      <c r="T439" s="165"/>
      <c r="U439" s="165"/>
      <c r="V439" s="165"/>
      <c r="W439" s="165"/>
      <c r="X439" s="165"/>
      <c r="Y439" s="165"/>
      <c r="Z439" s="165"/>
    </row>
    <row r="440" spans="16:26" ht="10.199999999999999" customHeight="1">
      <c r="P440" s="165"/>
      <c r="Q440" s="165"/>
      <c r="R440" s="165"/>
      <c r="S440" s="165"/>
      <c r="T440" s="165"/>
      <c r="U440" s="165"/>
      <c r="V440" s="165"/>
      <c r="W440" s="165"/>
      <c r="X440" s="165"/>
      <c r="Y440" s="165"/>
      <c r="Z440" s="165"/>
    </row>
    <row r="441" spans="16:26" ht="10.199999999999999" customHeight="1">
      <c r="P441" s="165"/>
      <c r="Q441" s="165"/>
      <c r="R441" s="165"/>
      <c r="S441" s="165"/>
      <c r="T441" s="165"/>
      <c r="U441" s="165"/>
      <c r="V441" s="165"/>
      <c r="W441" s="165"/>
      <c r="X441" s="165"/>
      <c r="Y441" s="165"/>
      <c r="Z441" s="165"/>
    </row>
    <row r="442" spans="16:26" ht="10.199999999999999" customHeight="1">
      <c r="P442" s="165"/>
      <c r="Q442" s="165"/>
      <c r="R442" s="165"/>
      <c r="S442" s="165"/>
      <c r="T442" s="165"/>
      <c r="U442" s="165"/>
      <c r="V442" s="165"/>
      <c r="W442" s="165"/>
      <c r="X442" s="165"/>
      <c r="Y442" s="165"/>
      <c r="Z442" s="165"/>
    </row>
    <row r="443" spans="16:26" ht="10.199999999999999" customHeight="1">
      <c r="P443" s="165"/>
      <c r="Q443" s="165"/>
      <c r="R443" s="165"/>
      <c r="S443" s="165"/>
      <c r="T443" s="165"/>
      <c r="U443" s="165"/>
      <c r="V443" s="165"/>
      <c r="W443" s="165"/>
      <c r="X443" s="165"/>
      <c r="Y443" s="165"/>
      <c r="Z443" s="165"/>
    </row>
    <row r="444" spans="16:26" ht="10.199999999999999" customHeight="1">
      <c r="P444" s="165"/>
      <c r="Q444" s="165"/>
      <c r="R444" s="165"/>
      <c r="S444" s="165"/>
      <c r="T444" s="165"/>
      <c r="U444" s="165"/>
      <c r="V444" s="165"/>
      <c r="W444" s="165"/>
      <c r="X444" s="165"/>
      <c r="Y444" s="165"/>
      <c r="Z444" s="165"/>
    </row>
    <row r="445" spans="16:26" ht="10.199999999999999" customHeight="1">
      <c r="P445" s="165"/>
      <c r="Q445" s="165"/>
      <c r="R445" s="165"/>
      <c r="S445" s="165"/>
      <c r="T445" s="165"/>
      <c r="U445" s="165"/>
      <c r="V445" s="165"/>
      <c r="W445" s="165"/>
      <c r="X445" s="165"/>
      <c r="Y445" s="165"/>
      <c r="Z445" s="165"/>
    </row>
    <row r="446" spans="16:26" ht="10.199999999999999" customHeight="1">
      <c r="P446" s="165"/>
      <c r="Q446" s="165"/>
      <c r="R446" s="165"/>
      <c r="S446" s="165"/>
      <c r="T446" s="165"/>
      <c r="U446" s="165"/>
      <c r="V446" s="165"/>
      <c r="W446" s="165"/>
      <c r="X446" s="165"/>
      <c r="Y446" s="165"/>
      <c r="Z446" s="165"/>
    </row>
    <row r="447" spans="16:26" ht="10.199999999999999" customHeight="1">
      <c r="P447" s="165"/>
      <c r="Q447" s="165"/>
      <c r="R447" s="165"/>
      <c r="S447" s="165"/>
      <c r="T447" s="165"/>
      <c r="U447" s="165"/>
      <c r="V447" s="165"/>
      <c r="W447" s="165"/>
      <c r="X447" s="165"/>
      <c r="Y447" s="165"/>
      <c r="Z447" s="165"/>
    </row>
    <row r="448" spans="16:26" ht="10.199999999999999" customHeight="1">
      <c r="P448" s="165"/>
      <c r="Q448" s="165"/>
      <c r="R448" s="165"/>
      <c r="S448" s="165"/>
      <c r="T448" s="165"/>
      <c r="U448" s="165"/>
      <c r="V448" s="165"/>
      <c r="W448" s="165"/>
      <c r="X448" s="165"/>
      <c r="Y448" s="165"/>
      <c r="Z448" s="165"/>
    </row>
    <row r="449" spans="16:26" ht="10.199999999999999" customHeight="1">
      <c r="P449" s="165"/>
      <c r="Q449" s="165"/>
      <c r="R449" s="165"/>
      <c r="S449" s="165"/>
      <c r="T449" s="165"/>
      <c r="U449" s="165"/>
      <c r="V449" s="165"/>
      <c r="W449" s="165"/>
      <c r="X449" s="165"/>
      <c r="Y449" s="165"/>
      <c r="Z449" s="165"/>
    </row>
    <row r="450" spans="16:26" ht="10.199999999999999" customHeight="1">
      <c r="P450" s="165"/>
      <c r="Q450" s="165"/>
      <c r="R450" s="165"/>
      <c r="S450" s="165"/>
      <c r="T450" s="165"/>
      <c r="U450" s="165"/>
      <c r="V450" s="165"/>
      <c r="W450" s="165"/>
      <c r="X450" s="165"/>
      <c r="Y450" s="165"/>
      <c r="Z450" s="165"/>
    </row>
    <row r="451" spans="16:26" ht="10.199999999999999" customHeight="1">
      <c r="P451" s="165"/>
      <c r="Q451" s="165"/>
      <c r="R451" s="165"/>
      <c r="S451" s="165"/>
      <c r="T451" s="165"/>
      <c r="U451" s="165"/>
      <c r="V451" s="165"/>
      <c r="W451" s="165"/>
      <c r="X451" s="165"/>
      <c r="Y451" s="165"/>
      <c r="Z451" s="165"/>
    </row>
    <row r="452" spans="16:26" ht="10.199999999999999" customHeight="1">
      <c r="P452" s="165"/>
      <c r="Q452" s="165"/>
      <c r="R452" s="165"/>
      <c r="S452" s="165"/>
      <c r="T452" s="165"/>
      <c r="U452" s="165"/>
      <c r="V452" s="165"/>
      <c r="W452" s="165"/>
      <c r="X452" s="165"/>
      <c r="Y452" s="165"/>
      <c r="Z452" s="165"/>
    </row>
    <row r="453" spans="16:26" ht="10.199999999999999" customHeight="1">
      <c r="P453" s="165"/>
      <c r="Q453" s="165"/>
      <c r="R453" s="165"/>
      <c r="S453" s="165"/>
      <c r="T453" s="165"/>
      <c r="U453" s="165"/>
      <c r="V453" s="165"/>
      <c r="W453" s="165"/>
      <c r="X453" s="165"/>
      <c r="Y453" s="165"/>
      <c r="Z453" s="165"/>
    </row>
    <row r="454" spans="16:26" ht="10.199999999999999" customHeight="1">
      <c r="P454" s="165"/>
      <c r="Q454" s="165"/>
      <c r="R454" s="165"/>
      <c r="S454" s="165"/>
      <c r="T454" s="165"/>
      <c r="U454" s="165"/>
      <c r="V454" s="165"/>
      <c r="W454" s="165"/>
      <c r="X454" s="165"/>
      <c r="Y454" s="165"/>
      <c r="Z454" s="165"/>
    </row>
    <row r="455" spans="16:26" ht="10.199999999999999" customHeight="1">
      <c r="P455" s="165"/>
      <c r="Q455" s="165"/>
      <c r="R455" s="165"/>
      <c r="S455" s="165"/>
      <c r="T455" s="165"/>
      <c r="U455" s="165"/>
      <c r="V455" s="165"/>
      <c r="W455" s="165"/>
      <c r="X455" s="165"/>
      <c r="Y455" s="165"/>
      <c r="Z455" s="165"/>
    </row>
    <row r="456" spans="16:26" ht="10.199999999999999" customHeight="1">
      <c r="P456" s="165"/>
      <c r="Q456" s="165"/>
      <c r="R456" s="165"/>
      <c r="S456" s="165"/>
      <c r="T456" s="165"/>
      <c r="U456" s="165"/>
      <c r="V456" s="165"/>
      <c r="W456" s="165"/>
      <c r="X456" s="165"/>
      <c r="Y456" s="165"/>
      <c r="Z456" s="165"/>
    </row>
    <row r="457" spans="16:26" ht="10.199999999999999" customHeight="1">
      <c r="P457" s="165"/>
      <c r="Q457" s="165"/>
      <c r="R457" s="165"/>
      <c r="S457" s="165"/>
      <c r="T457" s="165"/>
      <c r="U457" s="165"/>
      <c r="V457" s="165"/>
      <c r="W457" s="165"/>
      <c r="X457" s="165"/>
      <c r="Y457" s="165"/>
      <c r="Z457" s="165"/>
    </row>
    <row r="458" spans="16:26" ht="10.199999999999999" customHeight="1">
      <c r="P458" s="165"/>
      <c r="Q458" s="165"/>
      <c r="R458" s="165"/>
      <c r="S458" s="165"/>
      <c r="T458" s="165"/>
      <c r="U458" s="165"/>
      <c r="V458" s="165"/>
      <c r="W458" s="165"/>
      <c r="X458" s="165"/>
      <c r="Y458" s="165"/>
      <c r="Z458" s="165"/>
    </row>
    <row r="459" spans="16:26" ht="10.199999999999999" customHeight="1">
      <c r="P459" s="165"/>
      <c r="Q459" s="165"/>
      <c r="R459" s="165"/>
      <c r="S459" s="165"/>
      <c r="T459" s="165"/>
      <c r="U459" s="165"/>
      <c r="V459" s="165"/>
      <c r="W459" s="165"/>
      <c r="X459" s="165"/>
      <c r="Y459" s="165"/>
      <c r="Z459" s="165"/>
    </row>
    <row r="460" spans="16:26" ht="10.199999999999999" customHeight="1">
      <c r="P460" s="165"/>
      <c r="Q460" s="165"/>
      <c r="R460" s="165"/>
      <c r="S460" s="165"/>
      <c r="T460" s="165"/>
      <c r="U460" s="165"/>
      <c r="V460" s="165"/>
      <c r="W460" s="165"/>
      <c r="X460" s="165"/>
      <c r="Y460" s="165"/>
      <c r="Z460" s="165"/>
    </row>
    <row r="461" spans="16:26" ht="10.199999999999999" customHeight="1">
      <c r="P461" s="165"/>
      <c r="Q461" s="165"/>
      <c r="R461" s="165"/>
      <c r="S461" s="165"/>
      <c r="T461" s="165"/>
      <c r="U461" s="165"/>
      <c r="V461" s="165"/>
      <c r="W461" s="165"/>
      <c r="X461" s="165"/>
      <c r="Y461" s="165"/>
      <c r="Z461" s="165"/>
    </row>
    <row r="462" spans="16:26" ht="10.199999999999999" customHeight="1">
      <c r="P462" s="165"/>
      <c r="Q462" s="165"/>
      <c r="R462" s="165"/>
      <c r="S462" s="165"/>
      <c r="T462" s="165"/>
      <c r="U462" s="165"/>
      <c r="V462" s="165"/>
      <c r="W462" s="165"/>
      <c r="X462" s="165"/>
      <c r="Y462" s="165"/>
      <c r="Z462" s="165"/>
    </row>
    <row r="463" spans="16:26" ht="10.199999999999999" customHeight="1">
      <c r="P463" s="165"/>
      <c r="Q463" s="165"/>
      <c r="R463" s="165"/>
      <c r="S463" s="165"/>
      <c r="T463" s="165"/>
      <c r="U463" s="165"/>
      <c r="V463" s="165"/>
      <c r="W463" s="165"/>
      <c r="X463" s="165"/>
      <c r="Y463" s="165"/>
      <c r="Z463" s="165"/>
    </row>
    <row r="464" spans="16:26" ht="10.199999999999999" customHeight="1">
      <c r="P464" s="165"/>
      <c r="Q464" s="165"/>
      <c r="R464" s="165"/>
      <c r="S464" s="165"/>
      <c r="T464" s="165"/>
      <c r="U464" s="165"/>
      <c r="V464" s="165"/>
      <c r="W464" s="165"/>
      <c r="X464" s="165"/>
      <c r="Y464" s="165"/>
      <c r="Z464" s="165"/>
    </row>
    <row r="465" spans="16:26" ht="10.199999999999999" customHeight="1">
      <c r="P465" s="165"/>
      <c r="Q465" s="165"/>
      <c r="R465" s="165"/>
      <c r="S465" s="165"/>
      <c r="T465" s="165"/>
      <c r="U465" s="165"/>
      <c r="V465" s="165"/>
      <c r="W465" s="165"/>
      <c r="X465" s="165"/>
      <c r="Y465" s="165"/>
      <c r="Z465" s="165"/>
    </row>
    <row r="466" spans="16:26" ht="10.199999999999999" customHeight="1">
      <c r="P466" s="165"/>
      <c r="Q466" s="165"/>
      <c r="R466" s="165"/>
      <c r="S466" s="165"/>
      <c r="T466" s="165"/>
      <c r="U466" s="165"/>
      <c r="V466" s="165"/>
      <c r="W466" s="165"/>
      <c r="X466" s="165"/>
      <c r="Y466" s="165"/>
      <c r="Z466" s="165"/>
    </row>
    <row r="467" spans="16:26" ht="10.199999999999999" customHeight="1">
      <c r="P467" s="165"/>
      <c r="Q467" s="165"/>
      <c r="R467" s="165"/>
      <c r="S467" s="165"/>
      <c r="T467" s="165"/>
      <c r="U467" s="165"/>
      <c r="V467" s="165"/>
      <c r="W467" s="165"/>
      <c r="X467" s="165"/>
      <c r="Y467" s="165"/>
      <c r="Z467" s="165"/>
    </row>
    <row r="468" spans="16:26" ht="10.199999999999999" customHeight="1">
      <c r="P468" s="165"/>
      <c r="Q468" s="165"/>
      <c r="R468" s="165"/>
      <c r="S468" s="165"/>
      <c r="T468" s="165"/>
      <c r="U468" s="165"/>
      <c r="V468" s="165"/>
      <c r="W468" s="165"/>
      <c r="X468" s="165"/>
      <c r="Y468" s="165"/>
      <c r="Z468" s="165"/>
    </row>
    <row r="469" spans="16:26" ht="10.199999999999999" customHeight="1">
      <c r="P469" s="165"/>
      <c r="Q469" s="165"/>
      <c r="R469" s="165"/>
      <c r="S469" s="165"/>
      <c r="T469" s="165"/>
      <c r="U469" s="165"/>
      <c r="V469" s="165"/>
      <c r="W469" s="165"/>
      <c r="X469" s="165"/>
      <c r="Y469" s="165"/>
      <c r="Z469" s="165"/>
    </row>
    <row r="470" spans="16:26" ht="10.199999999999999" customHeight="1">
      <c r="P470" s="165"/>
      <c r="Q470" s="165"/>
      <c r="R470" s="165"/>
      <c r="S470" s="165"/>
      <c r="T470" s="165"/>
      <c r="U470" s="165"/>
      <c r="V470" s="165"/>
      <c r="W470" s="165"/>
      <c r="X470" s="165"/>
      <c r="Y470" s="165"/>
      <c r="Z470" s="165"/>
    </row>
    <row r="471" spans="16:26" ht="10.199999999999999" customHeight="1">
      <c r="P471" s="165"/>
      <c r="Q471" s="165"/>
      <c r="R471" s="165"/>
      <c r="S471" s="165"/>
      <c r="T471" s="165"/>
      <c r="U471" s="165"/>
      <c r="V471" s="165"/>
      <c r="W471" s="165"/>
      <c r="X471" s="165"/>
      <c r="Y471" s="165"/>
      <c r="Z471" s="165"/>
    </row>
    <row r="472" spans="16:26" ht="10.199999999999999" customHeight="1">
      <c r="P472" s="165"/>
      <c r="Q472" s="165"/>
      <c r="R472" s="165"/>
      <c r="S472" s="165"/>
      <c r="T472" s="165"/>
      <c r="U472" s="165"/>
      <c r="V472" s="165"/>
      <c r="W472" s="165"/>
      <c r="X472" s="165"/>
      <c r="Y472" s="165"/>
      <c r="Z472" s="165"/>
    </row>
    <row r="473" spans="16:26" ht="10.199999999999999" customHeight="1">
      <c r="P473" s="165"/>
      <c r="Q473" s="165"/>
      <c r="R473" s="165"/>
      <c r="S473" s="165"/>
      <c r="T473" s="165"/>
      <c r="U473" s="165"/>
      <c r="V473" s="165"/>
      <c r="W473" s="165"/>
      <c r="X473" s="165"/>
      <c r="Y473" s="165"/>
      <c r="Z473" s="165"/>
    </row>
    <row r="474" spans="16:26" ht="10.199999999999999" customHeight="1">
      <c r="P474" s="165"/>
      <c r="Q474" s="165"/>
      <c r="R474" s="165"/>
      <c r="S474" s="165"/>
      <c r="T474" s="165"/>
      <c r="U474" s="165"/>
      <c r="V474" s="165"/>
      <c r="W474" s="165"/>
      <c r="X474" s="165"/>
      <c r="Y474" s="165"/>
      <c r="Z474" s="165"/>
    </row>
    <row r="475" spans="16:26" ht="10.199999999999999" customHeight="1">
      <c r="P475" s="165"/>
      <c r="Q475" s="165"/>
      <c r="R475" s="165"/>
      <c r="S475" s="165"/>
      <c r="T475" s="165"/>
      <c r="U475" s="165"/>
      <c r="V475" s="165"/>
      <c r="W475" s="165"/>
      <c r="X475" s="165"/>
      <c r="Y475" s="165"/>
      <c r="Z475" s="165"/>
    </row>
    <row r="476" spans="16:26" ht="10.199999999999999" customHeight="1">
      <c r="P476" s="165"/>
      <c r="Q476" s="165"/>
      <c r="R476" s="165"/>
      <c r="S476" s="165"/>
      <c r="T476" s="165"/>
      <c r="U476" s="165"/>
      <c r="V476" s="165"/>
      <c r="W476" s="165"/>
      <c r="X476" s="165"/>
      <c r="Y476" s="165"/>
      <c r="Z476" s="165"/>
    </row>
    <row r="477" spans="16:26" ht="10.199999999999999" customHeight="1">
      <c r="P477" s="165"/>
      <c r="Q477" s="165"/>
      <c r="R477" s="165"/>
      <c r="S477" s="165"/>
      <c r="T477" s="165"/>
      <c r="U477" s="165"/>
      <c r="V477" s="165"/>
      <c r="W477" s="165"/>
      <c r="X477" s="165"/>
      <c r="Y477" s="165"/>
      <c r="Z477" s="165"/>
    </row>
    <row r="478" spans="16:26" ht="10.199999999999999" customHeight="1">
      <c r="P478" s="165"/>
      <c r="Q478" s="165"/>
      <c r="R478" s="165"/>
      <c r="S478" s="165"/>
      <c r="T478" s="165"/>
      <c r="U478" s="165"/>
      <c r="V478" s="165"/>
      <c r="W478" s="165"/>
      <c r="X478" s="165"/>
      <c r="Y478" s="165"/>
      <c r="Z478" s="165"/>
    </row>
    <row r="479" spans="16:26" ht="10.199999999999999" customHeight="1">
      <c r="P479" s="165"/>
      <c r="Q479" s="165"/>
      <c r="R479" s="165"/>
      <c r="S479" s="165"/>
      <c r="T479" s="165"/>
      <c r="U479" s="165"/>
      <c r="V479" s="165"/>
      <c r="W479" s="165"/>
      <c r="X479" s="165"/>
      <c r="Y479" s="165"/>
      <c r="Z479" s="165"/>
    </row>
    <row r="480" spans="16:26" ht="10.199999999999999" customHeight="1">
      <c r="P480" s="165"/>
      <c r="Q480" s="165"/>
      <c r="R480" s="165"/>
      <c r="S480" s="165"/>
      <c r="T480" s="165"/>
      <c r="U480" s="165"/>
      <c r="V480" s="165"/>
      <c r="W480" s="165"/>
      <c r="X480" s="165"/>
      <c r="Y480" s="165"/>
      <c r="Z480" s="165"/>
    </row>
    <row r="481" spans="16:26" ht="10.199999999999999" customHeight="1">
      <c r="P481" s="165"/>
      <c r="Q481" s="165"/>
      <c r="R481" s="165"/>
      <c r="S481" s="165"/>
      <c r="T481" s="165"/>
      <c r="U481" s="165"/>
      <c r="V481" s="165"/>
      <c r="W481" s="165"/>
      <c r="X481" s="165"/>
      <c r="Y481" s="165"/>
      <c r="Z481" s="165"/>
    </row>
    <row r="482" spans="16:26" ht="10.199999999999999" customHeight="1">
      <c r="P482" s="165"/>
      <c r="Q482" s="165"/>
      <c r="R482" s="165"/>
      <c r="S482" s="165"/>
      <c r="T482" s="165"/>
      <c r="U482" s="165"/>
      <c r="V482" s="165"/>
      <c r="W482" s="165"/>
      <c r="X482" s="165"/>
      <c r="Y482" s="165"/>
      <c r="Z482" s="165"/>
    </row>
    <row r="483" spans="16:26" ht="10.199999999999999" customHeight="1">
      <c r="P483" s="165"/>
      <c r="Q483" s="165"/>
      <c r="R483" s="165"/>
      <c r="S483" s="165"/>
      <c r="T483" s="165"/>
      <c r="U483" s="165"/>
      <c r="V483" s="165"/>
      <c r="W483" s="165"/>
      <c r="X483" s="165"/>
      <c r="Y483" s="165"/>
      <c r="Z483" s="165"/>
    </row>
    <row r="484" spans="16:26" ht="10.199999999999999" customHeight="1">
      <c r="P484" s="165"/>
      <c r="Q484" s="165"/>
      <c r="R484" s="165"/>
      <c r="S484" s="165"/>
      <c r="T484" s="165"/>
      <c r="U484" s="165"/>
      <c r="V484" s="165"/>
      <c r="W484" s="165"/>
      <c r="X484" s="165"/>
      <c r="Y484" s="165"/>
      <c r="Z484" s="165"/>
    </row>
    <row r="485" spans="16:26" ht="10.199999999999999" customHeight="1">
      <c r="P485" s="165"/>
      <c r="Q485" s="165"/>
      <c r="R485" s="165"/>
      <c r="S485" s="165"/>
      <c r="T485" s="165"/>
      <c r="U485" s="165"/>
      <c r="V485" s="165"/>
      <c r="W485" s="165"/>
      <c r="X485" s="165"/>
      <c r="Y485" s="165"/>
      <c r="Z485" s="165"/>
    </row>
    <row r="486" spans="16:26" ht="10.199999999999999" customHeight="1">
      <c r="P486" s="165"/>
      <c r="Q486" s="165"/>
      <c r="R486" s="165"/>
      <c r="S486" s="165"/>
      <c r="T486" s="165"/>
      <c r="U486" s="165"/>
      <c r="V486" s="165"/>
      <c r="W486" s="165"/>
      <c r="X486" s="165"/>
      <c r="Y486" s="165"/>
      <c r="Z486" s="165"/>
    </row>
    <row r="487" spans="16:26" ht="10.199999999999999" customHeight="1">
      <c r="P487" s="165"/>
      <c r="Q487" s="165"/>
      <c r="R487" s="165"/>
      <c r="S487" s="165"/>
      <c r="T487" s="165"/>
      <c r="U487" s="165"/>
      <c r="V487" s="165"/>
      <c r="W487" s="165"/>
      <c r="X487" s="165"/>
      <c r="Y487" s="165"/>
      <c r="Z487" s="165"/>
    </row>
    <row r="488" spans="16:26" ht="10.199999999999999" customHeight="1">
      <c r="P488" s="165"/>
      <c r="Q488" s="165"/>
      <c r="R488" s="165"/>
      <c r="S488" s="165"/>
      <c r="T488" s="165"/>
      <c r="U488" s="165"/>
      <c r="V488" s="165"/>
      <c r="W488" s="165"/>
      <c r="X488" s="165"/>
      <c r="Y488" s="165"/>
      <c r="Z488" s="165"/>
    </row>
    <row r="489" spans="16:26" ht="10.199999999999999" customHeight="1">
      <c r="P489" s="165"/>
      <c r="Q489" s="165"/>
      <c r="R489" s="165"/>
      <c r="S489" s="165"/>
      <c r="T489" s="165"/>
      <c r="U489" s="165"/>
      <c r="V489" s="165"/>
      <c r="W489" s="165"/>
      <c r="X489" s="165"/>
      <c r="Y489" s="165"/>
      <c r="Z489" s="165"/>
    </row>
    <row r="490" spans="16:26" ht="10.199999999999999" customHeight="1">
      <c r="P490" s="165"/>
      <c r="Q490" s="165"/>
      <c r="R490" s="165"/>
      <c r="S490" s="165"/>
      <c r="T490" s="165"/>
      <c r="U490" s="165"/>
      <c r="V490" s="165"/>
      <c r="W490" s="165"/>
      <c r="X490" s="165"/>
      <c r="Y490" s="165"/>
      <c r="Z490" s="165"/>
    </row>
    <row r="491" spans="16:26" ht="10.199999999999999" customHeight="1">
      <c r="P491" s="165"/>
      <c r="Q491" s="165"/>
      <c r="R491" s="165"/>
      <c r="S491" s="165"/>
      <c r="T491" s="165"/>
      <c r="U491" s="165"/>
      <c r="V491" s="165"/>
      <c r="W491" s="165"/>
      <c r="X491" s="165"/>
      <c r="Y491" s="165"/>
      <c r="Z491" s="165"/>
    </row>
    <row r="492" spans="16:26" ht="10.199999999999999" customHeight="1">
      <c r="P492" s="165"/>
      <c r="Q492" s="165"/>
      <c r="R492" s="165"/>
      <c r="S492" s="165"/>
      <c r="T492" s="165"/>
      <c r="U492" s="165"/>
      <c r="V492" s="165"/>
      <c r="W492" s="165"/>
      <c r="X492" s="165"/>
      <c r="Y492" s="165"/>
      <c r="Z492" s="165"/>
    </row>
    <row r="493" spans="16:26" ht="10.199999999999999" customHeight="1">
      <c r="P493" s="165"/>
      <c r="Q493" s="165"/>
      <c r="R493" s="165"/>
      <c r="S493" s="165"/>
      <c r="T493" s="165"/>
      <c r="U493" s="165"/>
      <c r="V493" s="165"/>
      <c r="W493" s="165"/>
      <c r="X493" s="165"/>
      <c r="Y493" s="165"/>
      <c r="Z493" s="165"/>
    </row>
    <row r="494" spans="16:26" ht="10.199999999999999" customHeight="1">
      <c r="P494" s="165"/>
      <c r="Q494" s="165"/>
      <c r="R494" s="165"/>
      <c r="S494" s="165"/>
      <c r="T494" s="165"/>
      <c r="U494" s="165"/>
      <c r="V494" s="165"/>
      <c r="W494" s="165"/>
      <c r="X494" s="165"/>
      <c r="Y494" s="165"/>
      <c r="Z494" s="165"/>
    </row>
    <row r="495" spans="16:26" ht="10.199999999999999" customHeight="1">
      <c r="P495" s="165"/>
      <c r="Q495" s="165"/>
      <c r="R495" s="165"/>
      <c r="S495" s="165"/>
      <c r="T495" s="165"/>
      <c r="U495" s="165"/>
      <c r="V495" s="165"/>
      <c r="W495" s="165"/>
      <c r="X495" s="165"/>
      <c r="Y495" s="165"/>
      <c r="Z495" s="165"/>
    </row>
    <row r="496" spans="16:26" ht="10.199999999999999" customHeight="1">
      <c r="P496" s="165"/>
      <c r="Q496" s="165"/>
      <c r="R496" s="165"/>
      <c r="S496" s="165"/>
      <c r="T496" s="165"/>
      <c r="U496" s="165"/>
      <c r="V496" s="165"/>
      <c r="W496" s="165"/>
      <c r="X496" s="165"/>
      <c r="Y496" s="165"/>
      <c r="Z496" s="165"/>
    </row>
    <row r="497" spans="16:26" ht="10.199999999999999" customHeight="1">
      <c r="P497" s="165"/>
      <c r="Q497" s="165"/>
      <c r="R497" s="165"/>
      <c r="S497" s="165"/>
      <c r="T497" s="165"/>
      <c r="U497" s="165"/>
      <c r="V497" s="165"/>
      <c r="W497" s="165"/>
      <c r="X497" s="165"/>
      <c r="Y497" s="165"/>
      <c r="Z497" s="165"/>
    </row>
    <row r="498" spans="16:26" ht="10.199999999999999" customHeight="1">
      <c r="P498" s="165"/>
      <c r="Q498" s="165"/>
      <c r="R498" s="165"/>
      <c r="S498" s="165"/>
      <c r="T498" s="165"/>
      <c r="U498" s="165"/>
      <c r="V498" s="165"/>
      <c r="W498" s="165"/>
      <c r="X498" s="165"/>
      <c r="Y498" s="165"/>
      <c r="Z498" s="165"/>
    </row>
    <row r="499" spans="16:26" ht="10.199999999999999" customHeight="1">
      <c r="P499" s="165"/>
      <c r="Q499" s="165"/>
      <c r="R499" s="165"/>
      <c r="S499" s="165"/>
      <c r="T499" s="165"/>
      <c r="U499" s="165"/>
      <c r="V499" s="165"/>
      <c r="W499" s="165"/>
      <c r="X499" s="165"/>
      <c r="Y499" s="165"/>
      <c r="Z499" s="165"/>
    </row>
    <row r="500" spans="16:26" ht="10.199999999999999" customHeight="1">
      <c r="P500" s="165"/>
      <c r="Q500" s="165"/>
      <c r="R500" s="165"/>
      <c r="S500" s="165"/>
      <c r="T500" s="165"/>
      <c r="U500" s="165"/>
      <c r="V500" s="165"/>
      <c r="W500" s="165"/>
      <c r="X500" s="165"/>
      <c r="Y500" s="165"/>
      <c r="Z500" s="165"/>
    </row>
    <row r="501" spans="16:26" ht="10.199999999999999" customHeight="1">
      <c r="P501" s="165"/>
      <c r="Q501" s="165"/>
      <c r="R501" s="165"/>
      <c r="S501" s="165"/>
      <c r="T501" s="165"/>
      <c r="U501" s="165"/>
      <c r="V501" s="165"/>
      <c r="W501" s="165"/>
      <c r="X501" s="165"/>
      <c r="Y501" s="165"/>
      <c r="Z501" s="165"/>
    </row>
    <row r="502" spans="16:26" ht="10.199999999999999" customHeight="1">
      <c r="P502" s="165"/>
      <c r="Q502" s="165"/>
      <c r="R502" s="165"/>
      <c r="S502" s="165"/>
      <c r="T502" s="165"/>
      <c r="U502" s="165"/>
      <c r="V502" s="165"/>
      <c r="W502" s="165"/>
      <c r="X502" s="165"/>
      <c r="Y502" s="165"/>
      <c r="Z502" s="165"/>
    </row>
    <row r="503" spans="16:26" ht="10.199999999999999" customHeight="1">
      <c r="P503" s="165"/>
      <c r="Q503" s="165"/>
      <c r="R503" s="165"/>
      <c r="S503" s="165"/>
      <c r="T503" s="165"/>
      <c r="U503" s="165"/>
      <c r="V503" s="165"/>
      <c r="W503" s="165"/>
      <c r="X503" s="165"/>
      <c r="Y503" s="165"/>
      <c r="Z503" s="165"/>
    </row>
    <row r="504" spans="16:26" ht="10.199999999999999" customHeight="1">
      <c r="P504" s="165"/>
      <c r="Q504" s="165"/>
      <c r="R504" s="165"/>
      <c r="S504" s="165"/>
      <c r="T504" s="165"/>
      <c r="U504" s="165"/>
      <c r="V504" s="165"/>
      <c r="W504" s="165"/>
      <c r="X504" s="165"/>
      <c r="Y504" s="165"/>
      <c r="Z504" s="165"/>
    </row>
    <row r="505" spans="16:26" ht="10.199999999999999" customHeight="1">
      <c r="P505" s="165"/>
      <c r="Q505" s="165"/>
      <c r="R505" s="165"/>
      <c r="S505" s="165"/>
      <c r="T505" s="165"/>
      <c r="U505" s="165"/>
      <c r="V505" s="165"/>
      <c r="W505" s="165"/>
      <c r="X505" s="165"/>
      <c r="Y505" s="165"/>
      <c r="Z505" s="165"/>
    </row>
    <row r="506" spans="16:26" ht="10.199999999999999" customHeight="1">
      <c r="P506" s="165"/>
      <c r="Q506" s="165"/>
      <c r="R506" s="165"/>
      <c r="S506" s="165"/>
      <c r="T506" s="165"/>
      <c r="U506" s="165"/>
      <c r="V506" s="165"/>
      <c r="W506" s="165"/>
      <c r="X506" s="165"/>
      <c r="Y506" s="165"/>
      <c r="Z506" s="165"/>
    </row>
    <row r="507" spans="16:26" ht="10.199999999999999" customHeight="1">
      <c r="P507" s="165"/>
      <c r="Q507" s="165"/>
      <c r="R507" s="165"/>
      <c r="S507" s="165"/>
      <c r="T507" s="165"/>
      <c r="U507" s="165"/>
      <c r="V507" s="165"/>
      <c r="W507" s="165"/>
      <c r="X507" s="165"/>
      <c r="Y507" s="165"/>
      <c r="Z507" s="165"/>
    </row>
    <row r="508" spans="16:26" ht="10.199999999999999" customHeight="1">
      <c r="P508" s="165"/>
      <c r="Q508" s="165"/>
      <c r="R508" s="165"/>
      <c r="S508" s="165"/>
      <c r="T508" s="165"/>
      <c r="U508" s="165"/>
      <c r="V508" s="165"/>
      <c r="W508" s="165"/>
      <c r="X508" s="165"/>
      <c r="Y508" s="165"/>
      <c r="Z508" s="165"/>
    </row>
    <row r="509" spans="16:26" ht="10.199999999999999" customHeight="1">
      <c r="P509" s="165"/>
      <c r="Q509" s="165"/>
      <c r="R509" s="165"/>
      <c r="S509" s="165"/>
      <c r="T509" s="165"/>
      <c r="U509" s="165"/>
      <c r="V509" s="165"/>
      <c r="W509" s="165"/>
      <c r="X509" s="165"/>
      <c r="Y509" s="165"/>
      <c r="Z509" s="165"/>
    </row>
    <row r="510" spans="16:26" ht="10.199999999999999" customHeight="1">
      <c r="P510" s="165"/>
      <c r="Q510" s="165"/>
      <c r="R510" s="165"/>
      <c r="S510" s="165"/>
      <c r="T510" s="165"/>
      <c r="U510" s="165"/>
      <c r="V510" s="165"/>
      <c r="W510" s="165"/>
      <c r="X510" s="165"/>
      <c r="Y510" s="165"/>
      <c r="Z510" s="165"/>
    </row>
    <row r="511" spans="16:26" ht="10.199999999999999" customHeight="1">
      <c r="P511" s="165"/>
      <c r="Q511" s="165"/>
      <c r="R511" s="165"/>
      <c r="S511" s="165"/>
      <c r="T511" s="165"/>
      <c r="U511" s="165"/>
      <c r="V511" s="165"/>
      <c r="W511" s="165"/>
      <c r="X511" s="165"/>
      <c r="Y511" s="165"/>
      <c r="Z511" s="165"/>
    </row>
    <row r="512" spans="16:26" ht="10.199999999999999" customHeight="1">
      <c r="P512" s="165"/>
      <c r="Q512" s="165"/>
      <c r="R512" s="165"/>
      <c r="S512" s="165"/>
      <c r="T512" s="165"/>
      <c r="U512" s="165"/>
      <c r="V512" s="165"/>
      <c r="W512" s="165"/>
      <c r="X512" s="165"/>
      <c r="Y512" s="165"/>
      <c r="Z512" s="165"/>
    </row>
    <row r="513" spans="16:26" ht="10.199999999999999" customHeight="1">
      <c r="P513" s="165"/>
      <c r="Q513" s="165"/>
      <c r="R513" s="165"/>
      <c r="S513" s="165"/>
      <c r="T513" s="165"/>
      <c r="U513" s="165"/>
      <c r="V513" s="165"/>
      <c r="W513" s="165"/>
      <c r="X513" s="165"/>
      <c r="Y513" s="165"/>
      <c r="Z513" s="165"/>
    </row>
    <row r="514" spans="16:26" ht="10.199999999999999" customHeight="1">
      <c r="P514" s="165"/>
      <c r="Q514" s="165"/>
      <c r="R514" s="165"/>
      <c r="S514" s="165"/>
      <c r="T514" s="165"/>
      <c r="U514" s="165"/>
      <c r="V514" s="165"/>
      <c r="W514" s="165"/>
      <c r="X514" s="165"/>
      <c r="Y514" s="165"/>
      <c r="Z514" s="165"/>
    </row>
    <row r="515" spans="16:26" ht="10.199999999999999" customHeight="1">
      <c r="P515" s="165"/>
      <c r="Q515" s="165"/>
      <c r="R515" s="165"/>
      <c r="S515" s="165"/>
      <c r="T515" s="165"/>
      <c r="U515" s="165"/>
      <c r="V515" s="165"/>
      <c r="W515" s="165"/>
      <c r="X515" s="165"/>
      <c r="Y515" s="165"/>
      <c r="Z515" s="165"/>
    </row>
    <row r="516" spans="16:26" ht="10.199999999999999" customHeight="1">
      <c r="P516" s="165"/>
      <c r="Q516" s="165"/>
      <c r="R516" s="165"/>
      <c r="S516" s="165"/>
      <c r="T516" s="165"/>
      <c r="U516" s="165"/>
      <c r="V516" s="165"/>
      <c r="W516" s="165"/>
      <c r="X516" s="165"/>
      <c r="Y516" s="165"/>
      <c r="Z516" s="165"/>
    </row>
    <row r="517" spans="16:26" ht="10.199999999999999" customHeight="1">
      <c r="P517" s="165"/>
      <c r="Q517" s="165"/>
      <c r="R517" s="165"/>
      <c r="S517" s="165"/>
      <c r="T517" s="165"/>
      <c r="U517" s="165"/>
      <c r="V517" s="165"/>
      <c r="W517" s="165"/>
      <c r="X517" s="165"/>
      <c r="Y517" s="165"/>
      <c r="Z517" s="165"/>
    </row>
    <row r="518" spans="16:26" ht="10.199999999999999" customHeight="1">
      <c r="P518" s="165"/>
      <c r="Q518" s="165"/>
      <c r="R518" s="165"/>
      <c r="S518" s="165"/>
      <c r="T518" s="165"/>
      <c r="U518" s="165"/>
      <c r="V518" s="165"/>
      <c r="W518" s="165"/>
      <c r="X518" s="165"/>
      <c r="Y518" s="165"/>
      <c r="Z518" s="165"/>
    </row>
    <row r="519" spans="16:26" ht="10.199999999999999" customHeight="1">
      <c r="P519" s="165"/>
      <c r="Q519" s="165"/>
      <c r="R519" s="165"/>
      <c r="S519" s="165"/>
      <c r="T519" s="165"/>
      <c r="U519" s="165"/>
      <c r="V519" s="165"/>
      <c r="W519" s="165"/>
      <c r="X519" s="165"/>
      <c r="Y519" s="165"/>
      <c r="Z519" s="165"/>
    </row>
    <row r="520" spans="16:26" ht="10.199999999999999" customHeight="1">
      <c r="P520" s="165"/>
      <c r="Q520" s="165"/>
      <c r="R520" s="165"/>
      <c r="S520" s="165"/>
      <c r="T520" s="165"/>
      <c r="U520" s="165"/>
      <c r="V520" s="165"/>
      <c r="W520" s="165"/>
      <c r="X520" s="165"/>
      <c r="Y520" s="165"/>
      <c r="Z520" s="165"/>
    </row>
    <row r="521" spans="16:26" ht="10.199999999999999" customHeight="1">
      <c r="P521" s="165"/>
      <c r="Q521" s="165"/>
      <c r="R521" s="165"/>
      <c r="S521" s="165"/>
      <c r="T521" s="165"/>
      <c r="U521" s="165"/>
      <c r="V521" s="165"/>
      <c r="W521" s="165"/>
      <c r="X521" s="165"/>
      <c r="Y521" s="165"/>
      <c r="Z521" s="165"/>
    </row>
    <row r="522" spans="16:26" ht="10.199999999999999" customHeight="1">
      <c r="P522" s="165"/>
      <c r="Q522" s="165"/>
      <c r="R522" s="165"/>
      <c r="S522" s="165"/>
      <c r="T522" s="165"/>
      <c r="U522" s="165"/>
      <c r="V522" s="165"/>
      <c r="W522" s="165"/>
      <c r="X522" s="165"/>
      <c r="Y522" s="165"/>
      <c r="Z522" s="165"/>
    </row>
    <row r="523" spans="16:26" ht="10.199999999999999" customHeight="1">
      <c r="P523" s="165"/>
      <c r="Q523" s="165"/>
      <c r="R523" s="165"/>
      <c r="S523" s="165"/>
      <c r="T523" s="165"/>
      <c r="U523" s="165"/>
      <c r="V523" s="165"/>
      <c r="W523" s="165"/>
      <c r="X523" s="165"/>
      <c r="Y523" s="165"/>
      <c r="Z523" s="165"/>
    </row>
    <row r="524" spans="16:26" ht="10.199999999999999" customHeight="1">
      <c r="P524" s="165"/>
      <c r="Q524" s="165"/>
      <c r="R524" s="165"/>
      <c r="S524" s="165"/>
      <c r="T524" s="165"/>
      <c r="U524" s="165"/>
      <c r="V524" s="165"/>
      <c r="W524" s="165"/>
      <c r="X524" s="165"/>
      <c r="Y524" s="165"/>
      <c r="Z524" s="165"/>
    </row>
    <row r="525" spans="16:26" ht="10.199999999999999" customHeight="1">
      <c r="P525" s="165"/>
      <c r="Q525" s="165"/>
      <c r="R525" s="165"/>
      <c r="S525" s="165"/>
      <c r="T525" s="165"/>
      <c r="U525" s="165"/>
      <c r="V525" s="165"/>
      <c r="W525" s="165"/>
      <c r="X525" s="165"/>
      <c r="Y525" s="165"/>
      <c r="Z525" s="165"/>
    </row>
    <row r="526" spans="16:26" ht="10.199999999999999" customHeight="1">
      <c r="P526" s="165"/>
      <c r="Q526" s="165"/>
      <c r="R526" s="165"/>
      <c r="S526" s="165"/>
      <c r="T526" s="165"/>
      <c r="U526" s="165"/>
      <c r="V526" s="165"/>
      <c r="W526" s="165"/>
      <c r="X526" s="165"/>
      <c r="Y526" s="165"/>
      <c r="Z526" s="165"/>
    </row>
    <row r="527" spans="16:26" ht="10.199999999999999" customHeight="1">
      <c r="P527" s="165"/>
      <c r="Q527" s="165"/>
      <c r="R527" s="165"/>
      <c r="S527" s="165"/>
      <c r="T527" s="165"/>
      <c r="U527" s="165"/>
      <c r="V527" s="165"/>
      <c r="W527" s="165"/>
      <c r="X527" s="165"/>
      <c r="Y527" s="165"/>
      <c r="Z527" s="165"/>
    </row>
    <row r="528" spans="16:26" ht="10.199999999999999" customHeight="1">
      <c r="P528" s="165"/>
      <c r="Q528" s="165"/>
      <c r="R528" s="165"/>
      <c r="S528" s="165"/>
      <c r="T528" s="165"/>
      <c r="U528" s="165"/>
      <c r="V528" s="165"/>
      <c r="W528" s="165"/>
      <c r="X528" s="165"/>
      <c r="Y528" s="165"/>
      <c r="Z528" s="165"/>
    </row>
    <row r="529" spans="16:26" ht="10.199999999999999" customHeight="1">
      <c r="P529" s="165"/>
      <c r="Q529" s="165"/>
      <c r="R529" s="165"/>
      <c r="S529" s="165"/>
      <c r="T529" s="165"/>
      <c r="U529" s="165"/>
      <c r="V529" s="165"/>
      <c r="W529" s="165"/>
      <c r="X529" s="165"/>
      <c r="Y529" s="165"/>
      <c r="Z529" s="165"/>
    </row>
    <row r="530" spans="16:26" ht="10.199999999999999" customHeight="1">
      <c r="P530" s="165"/>
      <c r="Q530" s="165"/>
      <c r="R530" s="165"/>
      <c r="S530" s="165"/>
      <c r="T530" s="165"/>
      <c r="U530" s="165"/>
      <c r="V530" s="165"/>
      <c r="W530" s="165"/>
      <c r="X530" s="165"/>
      <c r="Y530" s="165"/>
      <c r="Z530" s="165"/>
    </row>
    <row r="531" spans="16:26" ht="10.199999999999999" customHeight="1">
      <c r="P531" s="165"/>
      <c r="Q531" s="165"/>
      <c r="R531" s="165"/>
      <c r="S531" s="165"/>
      <c r="T531" s="165"/>
      <c r="U531" s="165"/>
      <c r="V531" s="165"/>
      <c r="W531" s="165"/>
      <c r="X531" s="165"/>
      <c r="Y531" s="165"/>
      <c r="Z531" s="165"/>
    </row>
    <row r="532" spans="16:26" ht="10.199999999999999" customHeight="1">
      <c r="P532" s="165"/>
      <c r="Q532" s="165"/>
      <c r="R532" s="165"/>
      <c r="S532" s="165"/>
      <c r="T532" s="165"/>
      <c r="U532" s="165"/>
      <c r="V532" s="165"/>
      <c r="W532" s="165"/>
      <c r="X532" s="165"/>
      <c r="Y532" s="165"/>
      <c r="Z532" s="165"/>
    </row>
    <row r="533" spans="16:26" ht="10.199999999999999" customHeight="1">
      <c r="P533" s="165"/>
      <c r="Q533" s="165"/>
      <c r="R533" s="165"/>
      <c r="S533" s="165"/>
      <c r="T533" s="165"/>
      <c r="U533" s="165"/>
      <c r="V533" s="165"/>
      <c r="W533" s="165"/>
      <c r="X533" s="165"/>
      <c r="Y533" s="165"/>
      <c r="Z533" s="165"/>
    </row>
    <row r="534" spans="16:26" ht="10.199999999999999" customHeight="1">
      <c r="P534" s="165"/>
      <c r="Q534" s="165"/>
      <c r="R534" s="165"/>
      <c r="S534" s="165"/>
      <c r="T534" s="165"/>
      <c r="U534" s="165"/>
      <c r="V534" s="165"/>
      <c r="W534" s="165"/>
      <c r="X534" s="165"/>
      <c r="Y534" s="165"/>
      <c r="Z534" s="165"/>
    </row>
    <row r="535" spans="16:26" ht="10.199999999999999" customHeight="1">
      <c r="P535" s="165"/>
      <c r="Q535" s="165"/>
      <c r="R535" s="165"/>
      <c r="S535" s="165"/>
      <c r="T535" s="165"/>
      <c r="U535" s="165"/>
      <c r="V535" s="165"/>
      <c r="W535" s="165"/>
      <c r="X535" s="165"/>
      <c r="Y535" s="165"/>
      <c r="Z535" s="165"/>
    </row>
    <row r="536" spans="16:26" ht="10.199999999999999" customHeight="1">
      <c r="P536" s="165"/>
      <c r="Q536" s="165"/>
      <c r="R536" s="165"/>
      <c r="S536" s="165"/>
      <c r="T536" s="165"/>
      <c r="U536" s="165"/>
      <c r="V536" s="165"/>
      <c r="W536" s="165"/>
      <c r="X536" s="165"/>
      <c r="Y536" s="165"/>
      <c r="Z536" s="165"/>
    </row>
    <row r="537" spans="16:26" ht="10.199999999999999" customHeight="1">
      <c r="P537" s="165"/>
      <c r="Q537" s="165"/>
      <c r="R537" s="165"/>
      <c r="S537" s="165"/>
      <c r="T537" s="165"/>
      <c r="U537" s="165"/>
      <c r="V537" s="165"/>
      <c r="W537" s="165"/>
      <c r="X537" s="165"/>
      <c r="Y537" s="165"/>
      <c r="Z537" s="165"/>
    </row>
    <row r="538" spans="16:26" ht="10.199999999999999" customHeight="1">
      <c r="P538" s="165"/>
      <c r="Q538" s="165"/>
      <c r="R538" s="165"/>
      <c r="S538" s="165"/>
      <c r="T538" s="165"/>
      <c r="U538" s="165"/>
      <c r="V538" s="165"/>
      <c r="W538" s="165"/>
      <c r="X538" s="165"/>
      <c r="Y538" s="165"/>
      <c r="Z538" s="165"/>
    </row>
    <row r="539" spans="16:26" ht="10.199999999999999" customHeight="1">
      <c r="P539" s="165"/>
      <c r="Q539" s="165"/>
      <c r="R539" s="165"/>
      <c r="S539" s="165"/>
      <c r="T539" s="165"/>
      <c r="U539" s="165"/>
      <c r="V539" s="165"/>
      <c r="W539" s="165"/>
      <c r="X539" s="165"/>
      <c r="Y539" s="165"/>
      <c r="Z539" s="165"/>
    </row>
    <row r="540" spans="16:26" ht="10.199999999999999" customHeight="1">
      <c r="P540" s="165"/>
      <c r="Q540" s="165"/>
      <c r="R540" s="165"/>
      <c r="S540" s="165"/>
      <c r="T540" s="165"/>
      <c r="U540" s="165"/>
      <c r="V540" s="165"/>
      <c r="W540" s="165"/>
      <c r="X540" s="165"/>
      <c r="Y540" s="165"/>
      <c r="Z540" s="165"/>
    </row>
    <row r="541" spans="16:26" ht="10.199999999999999" customHeight="1">
      <c r="P541" s="165"/>
      <c r="Q541" s="165"/>
      <c r="R541" s="165"/>
      <c r="S541" s="165"/>
      <c r="T541" s="165"/>
      <c r="U541" s="165"/>
      <c r="V541" s="165"/>
      <c r="W541" s="165"/>
      <c r="X541" s="165"/>
      <c r="Y541" s="165"/>
      <c r="Z541" s="165"/>
    </row>
    <row r="542" spans="16:26" ht="10.199999999999999" customHeight="1">
      <c r="P542" s="165"/>
      <c r="Q542" s="165"/>
      <c r="R542" s="165"/>
      <c r="S542" s="165"/>
      <c r="T542" s="165"/>
      <c r="U542" s="165"/>
      <c r="V542" s="165"/>
      <c r="W542" s="165"/>
      <c r="X542" s="165"/>
      <c r="Y542" s="165"/>
      <c r="Z542" s="165"/>
    </row>
    <row r="543" spans="16:26" ht="10.199999999999999" customHeight="1">
      <c r="P543" s="165"/>
      <c r="Q543" s="165"/>
      <c r="R543" s="165"/>
      <c r="S543" s="165"/>
      <c r="T543" s="165"/>
      <c r="U543" s="165"/>
      <c r="V543" s="165"/>
      <c r="W543" s="165"/>
      <c r="X543" s="165"/>
      <c r="Y543" s="165"/>
      <c r="Z543" s="165"/>
    </row>
    <row r="544" spans="16:26" ht="10.199999999999999" customHeight="1">
      <c r="P544" s="165"/>
      <c r="Q544" s="165"/>
      <c r="R544" s="165"/>
      <c r="S544" s="165"/>
      <c r="T544" s="165"/>
      <c r="U544" s="165"/>
      <c r="V544" s="165"/>
      <c r="W544" s="165"/>
      <c r="X544" s="165"/>
      <c r="Y544" s="165"/>
      <c r="Z544" s="165"/>
    </row>
    <row r="545" spans="16:26" ht="10.199999999999999" customHeight="1">
      <c r="P545" s="165"/>
      <c r="Q545" s="165"/>
      <c r="R545" s="165"/>
      <c r="S545" s="165"/>
      <c r="T545" s="165"/>
      <c r="U545" s="165"/>
      <c r="V545" s="165"/>
      <c r="W545" s="165"/>
      <c r="X545" s="165"/>
      <c r="Y545" s="165"/>
      <c r="Z545" s="165"/>
    </row>
    <row r="546" spans="16:26" ht="10.199999999999999" customHeight="1">
      <c r="P546" s="165"/>
      <c r="Q546" s="165"/>
      <c r="R546" s="165"/>
      <c r="S546" s="165"/>
      <c r="T546" s="165"/>
      <c r="U546" s="165"/>
      <c r="V546" s="165"/>
      <c r="W546" s="165"/>
      <c r="X546" s="165"/>
      <c r="Y546" s="165"/>
      <c r="Z546" s="165"/>
    </row>
    <row r="547" spans="16:26" ht="10.199999999999999" customHeight="1">
      <c r="P547" s="165"/>
      <c r="Q547" s="165"/>
      <c r="R547" s="165"/>
      <c r="S547" s="165"/>
      <c r="T547" s="165"/>
      <c r="U547" s="165"/>
      <c r="V547" s="165"/>
      <c r="W547" s="165"/>
      <c r="X547" s="165"/>
      <c r="Y547" s="165"/>
      <c r="Z547" s="165"/>
    </row>
    <row r="548" spans="16:26" ht="10.199999999999999" customHeight="1">
      <c r="P548" s="165"/>
      <c r="Q548" s="165"/>
      <c r="R548" s="165"/>
      <c r="S548" s="165"/>
      <c r="T548" s="165"/>
      <c r="U548" s="165"/>
      <c r="V548" s="165"/>
      <c r="W548" s="165"/>
      <c r="X548" s="165"/>
      <c r="Y548" s="165"/>
      <c r="Z548" s="165"/>
    </row>
    <row r="549" spans="16:26" ht="10.199999999999999" customHeight="1">
      <c r="P549" s="165"/>
      <c r="Q549" s="165"/>
      <c r="R549" s="165"/>
      <c r="S549" s="165"/>
      <c r="T549" s="165"/>
      <c r="U549" s="165"/>
      <c r="V549" s="165"/>
      <c r="W549" s="165"/>
      <c r="X549" s="165"/>
      <c r="Y549" s="165"/>
      <c r="Z549" s="165"/>
    </row>
    <row r="550" spans="16:26" ht="10.199999999999999" customHeight="1">
      <c r="P550" s="165"/>
      <c r="Q550" s="165"/>
      <c r="R550" s="165"/>
      <c r="S550" s="165"/>
      <c r="T550" s="165"/>
      <c r="U550" s="165"/>
      <c r="V550" s="165"/>
      <c r="W550" s="165"/>
      <c r="X550" s="165"/>
      <c r="Y550" s="165"/>
      <c r="Z550" s="165"/>
    </row>
    <row r="551" spans="16:26" ht="10.199999999999999" customHeight="1">
      <c r="P551" s="165"/>
      <c r="Q551" s="165"/>
      <c r="R551" s="165"/>
      <c r="S551" s="165"/>
      <c r="T551" s="165"/>
      <c r="U551" s="165"/>
      <c r="V551" s="165"/>
      <c r="W551" s="165"/>
      <c r="X551" s="165"/>
      <c r="Y551" s="165"/>
      <c r="Z551" s="165"/>
    </row>
    <row r="552" spans="16:26" ht="10.199999999999999" customHeight="1">
      <c r="P552" s="165"/>
      <c r="Q552" s="165"/>
      <c r="R552" s="165"/>
      <c r="S552" s="165"/>
      <c r="T552" s="165"/>
      <c r="U552" s="165"/>
      <c r="V552" s="165"/>
      <c r="W552" s="165"/>
      <c r="X552" s="165"/>
      <c r="Y552" s="165"/>
      <c r="Z552" s="165"/>
    </row>
    <row r="553" spans="16:26" ht="10.199999999999999" customHeight="1">
      <c r="P553" s="165"/>
      <c r="Q553" s="165"/>
      <c r="R553" s="165"/>
      <c r="S553" s="165"/>
      <c r="T553" s="165"/>
      <c r="U553" s="165"/>
      <c r="V553" s="165"/>
      <c r="W553" s="165"/>
      <c r="X553" s="165"/>
      <c r="Y553" s="165"/>
      <c r="Z553" s="165"/>
    </row>
    <row r="554" spans="16:26" ht="10.199999999999999" customHeight="1">
      <c r="P554" s="165"/>
      <c r="Q554" s="165"/>
      <c r="R554" s="165"/>
      <c r="S554" s="165"/>
      <c r="T554" s="165"/>
      <c r="U554" s="165"/>
      <c r="V554" s="165"/>
      <c r="W554" s="165"/>
      <c r="X554" s="165"/>
      <c r="Y554" s="165"/>
      <c r="Z554" s="165"/>
    </row>
    <row r="555" spans="16:26" ht="10.199999999999999" customHeight="1">
      <c r="P555" s="165"/>
      <c r="Q555" s="165"/>
      <c r="R555" s="165"/>
      <c r="S555" s="165"/>
      <c r="T555" s="165"/>
      <c r="U555" s="165"/>
      <c r="V555" s="165"/>
      <c r="W555" s="165"/>
      <c r="X555" s="165"/>
      <c r="Y555" s="165"/>
      <c r="Z555" s="165"/>
    </row>
    <row r="556" spans="16:26" ht="10.199999999999999" customHeight="1">
      <c r="P556" s="165"/>
      <c r="Q556" s="165"/>
      <c r="R556" s="165"/>
      <c r="S556" s="165"/>
      <c r="T556" s="165"/>
      <c r="U556" s="165"/>
      <c r="V556" s="165"/>
      <c r="W556" s="165"/>
      <c r="X556" s="165"/>
      <c r="Y556" s="165"/>
      <c r="Z556" s="165"/>
    </row>
    <row r="557" spans="16:26" ht="10.199999999999999" customHeight="1">
      <c r="P557" s="165"/>
      <c r="Q557" s="165"/>
      <c r="R557" s="165"/>
      <c r="S557" s="165"/>
      <c r="T557" s="165"/>
      <c r="U557" s="165"/>
      <c r="V557" s="165"/>
      <c r="W557" s="165"/>
      <c r="X557" s="165"/>
      <c r="Y557" s="165"/>
      <c r="Z557" s="165"/>
    </row>
    <row r="558" spans="16:26" ht="10.199999999999999" customHeight="1">
      <c r="P558" s="165"/>
      <c r="Q558" s="165"/>
      <c r="R558" s="165"/>
      <c r="S558" s="165"/>
      <c r="T558" s="165"/>
      <c r="U558" s="165"/>
      <c r="V558" s="165"/>
      <c r="W558" s="165"/>
      <c r="X558" s="165"/>
      <c r="Y558" s="165"/>
      <c r="Z558" s="165"/>
    </row>
    <row r="559" spans="16:26" ht="10.199999999999999" customHeight="1">
      <c r="P559" s="165"/>
      <c r="Q559" s="165"/>
      <c r="R559" s="165"/>
      <c r="S559" s="165"/>
      <c r="T559" s="165"/>
      <c r="U559" s="165"/>
      <c r="V559" s="165"/>
      <c r="W559" s="165"/>
      <c r="X559" s="165"/>
      <c r="Y559" s="165"/>
      <c r="Z559" s="165"/>
    </row>
    <row r="560" spans="16:26" ht="10.199999999999999" customHeight="1">
      <c r="P560" s="165"/>
      <c r="Q560" s="165"/>
      <c r="R560" s="165"/>
      <c r="S560" s="165"/>
      <c r="T560" s="165"/>
      <c r="U560" s="165"/>
      <c r="V560" s="165"/>
      <c r="W560" s="165"/>
      <c r="X560" s="165"/>
      <c r="Y560" s="165"/>
      <c r="Z560" s="165"/>
    </row>
    <row r="561" spans="16:26" ht="10.199999999999999" customHeight="1">
      <c r="P561" s="165"/>
      <c r="Q561" s="165"/>
      <c r="R561" s="165"/>
      <c r="S561" s="165"/>
      <c r="T561" s="165"/>
      <c r="U561" s="165"/>
      <c r="V561" s="165"/>
      <c r="W561" s="165"/>
      <c r="X561" s="165"/>
      <c r="Y561" s="165"/>
      <c r="Z561" s="165"/>
    </row>
    <row r="562" spans="16:26" ht="10.199999999999999" customHeight="1">
      <c r="P562" s="165"/>
      <c r="Q562" s="165"/>
      <c r="R562" s="165"/>
      <c r="S562" s="165"/>
      <c r="T562" s="165"/>
      <c r="U562" s="165"/>
      <c r="V562" s="165"/>
      <c r="W562" s="165"/>
      <c r="X562" s="165"/>
      <c r="Y562" s="165"/>
      <c r="Z562" s="165"/>
    </row>
    <row r="563" spans="16:26" ht="10.199999999999999" customHeight="1">
      <c r="P563" s="165"/>
      <c r="Q563" s="165"/>
      <c r="R563" s="165"/>
      <c r="S563" s="165"/>
      <c r="T563" s="165"/>
      <c r="U563" s="165"/>
      <c r="V563" s="165"/>
      <c r="W563" s="165"/>
      <c r="X563" s="165"/>
      <c r="Y563" s="165"/>
      <c r="Z563" s="165"/>
    </row>
    <row r="564" spans="16:26" ht="10.199999999999999" customHeight="1">
      <c r="P564" s="165"/>
      <c r="Q564" s="165"/>
      <c r="R564" s="165"/>
      <c r="S564" s="165"/>
      <c r="T564" s="165"/>
      <c r="U564" s="165"/>
      <c r="V564" s="165"/>
      <c r="W564" s="165"/>
      <c r="X564" s="165"/>
      <c r="Y564" s="165"/>
      <c r="Z564" s="165"/>
    </row>
    <row r="565" spans="16:26" ht="10.199999999999999" customHeight="1">
      <c r="P565" s="165"/>
      <c r="Q565" s="165"/>
      <c r="R565" s="165"/>
      <c r="S565" s="165"/>
      <c r="T565" s="165"/>
      <c r="U565" s="165"/>
      <c r="V565" s="165"/>
      <c r="W565" s="165"/>
      <c r="X565" s="165"/>
      <c r="Y565" s="165"/>
      <c r="Z565" s="165"/>
    </row>
    <row r="566" spans="16:26" ht="10.199999999999999" customHeight="1">
      <c r="P566" s="165"/>
      <c r="Q566" s="165"/>
      <c r="R566" s="165"/>
      <c r="S566" s="165"/>
      <c r="T566" s="165"/>
      <c r="U566" s="165"/>
      <c r="V566" s="165"/>
      <c r="W566" s="165"/>
      <c r="X566" s="165"/>
      <c r="Y566" s="165"/>
      <c r="Z566" s="165"/>
    </row>
    <row r="567" spans="16:26" ht="10.199999999999999" customHeight="1">
      <c r="P567" s="165"/>
      <c r="Q567" s="165"/>
      <c r="R567" s="165"/>
      <c r="S567" s="165"/>
      <c r="T567" s="165"/>
      <c r="U567" s="165"/>
      <c r="V567" s="165"/>
      <c r="W567" s="165"/>
      <c r="X567" s="165"/>
      <c r="Y567" s="165"/>
      <c r="Z567" s="165"/>
    </row>
    <row r="568" spans="16:26" ht="10.199999999999999" customHeight="1">
      <c r="P568" s="165"/>
      <c r="Q568" s="165"/>
      <c r="R568" s="165"/>
      <c r="S568" s="165"/>
      <c r="T568" s="165"/>
      <c r="U568" s="165"/>
      <c r="V568" s="165"/>
      <c r="W568" s="165"/>
      <c r="X568" s="165"/>
      <c r="Y568" s="165"/>
      <c r="Z568" s="165"/>
    </row>
    <row r="569" spans="16:26" ht="10.199999999999999" customHeight="1">
      <c r="P569" s="165"/>
      <c r="Q569" s="165"/>
      <c r="R569" s="165"/>
      <c r="S569" s="165"/>
      <c r="T569" s="165"/>
      <c r="U569" s="165"/>
      <c r="V569" s="165"/>
      <c r="W569" s="165"/>
      <c r="X569" s="165"/>
      <c r="Y569" s="165"/>
      <c r="Z569" s="165"/>
    </row>
    <row r="570" spans="16:26" ht="10.199999999999999" customHeight="1">
      <c r="P570" s="165"/>
      <c r="Q570" s="165"/>
      <c r="R570" s="165"/>
      <c r="S570" s="165"/>
      <c r="T570" s="165"/>
      <c r="U570" s="165"/>
      <c r="V570" s="165"/>
      <c r="W570" s="165"/>
      <c r="X570" s="165"/>
      <c r="Y570" s="165"/>
      <c r="Z570" s="165"/>
    </row>
    <row r="571" spans="16:26" ht="10.199999999999999" customHeight="1">
      <c r="P571" s="165"/>
      <c r="Q571" s="165"/>
      <c r="R571" s="165"/>
      <c r="S571" s="165"/>
      <c r="T571" s="165"/>
      <c r="U571" s="165"/>
      <c r="V571" s="165"/>
      <c r="W571" s="165"/>
      <c r="X571" s="165"/>
      <c r="Y571" s="165"/>
      <c r="Z571" s="165"/>
    </row>
    <row r="572" spans="16:26" ht="10.199999999999999" customHeight="1">
      <c r="P572" s="165"/>
      <c r="Q572" s="165"/>
      <c r="R572" s="165"/>
      <c r="S572" s="165"/>
      <c r="T572" s="165"/>
      <c r="U572" s="165"/>
      <c r="V572" s="165"/>
      <c r="W572" s="165"/>
      <c r="X572" s="165"/>
      <c r="Y572" s="165"/>
      <c r="Z572" s="165"/>
    </row>
    <row r="573" spans="16:26" ht="10.199999999999999" customHeight="1">
      <c r="P573" s="165"/>
      <c r="Q573" s="165"/>
      <c r="R573" s="165"/>
      <c r="S573" s="165"/>
      <c r="T573" s="165"/>
      <c r="U573" s="165"/>
      <c r="V573" s="165"/>
      <c r="W573" s="165"/>
      <c r="X573" s="165"/>
      <c r="Y573" s="165"/>
      <c r="Z573" s="165"/>
    </row>
    <row r="574" spans="16:26" ht="10.199999999999999" customHeight="1">
      <c r="P574" s="165"/>
      <c r="Q574" s="165"/>
      <c r="R574" s="165"/>
      <c r="S574" s="165"/>
      <c r="T574" s="165"/>
      <c r="U574" s="165"/>
      <c r="V574" s="165"/>
      <c r="W574" s="165"/>
      <c r="X574" s="165"/>
      <c r="Y574" s="165"/>
      <c r="Z574" s="165"/>
    </row>
    <row r="575" spans="16:26" ht="10.199999999999999" customHeight="1">
      <c r="P575" s="165"/>
      <c r="Q575" s="165"/>
      <c r="R575" s="165"/>
      <c r="S575" s="165"/>
      <c r="T575" s="165"/>
      <c r="U575" s="165"/>
      <c r="V575" s="165"/>
      <c r="W575" s="165"/>
      <c r="X575" s="165"/>
      <c r="Y575" s="165"/>
      <c r="Z575" s="165"/>
    </row>
    <row r="576" spans="16:26" ht="10.199999999999999" customHeight="1">
      <c r="P576" s="165"/>
      <c r="Q576" s="165"/>
      <c r="R576" s="165"/>
      <c r="S576" s="165"/>
      <c r="T576" s="165"/>
      <c r="U576" s="165"/>
      <c r="V576" s="165"/>
      <c r="W576" s="165"/>
      <c r="X576" s="165"/>
      <c r="Y576" s="165"/>
      <c r="Z576" s="165"/>
    </row>
    <row r="577" spans="16:26" ht="10.199999999999999" customHeight="1">
      <c r="P577" s="165"/>
      <c r="Q577" s="165"/>
      <c r="R577" s="165"/>
      <c r="S577" s="165"/>
      <c r="T577" s="165"/>
      <c r="U577" s="165"/>
      <c r="V577" s="165"/>
      <c r="W577" s="165"/>
      <c r="X577" s="165"/>
      <c r="Y577" s="165"/>
      <c r="Z577" s="165"/>
    </row>
    <row r="578" spans="16:26" ht="10.199999999999999" customHeight="1">
      <c r="P578" s="165"/>
      <c r="Q578" s="165"/>
      <c r="R578" s="165"/>
      <c r="S578" s="165"/>
      <c r="T578" s="165"/>
      <c r="U578" s="165"/>
      <c r="V578" s="165"/>
      <c r="W578" s="165"/>
      <c r="X578" s="165"/>
      <c r="Y578" s="165"/>
      <c r="Z578" s="165"/>
    </row>
    <row r="579" spans="16:26" ht="10.199999999999999" customHeight="1">
      <c r="P579" s="165"/>
      <c r="Q579" s="165"/>
      <c r="R579" s="165"/>
      <c r="S579" s="165"/>
      <c r="T579" s="165"/>
      <c r="U579" s="165"/>
      <c r="V579" s="165"/>
      <c r="W579" s="165"/>
      <c r="X579" s="165"/>
      <c r="Y579" s="165"/>
      <c r="Z579" s="165"/>
    </row>
    <row r="580" spans="16:26" ht="10.199999999999999" customHeight="1">
      <c r="P580" s="165"/>
      <c r="Q580" s="165"/>
      <c r="R580" s="165"/>
      <c r="S580" s="165"/>
      <c r="T580" s="165"/>
      <c r="U580" s="165"/>
      <c r="V580" s="165"/>
      <c r="W580" s="165"/>
      <c r="X580" s="165"/>
      <c r="Y580" s="165"/>
      <c r="Z580" s="165"/>
    </row>
    <row r="581" spans="16:26" ht="10.199999999999999" customHeight="1">
      <c r="P581" s="165"/>
      <c r="Q581" s="165"/>
      <c r="R581" s="165"/>
      <c r="S581" s="165"/>
      <c r="T581" s="165"/>
      <c r="U581" s="165"/>
      <c r="V581" s="165"/>
      <c r="W581" s="165"/>
      <c r="X581" s="165"/>
      <c r="Y581" s="165"/>
      <c r="Z581" s="165"/>
    </row>
    <row r="582" spans="16:26" ht="10.199999999999999" customHeight="1">
      <c r="P582" s="165"/>
      <c r="Q582" s="165"/>
      <c r="R582" s="165"/>
      <c r="S582" s="165"/>
      <c r="T582" s="165"/>
      <c r="U582" s="165"/>
      <c r="V582" s="165"/>
      <c r="W582" s="165"/>
      <c r="X582" s="165"/>
      <c r="Y582" s="165"/>
      <c r="Z582" s="165"/>
    </row>
    <row r="583" spans="16:26" ht="10.199999999999999" customHeight="1">
      <c r="P583" s="165"/>
      <c r="Q583" s="165"/>
      <c r="R583" s="165"/>
      <c r="S583" s="165"/>
      <c r="T583" s="165"/>
      <c r="U583" s="165"/>
      <c r="V583" s="165"/>
      <c r="W583" s="165"/>
      <c r="X583" s="165"/>
      <c r="Y583" s="165"/>
      <c r="Z583" s="165"/>
    </row>
    <row r="584" spans="16:26" ht="10.199999999999999" customHeight="1">
      <c r="P584" s="165"/>
      <c r="Q584" s="165"/>
      <c r="R584" s="165"/>
      <c r="S584" s="165"/>
      <c r="T584" s="165"/>
      <c r="U584" s="165"/>
      <c r="V584" s="165"/>
      <c r="W584" s="165"/>
      <c r="X584" s="165"/>
      <c r="Y584" s="165"/>
      <c r="Z584" s="165"/>
    </row>
    <row r="585" spans="16:26" ht="10.199999999999999" customHeight="1">
      <c r="P585" s="165"/>
      <c r="Q585" s="165"/>
      <c r="R585" s="165"/>
      <c r="S585" s="165"/>
      <c r="T585" s="165"/>
      <c r="U585" s="165"/>
      <c r="V585" s="165"/>
      <c r="W585" s="165"/>
      <c r="X585" s="165"/>
      <c r="Y585" s="165"/>
      <c r="Z585" s="165"/>
    </row>
    <row r="586" spans="16:26" ht="10.199999999999999" customHeight="1">
      <c r="P586" s="165"/>
      <c r="Q586" s="165"/>
      <c r="R586" s="165"/>
      <c r="S586" s="165"/>
      <c r="T586" s="165"/>
      <c r="U586" s="165"/>
      <c r="V586" s="165"/>
      <c r="W586" s="165"/>
      <c r="X586" s="165"/>
      <c r="Y586" s="165"/>
      <c r="Z586" s="165"/>
    </row>
    <row r="587" spans="16:26" ht="10.199999999999999" customHeight="1">
      <c r="P587" s="165"/>
      <c r="Q587" s="165"/>
      <c r="R587" s="165"/>
      <c r="S587" s="165"/>
      <c r="T587" s="165"/>
      <c r="U587" s="165"/>
      <c r="V587" s="165"/>
      <c r="W587" s="165"/>
      <c r="X587" s="165"/>
      <c r="Y587" s="165"/>
      <c r="Z587" s="165"/>
    </row>
    <row r="588" spans="16:26" ht="10.199999999999999" customHeight="1">
      <c r="P588" s="165"/>
      <c r="Q588" s="165"/>
      <c r="R588" s="165"/>
      <c r="S588" s="165"/>
      <c r="T588" s="165"/>
      <c r="U588" s="165"/>
      <c r="V588" s="165"/>
      <c r="W588" s="165"/>
      <c r="X588" s="165"/>
      <c r="Y588" s="165"/>
      <c r="Z588" s="165"/>
    </row>
    <row r="589" spans="16:26" ht="10.199999999999999" customHeight="1">
      <c r="P589" s="165"/>
      <c r="Q589" s="165"/>
      <c r="R589" s="165"/>
      <c r="S589" s="165"/>
      <c r="T589" s="165"/>
      <c r="U589" s="165"/>
      <c r="V589" s="165"/>
      <c r="W589" s="165"/>
      <c r="X589" s="165"/>
      <c r="Y589" s="165"/>
      <c r="Z589" s="165"/>
    </row>
    <row r="590" spans="16:26" ht="10.199999999999999" customHeight="1">
      <c r="P590" s="165"/>
      <c r="Q590" s="165"/>
      <c r="R590" s="165"/>
      <c r="S590" s="165"/>
      <c r="T590" s="165"/>
      <c r="U590" s="165"/>
      <c r="V590" s="165"/>
      <c r="W590" s="165"/>
      <c r="X590" s="165"/>
      <c r="Y590" s="165"/>
      <c r="Z590" s="165"/>
    </row>
    <row r="591" spans="16:26" ht="10.199999999999999" customHeight="1">
      <c r="P591" s="165"/>
      <c r="Q591" s="165"/>
      <c r="R591" s="165"/>
      <c r="S591" s="165"/>
      <c r="T591" s="165"/>
      <c r="U591" s="165"/>
      <c r="V591" s="165"/>
      <c r="W591" s="165"/>
      <c r="X591" s="165"/>
      <c r="Y591" s="165"/>
      <c r="Z591" s="165"/>
    </row>
    <row r="592" spans="16:26" ht="10.199999999999999" customHeight="1">
      <c r="P592" s="165"/>
      <c r="Q592" s="165"/>
      <c r="R592" s="165"/>
      <c r="S592" s="165"/>
      <c r="T592" s="165"/>
      <c r="U592" s="165"/>
      <c r="V592" s="165"/>
      <c r="W592" s="165"/>
      <c r="X592" s="165"/>
      <c r="Y592" s="165"/>
      <c r="Z592" s="165"/>
    </row>
    <row r="593" spans="16:26" ht="10.199999999999999" customHeight="1">
      <c r="P593" s="165"/>
      <c r="Q593" s="165"/>
      <c r="R593" s="165"/>
      <c r="S593" s="165"/>
      <c r="T593" s="165"/>
      <c r="U593" s="165"/>
      <c r="V593" s="165"/>
      <c r="W593" s="165"/>
      <c r="X593" s="165"/>
      <c r="Y593" s="165"/>
      <c r="Z593" s="165"/>
    </row>
    <row r="594" spans="16:26" ht="10.199999999999999" customHeight="1">
      <c r="P594" s="165"/>
      <c r="Q594" s="165"/>
      <c r="R594" s="165"/>
      <c r="S594" s="165"/>
      <c r="T594" s="165"/>
      <c r="U594" s="165"/>
      <c r="V594" s="165"/>
      <c r="W594" s="165"/>
      <c r="X594" s="165"/>
      <c r="Y594" s="165"/>
      <c r="Z594" s="165"/>
    </row>
    <row r="595" spans="16:26" ht="10.199999999999999" customHeight="1">
      <c r="P595" s="165"/>
      <c r="Q595" s="165"/>
      <c r="R595" s="165"/>
      <c r="S595" s="165"/>
      <c r="T595" s="165"/>
      <c r="U595" s="165"/>
      <c r="V595" s="165"/>
      <c r="W595" s="165"/>
      <c r="X595" s="165"/>
      <c r="Y595" s="165"/>
      <c r="Z595" s="165"/>
    </row>
    <row r="596" spans="16:26" ht="10.199999999999999" customHeight="1">
      <c r="P596" s="165"/>
      <c r="Q596" s="165"/>
      <c r="R596" s="165"/>
      <c r="S596" s="165"/>
      <c r="T596" s="165"/>
      <c r="U596" s="165"/>
      <c r="V596" s="165"/>
      <c r="W596" s="165"/>
      <c r="X596" s="165"/>
      <c r="Y596" s="165"/>
      <c r="Z596" s="165"/>
    </row>
    <row r="597" spans="16:26" ht="10.199999999999999" customHeight="1">
      <c r="P597" s="165"/>
      <c r="Q597" s="165"/>
      <c r="R597" s="165"/>
      <c r="S597" s="165"/>
      <c r="T597" s="165"/>
      <c r="U597" s="165"/>
      <c r="V597" s="165"/>
      <c r="W597" s="165"/>
      <c r="X597" s="165"/>
      <c r="Y597" s="165"/>
      <c r="Z597" s="165"/>
    </row>
    <row r="598" spans="16:26" ht="10.199999999999999" customHeight="1">
      <c r="P598" s="165"/>
      <c r="Q598" s="165"/>
      <c r="R598" s="165"/>
      <c r="S598" s="165"/>
      <c r="T598" s="165"/>
      <c r="U598" s="165"/>
      <c r="V598" s="165"/>
      <c r="W598" s="165"/>
      <c r="X598" s="165"/>
      <c r="Y598" s="165"/>
      <c r="Z598" s="165"/>
    </row>
    <row r="599" spans="16:26" ht="10.199999999999999" customHeight="1">
      <c r="P599" s="165"/>
      <c r="Q599" s="165"/>
      <c r="R599" s="165"/>
      <c r="S599" s="165"/>
      <c r="T599" s="165"/>
      <c r="U599" s="165"/>
      <c r="V599" s="165"/>
      <c r="W599" s="165"/>
      <c r="X599" s="165"/>
      <c r="Y599" s="165"/>
      <c r="Z599" s="165"/>
    </row>
    <row r="600" spans="16:26" ht="10.199999999999999" customHeight="1">
      <c r="P600" s="165"/>
      <c r="Q600" s="165"/>
      <c r="R600" s="165"/>
      <c r="S600" s="165"/>
      <c r="T600" s="165"/>
      <c r="U600" s="165"/>
      <c r="V600" s="165"/>
      <c r="W600" s="165"/>
      <c r="X600" s="165"/>
      <c r="Y600" s="165"/>
      <c r="Z600" s="165"/>
    </row>
    <row r="601" spans="16:26" ht="10.199999999999999" customHeight="1">
      <c r="P601" s="165"/>
      <c r="Q601" s="165"/>
      <c r="R601" s="165"/>
      <c r="S601" s="165"/>
      <c r="T601" s="165"/>
      <c r="U601" s="165"/>
      <c r="V601" s="165"/>
      <c r="W601" s="165"/>
      <c r="X601" s="165"/>
      <c r="Y601" s="165"/>
      <c r="Z601" s="165"/>
    </row>
    <row r="602" spans="16:26" ht="10.199999999999999" customHeight="1">
      <c r="P602" s="165"/>
      <c r="Q602" s="165"/>
      <c r="R602" s="165"/>
      <c r="S602" s="165"/>
      <c r="T602" s="165"/>
      <c r="U602" s="165"/>
      <c r="V602" s="165"/>
      <c r="W602" s="165"/>
      <c r="X602" s="165"/>
      <c r="Y602" s="165"/>
      <c r="Z602" s="165"/>
    </row>
    <row r="603" spans="16:26" ht="10.199999999999999" customHeight="1">
      <c r="P603" s="165"/>
      <c r="Q603" s="165"/>
      <c r="R603" s="165"/>
      <c r="S603" s="165"/>
      <c r="T603" s="165"/>
      <c r="U603" s="165"/>
      <c r="V603" s="165"/>
      <c r="W603" s="165"/>
      <c r="X603" s="165"/>
      <c r="Y603" s="165"/>
      <c r="Z603" s="165"/>
    </row>
    <row r="604" spans="16:26" ht="10.199999999999999" customHeight="1">
      <c r="P604" s="165"/>
      <c r="Q604" s="165"/>
      <c r="R604" s="165"/>
      <c r="S604" s="165"/>
      <c r="T604" s="165"/>
      <c r="U604" s="165"/>
      <c r="V604" s="165"/>
      <c r="W604" s="165"/>
      <c r="X604" s="165"/>
      <c r="Y604" s="165"/>
      <c r="Z604" s="165"/>
    </row>
    <row r="605" spans="16:26" ht="10.199999999999999" customHeight="1">
      <c r="P605" s="165"/>
      <c r="Q605" s="165"/>
      <c r="R605" s="165"/>
      <c r="S605" s="165"/>
      <c r="T605" s="165"/>
      <c r="U605" s="165"/>
      <c r="V605" s="165"/>
      <c r="W605" s="165"/>
      <c r="X605" s="165"/>
      <c r="Y605" s="165"/>
      <c r="Z605" s="165"/>
    </row>
    <row r="606" spans="16:26" ht="10.199999999999999" customHeight="1">
      <c r="P606" s="165"/>
      <c r="Q606" s="165"/>
      <c r="R606" s="165"/>
      <c r="S606" s="165"/>
      <c r="T606" s="165"/>
      <c r="U606" s="165"/>
      <c r="V606" s="165"/>
      <c r="W606" s="165"/>
      <c r="X606" s="165"/>
      <c r="Y606" s="165"/>
      <c r="Z606" s="165"/>
    </row>
    <row r="607" spans="16:26" ht="10.199999999999999" customHeight="1">
      <c r="P607" s="165"/>
      <c r="Q607" s="165"/>
      <c r="R607" s="165"/>
      <c r="S607" s="165"/>
      <c r="T607" s="165"/>
      <c r="U607" s="165"/>
      <c r="V607" s="165"/>
      <c r="W607" s="165"/>
      <c r="X607" s="165"/>
      <c r="Y607" s="165"/>
      <c r="Z607" s="165"/>
    </row>
    <row r="608" spans="16:26" ht="10.199999999999999" customHeight="1">
      <c r="P608" s="165"/>
      <c r="Q608" s="165"/>
      <c r="R608" s="165"/>
      <c r="S608" s="165"/>
      <c r="T608" s="165"/>
      <c r="U608" s="165"/>
      <c r="V608" s="165"/>
      <c r="W608" s="165"/>
      <c r="X608" s="165"/>
      <c r="Y608" s="165"/>
      <c r="Z608" s="165"/>
    </row>
    <row r="609" spans="16:26" ht="10.199999999999999" customHeight="1">
      <c r="P609" s="165"/>
      <c r="Q609" s="165"/>
      <c r="R609" s="165"/>
      <c r="S609" s="165"/>
      <c r="T609" s="165"/>
      <c r="U609" s="165"/>
      <c r="V609" s="165"/>
      <c r="W609" s="165"/>
      <c r="X609" s="165"/>
      <c r="Y609" s="165"/>
      <c r="Z609" s="165"/>
    </row>
    <row r="610" spans="16:26" ht="10.199999999999999" customHeight="1">
      <c r="P610" s="165"/>
      <c r="Q610" s="165"/>
      <c r="R610" s="165"/>
      <c r="S610" s="165"/>
      <c r="T610" s="165"/>
      <c r="U610" s="165"/>
      <c r="V610" s="165"/>
      <c r="W610" s="165"/>
      <c r="X610" s="165"/>
      <c r="Y610" s="165"/>
      <c r="Z610" s="165"/>
    </row>
    <row r="611" spans="16:26" ht="10.199999999999999" customHeight="1">
      <c r="P611" s="165"/>
      <c r="Q611" s="165"/>
      <c r="R611" s="165"/>
      <c r="S611" s="165"/>
      <c r="T611" s="165"/>
      <c r="U611" s="165"/>
      <c r="V611" s="165"/>
      <c r="W611" s="165"/>
      <c r="X611" s="165"/>
      <c r="Y611" s="165"/>
      <c r="Z611" s="165"/>
    </row>
    <row r="612" spans="16:26" ht="10.199999999999999" customHeight="1">
      <c r="P612" s="165"/>
      <c r="Q612" s="165"/>
      <c r="R612" s="165"/>
      <c r="S612" s="165"/>
      <c r="T612" s="165"/>
      <c r="U612" s="165"/>
      <c r="V612" s="165"/>
      <c r="W612" s="165"/>
      <c r="X612" s="165"/>
      <c r="Y612" s="165"/>
      <c r="Z612" s="165"/>
    </row>
    <row r="613" spans="16:26" ht="10.199999999999999" customHeight="1">
      <c r="P613" s="165"/>
      <c r="Q613" s="165"/>
      <c r="R613" s="165"/>
      <c r="S613" s="165"/>
      <c r="T613" s="165"/>
      <c r="U613" s="165"/>
      <c r="V613" s="165"/>
      <c r="W613" s="165"/>
      <c r="X613" s="165"/>
      <c r="Y613" s="165"/>
      <c r="Z613" s="165"/>
    </row>
    <row r="614" spans="16:26" ht="10.199999999999999" customHeight="1">
      <c r="P614" s="165"/>
      <c r="Q614" s="165"/>
      <c r="R614" s="165"/>
      <c r="S614" s="165"/>
      <c r="T614" s="165"/>
      <c r="U614" s="165"/>
      <c r="V614" s="165"/>
      <c r="W614" s="165"/>
      <c r="X614" s="165"/>
      <c r="Y614" s="165"/>
      <c r="Z614" s="165"/>
    </row>
    <row r="615" spans="16:26" ht="10.199999999999999" customHeight="1">
      <c r="P615" s="165"/>
      <c r="Q615" s="165"/>
      <c r="R615" s="165"/>
      <c r="S615" s="165"/>
      <c r="T615" s="165"/>
      <c r="U615" s="165"/>
      <c r="V615" s="165"/>
      <c r="W615" s="165"/>
      <c r="X615" s="165"/>
      <c r="Y615" s="165"/>
      <c r="Z615" s="165"/>
    </row>
    <row r="616" spans="16:26" ht="10.199999999999999" customHeight="1">
      <c r="P616" s="165"/>
      <c r="Q616" s="165"/>
      <c r="R616" s="165"/>
      <c r="S616" s="165"/>
      <c r="T616" s="165"/>
      <c r="U616" s="165"/>
      <c r="V616" s="165"/>
      <c r="W616" s="165"/>
      <c r="X616" s="165"/>
      <c r="Y616" s="165"/>
      <c r="Z616" s="165"/>
    </row>
    <row r="617" spans="16:26" ht="10.199999999999999" customHeight="1">
      <c r="P617" s="165"/>
      <c r="Q617" s="165"/>
      <c r="R617" s="165"/>
      <c r="S617" s="165"/>
      <c r="T617" s="165"/>
      <c r="U617" s="165"/>
      <c r="V617" s="165"/>
      <c r="W617" s="165"/>
      <c r="X617" s="165"/>
      <c r="Y617" s="165"/>
      <c r="Z617" s="165"/>
    </row>
    <row r="618" spans="16:26" ht="10.199999999999999" customHeight="1">
      <c r="P618" s="165"/>
      <c r="Q618" s="165"/>
      <c r="R618" s="165"/>
      <c r="S618" s="165"/>
      <c r="T618" s="165"/>
      <c r="U618" s="165"/>
      <c r="V618" s="165"/>
      <c r="W618" s="165"/>
      <c r="X618" s="165"/>
      <c r="Y618" s="165"/>
      <c r="Z618" s="165"/>
    </row>
    <row r="619" spans="16:26" ht="10.199999999999999" customHeight="1">
      <c r="P619" s="165"/>
      <c r="Q619" s="165"/>
      <c r="R619" s="165"/>
      <c r="S619" s="165"/>
      <c r="T619" s="165"/>
      <c r="U619" s="165"/>
      <c r="V619" s="165"/>
      <c r="W619" s="165"/>
      <c r="X619" s="165"/>
      <c r="Y619" s="165"/>
      <c r="Z619" s="165"/>
    </row>
    <row r="620" spans="16:26" ht="10.199999999999999" customHeight="1">
      <c r="P620" s="165"/>
      <c r="Q620" s="165"/>
      <c r="R620" s="165"/>
      <c r="S620" s="165"/>
      <c r="T620" s="165"/>
      <c r="U620" s="165"/>
      <c r="V620" s="165"/>
      <c r="W620" s="165"/>
      <c r="X620" s="165"/>
      <c r="Y620" s="165"/>
      <c r="Z620" s="165"/>
    </row>
    <row r="621" spans="16:26" ht="10.199999999999999" customHeight="1">
      <c r="P621" s="165"/>
      <c r="Q621" s="165"/>
      <c r="R621" s="165"/>
      <c r="S621" s="165"/>
      <c r="T621" s="165"/>
      <c r="U621" s="165"/>
      <c r="V621" s="165"/>
      <c r="W621" s="165"/>
      <c r="X621" s="165"/>
      <c r="Y621" s="165"/>
      <c r="Z621" s="165"/>
    </row>
    <row r="622" spans="16:26" ht="10.199999999999999" customHeight="1">
      <c r="P622" s="165"/>
      <c r="Q622" s="165"/>
      <c r="R622" s="165"/>
      <c r="S622" s="165"/>
      <c r="T622" s="165"/>
      <c r="U622" s="165"/>
      <c r="V622" s="165"/>
      <c r="W622" s="165"/>
      <c r="X622" s="165"/>
      <c r="Y622" s="165"/>
      <c r="Z622" s="165"/>
    </row>
    <row r="623" spans="16:26" ht="10.199999999999999" customHeight="1">
      <c r="P623" s="165"/>
      <c r="Q623" s="165"/>
      <c r="R623" s="165"/>
      <c r="S623" s="165"/>
      <c r="T623" s="165"/>
      <c r="U623" s="165"/>
      <c r="V623" s="165"/>
      <c r="W623" s="165"/>
      <c r="X623" s="165"/>
      <c r="Y623" s="165"/>
      <c r="Z623" s="165"/>
    </row>
    <row r="624" spans="16:26" ht="10.199999999999999" customHeight="1">
      <c r="P624" s="165"/>
      <c r="Q624" s="165"/>
      <c r="R624" s="165"/>
      <c r="S624" s="165"/>
      <c r="T624" s="165"/>
      <c r="U624" s="165"/>
      <c r="V624" s="165"/>
      <c r="W624" s="165"/>
      <c r="X624" s="165"/>
      <c r="Y624" s="165"/>
      <c r="Z624" s="165"/>
    </row>
    <row r="625" spans="16:26" ht="10.199999999999999" customHeight="1">
      <c r="P625" s="165"/>
      <c r="Q625" s="165"/>
      <c r="R625" s="165"/>
      <c r="S625" s="165"/>
      <c r="T625" s="165"/>
      <c r="U625" s="165"/>
      <c r="V625" s="165"/>
      <c r="W625" s="165"/>
      <c r="X625" s="165"/>
      <c r="Y625" s="165"/>
      <c r="Z625" s="165"/>
    </row>
    <row r="626" spans="16:26" ht="10.199999999999999" customHeight="1">
      <c r="P626" s="165"/>
      <c r="Q626" s="165"/>
      <c r="R626" s="165"/>
      <c r="S626" s="165"/>
      <c r="T626" s="165"/>
      <c r="U626" s="165"/>
      <c r="V626" s="165"/>
      <c r="W626" s="165"/>
      <c r="X626" s="165"/>
      <c r="Y626" s="165"/>
      <c r="Z626" s="165"/>
    </row>
    <row r="627" spans="16:26" ht="10.199999999999999" customHeight="1">
      <c r="P627" s="165"/>
      <c r="Q627" s="165"/>
      <c r="R627" s="165"/>
      <c r="S627" s="165"/>
      <c r="T627" s="165"/>
      <c r="U627" s="165"/>
      <c r="V627" s="165"/>
      <c r="W627" s="165"/>
      <c r="X627" s="165"/>
      <c r="Y627" s="165"/>
      <c r="Z627" s="165"/>
    </row>
    <row r="628" spans="16:26" ht="10.199999999999999" customHeight="1">
      <c r="P628" s="165"/>
      <c r="Q628" s="165"/>
      <c r="R628" s="165"/>
      <c r="S628" s="165"/>
      <c r="T628" s="165"/>
      <c r="U628" s="165"/>
      <c r="V628" s="165"/>
      <c r="W628" s="165"/>
      <c r="X628" s="165"/>
      <c r="Y628" s="165"/>
      <c r="Z628" s="165"/>
    </row>
    <row r="629" spans="16:26" ht="10.199999999999999" customHeight="1">
      <c r="P629" s="165"/>
      <c r="Q629" s="165"/>
      <c r="R629" s="165"/>
      <c r="S629" s="165"/>
      <c r="T629" s="165"/>
      <c r="U629" s="165"/>
      <c r="V629" s="165"/>
      <c r="W629" s="165"/>
      <c r="X629" s="165"/>
      <c r="Y629" s="165"/>
      <c r="Z629" s="165"/>
    </row>
    <row r="630" spans="16:26" ht="10.199999999999999" customHeight="1">
      <c r="P630" s="165"/>
      <c r="Q630" s="165"/>
      <c r="R630" s="165"/>
      <c r="S630" s="165"/>
      <c r="T630" s="165"/>
      <c r="U630" s="165"/>
      <c r="V630" s="165"/>
      <c r="W630" s="165"/>
      <c r="X630" s="165"/>
      <c r="Y630" s="165"/>
      <c r="Z630" s="165"/>
    </row>
    <row r="631" spans="16:26" ht="10.199999999999999" customHeight="1">
      <c r="P631" s="165"/>
      <c r="Q631" s="165"/>
      <c r="R631" s="165"/>
      <c r="S631" s="165"/>
      <c r="T631" s="165"/>
      <c r="U631" s="165"/>
      <c r="V631" s="165"/>
      <c r="W631" s="165"/>
      <c r="X631" s="165"/>
      <c r="Y631" s="165"/>
      <c r="Z631" s="165"/>
    </row>
    <row r="632" spans="16:26" ht="10.199999999999999" customHeight="1">
      <c r="P632" s="165"/>
      <c r="Q632" s="165"/>
      <c r="R632" s="165"/>
      <c r="S632" s="165"/>
      <c r="T632" s="165"/>
      <c r="U632" s="165"/>
      <c r="V632" s="165"/>
      <c r="W632" s="165"/>
      <c r="X632" s="165"/>
      <c r="Y632" s="165"/>
      <c r="Z632" s="165"/>
    </row>
    <row r="633" spans="16:26" ht="10.199999999999999" customHeight="1">
      <c r="P633" s="165"/>
      <c r="Q633" s="165"/>
      <c r="R633" s="165"/>
      <c r="S633" s="165"/>
      <c r="T633" s="165"/>
      <c r="U633" s="165"/>
      <c r="V633" s="165"/>
      <c r="W633" s="165"/>
      <c r="X633" s="165"/>
      <c r="Y633" s="165"/>
      <c r="Z633" s="165"/>
    </row>
    <row r="634" spans="16:26" ht="10.199999999999999" customHeight="1">
      <c r="P634" s="165"/>
      <c r="Q634" s="165"/>
      <c r="R634" s="165"/>
      <c r="S634" s="165"/>
      <c r="T634" s="165"/>
      <c r="U634" s="165"/>
      <c r="V634" s="165"/>
      <c r="W634" s="165"/>
      <c r="X634" s="165"/>
      <c r="Y634" s="165"/>
      <c r="Z634" s="165"/>
    </row>
    <row r="635" spans="16:26" ht="10.199999999999999" customHeight="1">
      <c r="P635" s="165"/>
      <c r="Q635" s="165"/>
      <c r="R635" s="165"/>
      <c r="S635" s="165"/>
      <c r="T635" s="165"/>
      <c r="U635" s="165"/>
      <c r="V635" s="165"/>
      <c r="W635" s="165"/>
      <c r="X635" s="165"/>
      <c r="Y635" s="165"/>
      <c r="Z635" s="165"/>
    </row>
    <row r="636" spans="16:26" ht="10.199999999999999" customHeight="1">
      <c r="P636" s="165"/>
      <c r="Q636" s="165"/>
      <c r="R636" s="165"/>
      <c r="S636" s="165"/>
      <c r="T636" s="165"/>
      <c r="U636" s="165"/>
      <c r="V636" s="165"/>
      <c r="W636" s="165"/>
      <c r="X636" s="165"/>
      <c r="Y636" s="165"/>
      <c r="Z636" s="165"/>
    </row>
    <row r="637" spans="16:26" ht="10.199999999999999" customHeight="1">
      <c r="P637" s="165"/>
      <c r="Q637" s="165"/>
      <c r="R637" s="165"/>
      <c r="S637" s="165"/>
      <c r="T637" s="165"/>
      <c r="U637" s="165"/>
      <c r="V637" s="165"/>
      <c r="W637" s="165"/>
      <c r="X637" s="165"/>
      <c r="Y637" s="165"/>
      <c r="Z637" s="165"/>
    </row>
    <row r="638" spans="16:26" ht="10.199999999999999" customHeight="1">
      <c r="P638" s="165"/>
      <c r="Q638" s="165"/>
      <c r="R638" s="165"/>
      <c r="S638" s="165"/>
      <c r="T638" s="165"/>
      <c r="U638" s="165"/>
      <c r="V638" s="165"/>
      <c r="W638" s="165"/>
      <c r="X638" s="165"/>
      <c r="Y638" s="165"/>
      <c r="Z638" s="165"/>
    </row>
    <row r="639" spans="16:26" ht="10.199999999999999" customHeight="1">
      <c r="P639" s="165"/>
      <c r="Q639" s="165"/>
      <c r="R639" s="165"/>
      <c r="S639" s="165"/>
      <c r="T639" s="165"/>
      <c r="U639" s="165"/>
      <c r="V639" s="165"/>
      <c r="W639" s="165"/>
      <c r="X639" s="165"/>
      <c r="Y639" s="165"/>
      <c r="Z639" s="165"/>
    </row>
    <row r="640" spans="16:26" ht="10.199999999999999" customHeight="1">
      <c r="P640" s="165"/>
      <c r="Q640" s="165"/>
      <c r="R640" s="165"/>
      <c r="S640" s="165"/>
      <c r="T640" s="165"/>
      <c r="U640" s="165"/>
      <c r="V640" s="165"/>
      <c r="W640" s="165"/>
      <c r="X640" s="165"/>
      <c r="Y640" s="165"/>
      <c r="Z640" s="165"/>
    </row>
    <row r="641" spans="16:26" ht="10.199999999999999" customHeight="1">
      <c r="P641" s="165"/>
      <c r="Q641" s="165"/>
      <c r="R641" s="165"/>
      <c r="S641" s="165"/>
      <c r="T641" s="165"/>
      <c r="U641" s="165"/>
      <c r="V641" s="165"/>
      <c r="W641" s="165"/>
      <c r="X641" s="165"/>
      <c r="Y641" s="165"/>
      <c r="Z641" s="165"/>
    </row>
    <row r="642" spans="16:26" ht="10.199999999999999" customHeight="1">
      <c r="P642" s="165"/>
      <c r="Q642" s="165"/>
      <c r="R642" s="165"/>
      <c r="S642" s="165"/>
      <c r="T642" s="165"/>
      <c r="U642" s="165"/>
      <c r="V642" s="165"/>
      <c r="W642" s="165"/>
      <c r="X642" s="165"/>
      <c r="Y642" s="165"/>
      <c r="Z642" s="165"/>
    </row>
    <row r="643" spans="16:26" ht="10.199999999999999" customHeight="1">
      <c r="P643" s="165"/>
      <c r="Q643" s="165"/>
      <c r="R643" s="165"/>
      <c r="S643" s="165"/>
      <c r="T643" s="165"/>
      <c r="U643" s="165"/>
      <c r="V643" s="165"/>
      <c r="W643" s="165"/>
      <c r="X643" s="165"/>
      <c r="Y643" s="165"/>
      <c r="Z643" s="165"/>
    </row>
    <row r="644" spans="16:26" ht="10.199999999999999" customHeight="1">
      <c r="P644" s="165"/>
      <c r="Q644" s="165"/>
      <c r="R644" s="165"/>
      <c r="S644" s="165"/>
      <c r="T644" s="165"/>
      <c r="U644" s="165"/>
      <c r="V644" s="165"/>
      <c r="W644" s="165"/>
      <c r="X644" s="165"/>
      <c r="Y644" s="165"/>
      <c r="Z644" s="165"/>
    </row>
    <row r="645" spans="16:26" ht="10.199999999999999" customHeight="1">
      <c r="P645" s="165"/>
      <c r="Q645" s="165"/>
      <c r="R645" s="165"/>
      <c r="S645" s="165"/>
      <c r="T645" s="165"/>
      <c r="U645" s="165"/>
      <c r="V645" s="165"/>
      <c r="W645" s="165"/>
      <c r="X645" s="165"/>
      <c r="Y645" s="165"/>
      <c r="Z645" s="165"/>
    </row>
    <row r="646" spans="16:26" ht="10.199999999999999" customHeight="1">
      <c r="P646" s="165"/>
      <c r="Q646" s="165"/>
      <c r="R646" s="165"/>
      <c r="S646" s="165"/>
      <c r="T646" s="165"/>
      <c r="U646" s="165"/>
      <c r="V646" s="165"/>
      <c r="W646" s="165"/>
      <c r="X646" s="165"/>
      <c r="Y646" s="165"/>
      <c r="Z646" s="165"/>
    </row>
    <row r="647" spans="16:26" ht="10.199999999999999" customHeight="1">
      <c r="P647" s="165"/>
      <c r="Q647" s="165"/>
      <c r="R647" s="165"/>
      <c r="S647" s="165"/>
      <c r="T647" s="165"/>
      <c r="U647" s="165"/>
      <c r="V647" s="165"/>
      <c r="W647" s="165"/>
      <c r="X647" s="165"/>
      <c r="Y647" s="165"/>
      <c r="Z647" s="165"/>
    </row>
    <row r="648" spans="16:26" ht="10.199999999999999" customHeight="1">
      <c r="P648" s="165"/>
      <c r="Q648" s="165"/>
      <c r="R648" s="165"/>
      <c r="S648" s="165"/>
      <c r="T648" s="165"/>
      <c r="U648" s="165"/>
      <c r="V648" s="165"/>
      <c r="W648" s="165"/>
      <c r="X648" s="165"/>
      <c r="Y648" s="165"/>
      <c r="Z648" s="165"/>
    </row>
    <row r="649" spans="16:26" ht="10.199999999999999" customHeight="1">
      <c r="P649" s="165"/>
      <c r="Q649" s="165"/>
      <c r="R649" s="165"/>
      <c r="S649" s="165"/>
      <c r="T649" s="165"/>
      <c r="U649" s="165"/>
      <c r="V649" s="165"/>
      <c r="W649" s="165"/>
      <c r="X649" s="165"/>
      <c r="Y649" s="165"/>
      <c r="Z649" s="165"/>
    </row>
    <row r="650" spans="16:26" ht="10.199999999999999" customHeight="1">
      <c r="P650" s="165"/>
      <c r="Q650" s="165"/>
      <c r="R650" s="165"/>
      <c r="S650" s="165"/>
      <c r="T650" s="165"/>
      <c r="U650" s="165"/>
      <c r="V650" s="165"/>
      <c r="W650" s="165"/>
      <c r="X650" s="165"/>
      <c r="Y650" s="165"/>
      <c r="Z650" s="165"/>
    </row>
    <row r="651" spans="16:26" ht="10.199999999999999" customHeight="1">
      <c r="P651" s="165"/>
      <c r="Q651" s="165"/>
      <c r="R651" s="165"/>
      <c r="S651" s="165"/>
      <c r="T651" s="165"/>
      <c r="U651" s="165"/>
      <c r="V651" s="165"/>
      <c r="W651" s="165"/>
      <c r="X651" s="165"/>
      <c r="Y651" s="165"/>
      <c r="Z651" s="165"/>
    </row>
    <row r="652" spans="16:26" ht="10.199999999999999" customHeight="1">
      <c r="P652" s="165"/>
      <c r="Q652" s="165"/>
      <c r="R652" s="165"/>
      <c r="S652" s="165"/>
      <c r="T652" s="165"/>
      <c r="U652" s="165"/>
      <c r="V652" s="165"/>
      <c r="W652" s="165"/>
      <c r="X652" s="165"/>
      <c r="Y652" s="165"/>
      <c r="Z652" s="165"/>
    </row>
    <row r="653" spans="16:26" ht="10.199999999999999" customHeight="1">
      <c r="P653" s="165"/>
      <c r="Q653" s="165"/>
      <c r="R653" s="165"/>
      <c r="S653" s="165"/>
      <c r="T653" s="165"/>
      <c r="U653" s="165"/>
      <c r="V653" s="165"/>
      <c r="W653" s="165"/>
      <c r="X653" s="165"/>
      <c r="Y653" s="165"/>
      <c r="Z653" s="165"/>
    </row>
    <row r="654" spans="16:26" ht="10.199999999999999" customHeight="1">
      <c r="P654" s="165"/>
      <c r="Q654" s="165"/>
      <c r="R654" s="165"/>
      <c r="S654" s="165"/>
      <c r="T654" s="165"/>
      <c r="U654" s="165"/>
      <c r="V654" s="165"/>
      <c r="W654" s="165"/>
      <c r="X654" s="165"/>
      <c r="Y654" s="165"/>
      <c r="Z654" s="165"/>
    </row>
    <row r="655" spans="16:26" ht="10.199999999999999" customHeight="1">
      <c r="P655" s="165"/>
      <c r="Q655" s="165"/>
      <c r="R655" s="165"/>
      <c r="S655" s="165"/>
      <c r="T655" s="165"/>
      <c r="U655" s="165"/>
      <c r="V655" s="165"/>
      <c r="W655" s="165"/>
      <c r="X655" s="165"/>
      <c r="Y655" s="165"/>
      <c r="Z655" s="165"/>
    </row>
    <row r="656" spans="16:26" ht="10.199999999999999" customHeight="1">
      <c r="P656" s="165"/>
      <c r="Q656" s="165"/>
      <c r="R656" s="165"/>
      <c r="S656" s="165"/>
      <c r="T656" s="165"/>
      <c r="U656" s="165"/>
      <c r="V656" s="165"/>
      <c r="W656" s="165"/>
      <c r="X656" s="165"/>
      <c r="Y656" s="165"/>
      <c r="Z656" s="165"/>
    </row>
    <row r="657" spans="16:26" ht="10.199999999999999" customHeight="1">
      <c r="P657" s="165"/>
      <c r="Q657" s="165"/>
      <c r="R657" s="165"/>
      <c r="S657" s="165"/>
      <c r="T657" s="165"/>
      <c r="U657" s="165"/>
      <c r="V657" s="165"/>
      <c r="W657" s="165"/>
      <c r="X657" s="165"/>
      <c r="Y657" s="165"/>
      <c r="Z657" s="165"/>
    </row>
    <row r="658" spans="16:26" ht="10.199999999999999" customHeight="1">
      <c r="P658" s="165"/>
      <c r="Q658" s="165"/>
      <c r="R658" s="165"/>
      <c r="S658" s="165"/>
      <c r="T658" s="165"/>
      <c r="U658" s="165"/>
      <c r="V658" s="165"/>
      <c r="W658" s="165"/>
      <c r="X658" s="165"/>
      <c r="Y658" s="165"/>
      <c r="Z658" s="165"/>
    </row>
    <row r="659" spans="16:26" ht="10.199999999999999" customHeight="1">
      <c r="P659" s="165"/>
      <c r="Q659" s="165"/>
      <c r="R659" s="165"/>
      <c r="S659" s="165"/>
      <c r="T659" s="165"/>
      <c r="U659" s="165"/>
      <c r="V659" s="165"/>
      <c r="W659" s="165"/>
      <c r="X659" s="165"/>
      <c r="Y659" s="165"/>
      <c r="Z659" s="165"/>
    </row>
    <row r="660" spans="16:26" ht="10.199999999999999" customHeight="1">
      <c r="P660" s="165"/>
      <c r="Q660" s="165"/>
      <c r="R660" s="165"/>
      <c r="S660" s="165"/>
      <c r="T660" s="165"/>
      <c r="U660" s="165"/>
      <c r="V660" s="165"/>
      <c r="W660" s="165"/>
      <c r="X660" s="165"/>
      <c r="Y660" s="165"/>
      <c r="Z660" s="165"/>
    </row>
    <row r="661" spans="16:26" ht="10.199999999999999" customHeight="1">
      <c r="P661" s="165"/>
      <c r="Q661" s="165"/>
      <c r="R661" s="165"/>
      <c r="S661" s="165"/>
      <c r="T661" s="165"/>
      <c r="U661" s="165"/>
      <c r="V661" s="165"/>
      <c r="W661" s="165"/>
      <c r="X661" s="165"/>
      <c r="Y661" s="165"/>
      <c r="Z661" s="165"/>
    </row>
    <row r="662" spans="16:26" ht="10.199999999999999" customHeight="1">
      <c r="P662" s="165"/>
      <c r="Q662" s="165"/>
      <c r="R662" s="165"/>
      <c r="S662" s="165"/>
      <c r="T662" s="165"/>
      <c r="U662" s="165"/>
      <c r="V662" s="165"/>
      <c r="W662" s="165"/>
      <c r="X662" s="165"/>
      <c r="Y662" s="165"/>
      <c r="Z662" s="165"/>
    </row>
    <row r="663" spans="16:26" ht="10.199999999999999" customHeight="1">
      <c r="P663" s="165"/>
      <c r="Q663" s="165"/>
      <c r="R663" s="165"/>
      <c r="S663" s="165"/>
      <c r="T663" s="165"/>
      <c r="U663" s="165"/>
      <c r="V663" s="165"/>
      <c r="W663" s="165"/>
      <c r="X663" s="165"/>
      <c r="Y663" s="165"/>
      <c r="Z663" s="165"/>
    </row>
    <row r="664" spans="16:26" ht="10.199999999999999" customHeight="1">
      <c r="P664" s="165"/>
      <c r="Q664" s="165"/>
      <c r="R664" s="165"/>
      <c r="S664" s="165"/>
      <c r="T664" s="165"/>
      <c r="U664" s="165"/>
      <c r="V664" s="165"/>
      <c r="W664" s="165"/>
      <c r="X664" s="165"/>
      <c r="Y664" s="165"/>
      <c r="Z664" s="165"/>
    </row>
    <row r="665" spans="16:26" ht="10.199999999999999" customHeight="1">
      <c r="P665" s="165"/>
      <c r="Q665" s="165"/>
      <c r="R665" s="165"/>
      <c r="S665" s="165"/>
      <c r="T665" s="165"/>
      <c r="U665" s="165"/>
      <c r="V665" s="165"/>
      <c r="W665" s="165"/>
      <c r="X665" s="165"/>
      <c r="Y665" s="165"/>
      <c r="Z665" s="165"/>
    </row>
    <row r="666" spans="16:26" ht="10.199999999999999" customHeight="1">
      <c r="P666" s="165"/>
      <c r="Q666" s="165"/>
      <c r="R666" s="165"/>
      <c r="S666" s="165"/>
      <c r="T666" s="165"/>
      <c r="U666" s="165"/>
      <c r="V666" s="165"/>
      <c r="W666" s="165"/>
      <c r="X666" s="165"/>
      <c r="Y666" s="165"/>
      <c r="Z666" s="165"/>
    </row>
    <row r="667" spans="16:26" ht="10.199999999999999" customHeight="1">
      <c r="P667" s="165"/>
      <c r="Q667" s="165"/>
      <c r="R667" s="165"/>
      <c r="S667" s="165"/>
      <c r="T667" s="165"/>
      <c r="U667" s="165"/>
      <c r="V667" s="165"/>
      <c r="W667" s="165"/>
      <c r="X667" s="165"/>
      <c r="Y667" s="165"/>
      <c r="Z667" s="165"/>
    </row>
    <row r="668" spans="16:26" ht="10.199999999999999" customHeight="1">
      <c r="P668" s="165"/>
      <c r="Q668" s="165"/>
      <c r="R668" s="165"/>
      <c r="S668" s="165"/>
      <c r="T668" s="165"/>
      <c r="U668" s="165"/>
      <c r="V668" s="165"/>
      <c r="W668" s="165"/>
      <c r="X668" s="165"/>
      <c r="Y668" s="165"/>
      <c r="Z668" s="165"/>
    </row>
    <row r="669" spans="16:26" ht="10.199999999999999" customHeight="1">
      <c r="P669" s="165"/>
      <c r="Q669" s="165"/>
      <c r="R669" s="165"/>
      <c r="S669" s="165"/>
      <c r="T669" s="165"/>
      <c r="U669" s="165"/>
      <c r="V669" s="165"/>
      <c r="W669" s="165"/>
      <c r="X669" s="165"/>
      <c r="Y669" s="165"/>
      <c r="Z669" s="165"/>
    </row>
    <row r="670" spans="16:26" ht="10.199999999999999" customHeight="1">
      <c r="P670" s="165"/>
      <c r="Q670" s="165"/>
      <c r="R670" s="165"/>
      <c r="S670" s="165"/>
      <c r="T670" s="165"/>
      <c r="U670" s="165"/>
      <c r="V670" s="165"/>
      <c r="W670" s="165"/>
      <c r="X670" s="165"/>
      <c r="Y670" s="165"/>
      <c r="Z670" s="165"/>
    </row>
    <row r="671" spans="16:26" ht="10.199999999999999" customHeight="1">
      <c r="P671" s="165"/>
      <c r="Q671" s="165"/>
      <c r="R671" s="165"/>
      <c r="S671" s="165"/>
      <c r="T671" s="165"/>
      <c r="U671" s="165"/>
      <c r="V671" s="165"/>
      <c r="W671" s="165"/>
      <c r="X671" s="165"/>
      <c r="Y671" s="165"/>
      <c r="Z671" s="165"/>
    </row>
    <row r="672" spans="16:26" ht="10.199999999999999" customHeight="1">
      <c r="P672" s="165"/>
      <c r="Q672" s="165"/>
      <c r="R672" s="165"/>
      <c r="S672" s="165"/>
      <c r="T672" s="165"/>
      <c r="U672" s="165"/>
      <c r="V672" s="165"/>
      <c r="W672" s="165"/>
      <c r="X672" s="165"/>
      <c r="Y672" s="165"/>
      <c r="Z672" s="165"/>
    </row>
    <row r="673" spans="16:26" ht="10.199999999999999" customHeight="1">
      <c r="P673" s="165"/>
      <c r="Q673" s="165"/>
      <c r="R673" s="165"/>
      <c r="S673" s="165"/>
      <c r="T673" s="165"/>
      <c r="U673" s="165"/>
      <c r="V673" s="165"/>
      <c r="W673" s="165"/>
      <c r="X673" s="165"/>
      <c r="Y673" s="165"/>
      <c r="Z673" s="165"/>
    </row>
    <row r="674" spans="16:26" ht="10.199999999999999" customHeight="1">
      <c r="P674" s="165"/>
      <c r="Q674" s="165"/>
      <c r="R674" s="165"/>
      <c r="S674" s="165"/>
      <c r="T674" s="165"/>
      <c r="U674" s="165"/>
      <c r="V674" s="165"/>
      <c r="W674" s="165"/>
      <c r="X674" s="165"/>
      <c r="Y674" s="165"/>
      <c r="Z674" s="165"/>
    </row>
    <row r="675" spans="16:26" ht="10.199999999999999" customHeight="1">
      <c r="P675" s="165"/>
      <c r="Q675" s="165"/>
      <c r="R675" s="165"/>
      <c r="S675" s="165"/>
      <c r="T675" s="165"/>
      <c r="U675" s="165"/>
      <c r="V675" s="165"/>
      <c r="W675" s="165"/>
      <c r="X675" s="165"/>
      <c r="Y675" s="165"/>
      <c r="Z675" s="165"/>
    </row>
    <row r="676" spans="16:26" ht="10.199999999999999" customHeight="1">
      <c r="P676" s="165"/>
      <c r="Q676" s="165"/>
      <c r="R676" s="165"/>
      <c r="S676" s="165"/>
      <c r="T676" s="165"/>
      <c r="U676" s="165"/>
      <c r="V676" s="165"/>
      <c r="W676" s="165"/>
      <c r="X676" s="165"/>
      <c r="Y676" s="165"/>
      <c r="Z676" s="165"/>
    </row>
    <row r="677" spans="16:26" ht="10.199999999999999" customHeight="1">
      <c r="P677" s="165"/>
      <c r="Q677" s="165"/>
      <c r="R677" s="165"/>
      <c r="S677" s="165"/>
      <c r="T677" s="165"/>
      <c r="U677" s="165"/>
      <c r="V677" s="165"/>
      <c r="W677" s="165"/>
      <c r="X677" s="165"/>
      <c r="Y677" s="165"/>
      <c r="Z677" s="165"/>
    </row>
    <row r="678" spans="16:26" ht="10.199999999999999" customHeight="1">
      <c r="P678" s="165"/>
      <c r="Q678" s="165"/>
      <c r="R678" s="165"/>
      <c r="S678" s="165"/>
      <c r="T678" s="165"/>
      <c r="U678" s="165"/>
      <c r="V678" s="165"/>
      <c r="W678" s="165"/>
      <c r="X678" s="165"/>
      <c r="Y678" s="165"/>
      <c r="Z678" s="165"/>
    </row>
    <row r="679" spans="16:26" ht="10.199999999999999" customHeight="1">
      <c r="P679" s="165"/>
      <c r="Q679" s="165"/>
      <c r="R679" s="165"/>
      <c r="S679" s="165"/>
      <c r="T679" s="165"/>
      <c r="U679" s="165"/>
      <c r="V679" s="165"/>
      <c r="W679" s="165"/>
      <c r="X679" s="165"/>
      <c r="Y679" s="165"/>
      <c r="Z679" s="165"/>
    </row>
    <row r="680" spans="16:26" ht="10.199999999999999" customHeight="1">
      <c r="P680" s="165"/>
      <c r="Q680" s="165"/>
      <c r="R680" s="165"/>
      <c r="S680" s="165"/>
      <c r="T680" s="165"/>
      <c r="U680" s="165"/>
      <c r="V680" s="165"/>
      <c r="W680" s="165"/>
      <c r="X680" s="165"/>
      <c r="Y680" s="165"/>
      <c r="Z680" s="165"/>
    </row>
    <row r="681" spans="16:26" ht="10.199999999999999" customHeight="1">
      <c r="P681" s="165"/>
      <c r="Q681" s="165"/>
      <c r="R681" s="165"/>
      <c r="S681" s="165"/>
      <c r="T681" s="165"/>
      <c r="U681" s="165"/>
      <c r="V681" s="165"/>
      <c r="W681" s="165"/>
      <c r="X681" s="165"/>
      <c r="Y681" s="165"/>
      <c r="Z681" s="165"/>
    </row>
    <row r="682" spans="16:26" ht="10.199999999999999" customHeight="1">
      <c r="P682" s="165"/>
      <c r="Q682" s="165"/>
      <c r="R682" s="165"/>
      <c r="S682" s="165"/>
      <c r="T682" s="165"/>
      <c r="U682" s="165"/>
      <c r="V682" s="165"/>
      <c r="W682" s="165"/>
      <c r="X682" s="165"/>
      <c r="Y682" s="165"/>
      <c r="Z682" s="165"/>
    </row>
    <row r="683" spans="16:26" ht="10.199999999999999" customHeight="1">
      <c r="P683" s="165"/>
      <c r="Q683" s="165"/>
      <c r="R683" s="165"/>
      <c r="S683" s="165"/>
      <c r="T683" s="165"/>
      <c r="U683" s="165"/>
      <c r="V683" s="165"/>
      <c r="W683" s="165"/>
      <c r="X683" s="165"/>
      <c r="Y683" s="165"/>
      <c r="Z683" s="165"/>
    </row>
    <row r="684" spans="16:26" ht="10.199999999999999" customHeight="1">
      <c r="P684" s="165"/>
      <c r="Q684" s="165"/>
      <c r="R684" s="165"/>
      <c r="S684" s="165"/>
      <c r="T684" s="165"/>
      <c r="U684" s="165"/>
      <c r="V684" s="165"/>
      <c r="W684" s="165"/>
      <c r="X684" s="165"/>
      <c r="Y684" s="165"/>
      <c r="Z684" s="165"/>
    </row>
    <row r="685" spans="16:26" ht="10.199999999999999" customHeight="1">
      <c r="P685" s="165"/>
      <c r="Q685" s="165"/>
      <c r="R685" s="165"/>
      <c r="S685" s="165"/>
      <c r="T685" s="165"/>
      <c r="U685" s="165"/>
      <c r="V685" s="165"/>
      <c r="W685" s="165"/>
      <c r="X685" s="165"/>
      <c r="Y685" s="165"/>
      <c r="Z685" s="165"/>
    </row>
    <row r="686" spans="16:26" ht="10.199999999999999" customHeight="1">
      <c r="P686" s="165"/>
      <c r="Q686" s="165"/>
      <c r="R686" s="165"/>
      <c r="S686" s="165"/>
      <c r="T686" s="165"/>
      <c r="U686" s="165"/>
      <c r="V686" s="165"/>
      <c r="W686" s="165"/>
      <c r="X686" s="165"/>
      <c r="Y686" s="165"/>
      <c r="Z686" s="165"/>
    </row>
    <row r="687" spans="16:26" ht="10.199999999999999" customHeight="1">
      <c r="P687" s="165"/>
      <c r="Q687" s="165"/>
      <c r="R687" s="165"/>
      <c r="S687" s="165"/>
      <c r="T687" s="165"/>
      <c r="U687" s="165"/>
      <c r="V687" s="165"/>
      <c r="W687" s="165"/>
      <c r="X687" s="165"/>
      <c r="Y687" s="165"/>
      <c r="Z687" s="165"/>
    </row>
    <row r="688" spans="16:26" ht="10.199999999999999" customHeight="1">
      <c r="P688" s="165"/>
      <c r="Q688" s="165"/>
      <c r="R688" s="165"/>
      <c r="S688" s="165"/>
      <c r="T688" s="165"/>
      <c r="U688" s="165"/>
      <c r="V688" s="165"/>
      <c r="W688" s="165"/>
      <c r="X688" s="165"/>
      <c r="Y688" s="165"/>
      <c r="Z688" s="165"/>
    </row>
    <row r="689" spans="16:26" ht="10.199999999999999" customHeight="1">
      <c r="P689" s="165"/>
      <c r="Q689" s="165"/>
      <c r="R689" s="165"/>
      <c r="S689" s="165"/>
      <c r="T689" s="165"/>
      <c r="U689" s="165"/>
      <c r="V689" s="165"/>
      <c r="W689" s="165"/>
      <c r="X689" s="165"/>
      <c r="Y689" s="165"/>
      <c r="Z689" s="165"/>
    </row>
    <row r="690" spans="16:26" ht="10.199999999999999" customHeight="1">
      <c r="P690" s="165"/>
      <c r="Q690" s="165"/>
      <c r="R690" s="165"/>
      <c r="S690" s="165"/>
      <c r="T690" s="165"/>
      <c r="U690" s="165"/>
      <c r="V690" s="165"/>
      <c r="W690" s="165"/>
      <c r="X690" s="165"/>
      <c r="Y690" s="165"/>
      <c r="Z690" s="165"/>
    </row>
    <row r="691" spans="16:26" ht="10.199999999999999" customHeight="1">
      <c r="P691" s="165"/>
      <c r="Q691" s="165"/>
      <c r="R691" s="165"/>
      <c r="S691" s="165"/>
      <c r="T691" s="165"/>
      <c r="U691" s="165"/>
      <c r="V691" s="165"/>
      <c r="W691" s="165"/>
      <c r="X691" s="165"/>
      <c r="Y691" s="165"/>
      <c r="Z691" s="165"/>
    </row>
    <row r="692" spans="16:26" ht="10.199999999999999" customHeight="1">
      <c r="P692" s="165"/>
      <c r="Q692" s="165"/>
      <c r="R692" s="165"/>
      <c r="S692" s="165"/>
      <c r="T692" s="165"/>
      <c r="U692" s="165"/>
      <c r="V692" s="165"/>
      <c r="W692" s="165"/>
      <c r="X692" s="165"/>
      <c r="Y692" s="165"/>
      <c r="Z692" s="165"/>
    </row>
    <row r="693" spans="16:26" ht="10.199999999999999" customHeight="1">
      <c r="P693" s="165"/>
      <c r="Q693" s="165"/>
      <c r="R693" s="165"/>
      <c r="S693" s="165"/>
      <c r="T693" s="165"/>
      <c r="U693" s="165"/>
      <c r="V693" s="165"/>
      <c r="W693" s="165"/>
      <c r="X693" s="165"/>
      <c r="Y693" s="165"/>
      <c r="Z693" s="165"/>
    </row>
    <row r="694" spans="16:26" ht="10.199999999999999" customHeight="1">
      <c r="P694" s="165"/>
      <c r="Q694" s="165"/>
      <c r="R694" s="165"/>
      <c r="S694" s="165"/>
      <c r="T694" s="165"/>
      <c r="U694" s="165"/>
      <c r="V694" s="165"/>
      <c r="W694" s="165"/>
      <c r="X694" s="165"/>
      <c r="Y694" s="165"/>
      <c r="Z694" s="165"/>
    </row>
    <row r="695" spans="16:26" ht="10.199999999999999" customHeight="1">
      <c r="P695" s="165"/>
      <c r="Q695" s="165"/>
      <c r="R695" s="165"/>
      <c r="S695" s="165"/>
      <c r="T695" s="165"/>
      <c r="U695" s="165"/>
      <c r="V695" s="165"/>
      <c r="W695" s="165"/>
      <c r="X695" s="165"/>
      <c r="Y695" s="165"/>
      <c r="Z695" s="165"/>
    </row>
    <row r="696" spans="16:26" ht="10.199999999999999" customHeight="1">
      <c r="P696" s="165"/>
      <c r="Q696" s="165"/>
      <c r="R696" s="165"/>
      <c r="S696" s="165"/>
      <c r="T696" s="165"/>
      <c r="U696" s="165"/>
      <c r="V696" s="165"/>
      <c r="W696" s="165"/>
      <c r="X696" s="165"/>
      <c r="Y696" s="165"/>
      <c r="Z696" s="165"/>
    </row>
    <row r="697" spans="16:26" ht="10.199999999999999" customHeight="1">
      <c r="P697" s="165"/>
      <c r="Q697" s="165"/>
      <c r="R697" s="165"/>
      <c r="S697" s="165"/>
      <c r="T697" s="165"/>
      <c r="U697" s="165"/>
      <c r="V697" s="165"/>
      <c r="W697" s="165"/>
      <c r="X697" s="165"/>
      <c r="Y697" s="165"/>
      <c r="Z697" s="165"/>
    </row>
    <row r="698" spans="16:26" ht="10.199999999999999" customHeight="1">
      <c r="P698" s="165"/>
      <c r="Q698" s="165"/>
      <c r="R698" s="165"/>
      <c r="S698" s="165"/>
      <c r="T698" s="165"/>
      <c r="U698" s="165"/>
      <c r="V698" s="165"/>
      <c r="W698" s="165"/>
      <c r="X698" s="165"/>
      <c r="Y698" s="165"/>
      <c r="Z698" s="165"/>
    </row>
    <row r="699" spans="16:26" ht="10.199999999999999" customHeight="1">
      <c r="P699" s="165"/>
      <c r="Q699" s="165"/>
      <c r="R699" s="165"/>
      <c r="S699" s="165"/>
      <c r="T699" s="165"/>
      <c r="U699" s="165"/>
      <c r="V699" s="165"/>
      <c r="W699" s="165"/>
      <c r="X699" s="165"/>
      <c r="Y699" s="165"/>
      <c r="Z699" s="165"/>
    </row>
    <row r="700" spans="16:26" ht="10.199999999999999" customHeight="1">
      <c r="P700" s="165"/>
      <c r="Q700" s="165"/>
      <c r="R700" s="165"/>
      <c r="S700" s="165"/>
      <c r="T700" s="165"/>
      <c r="U700" s="165"/>
      <c r="V700" s="165"/>
      <c r="W700" s="165"/>
      <c r="X700" s="165"/>
      <c r="Y700" s="165"/>
      <c r="Z700" s="165"/>
    </row>
    <row r="701" spans="16:26" ht="10.199999999999999" customHeight="1">
      <c r="P701" s="165"/>
      <c r="Q701" s="165"/>
      <c r="R701" s="165"/>
      <c r="S701" s="165"/>
      <c r="T701" s="165"/>
      <c r="U701" s="165"/>
      <c r="V701" s="165"/>
      <c r="W701" s="165"/>
      <c r="X701" s="165"/>
      <c r="Y701" s="165"/>
      <c r="Z701" s="165"/>
    </row>
    <row r="702" spans="16:26" ht="10.199999999999999" customHeight="1">
      <c r="P702" s="165"/>
      <c r="Q702" s="165"/>
      <c r="R702" s="165"/>
      <c r="S702" s="165"/>
      <c r="T702" s="165"/>
      <c r="U702" s="165"/>
      <c r="V702" s="165"/>
      <c r="W702" s="165"/>
      <c r="X702" s="165"/>
      <c r="Y702" s="165"/>
      <c r="Z702" s="165"/>
    </row>
    <row r="703" spans="16:26" ht="10.199999999999999" customHeight="1">
      <c r="P703" s="165"/>
      <c r="Q703" s="165"/>
      <c r="R703" s="165"/>
      <c r="S703" s="165"/>
      <c r="T703" s="165"/>
      <c r="U703" s="165"/>
      <c r="V703" s="165"/>
      <c r="W703" s="165"/>
      <c r="X703" s="165"/>
      <c r="Y703" s="165"/>
      <c r="Z703" s="165"/>
    </row>
    <row r="704" spans="16:26" ht="10.199999999999999" customHeight="1">
      <c r="P704" s="165"/>
      <c r="Q704" s="165"/>
      <c r="R704" s="165"/>
      <c r="S704" s="165"/>
      <c r="T704" s="165"/>
      <c r="U704" s="165"/>
      <c r="V704" s="165"/>
      <c r="W704" s="165"/>
      <c r="X704" s="165"/>
      <c r="Y704" s="165"/>
      <c r="Z704" s="165"/>
    </row>
    <row r="705" spans="16:26" ht="10.199999999999999" customHeight="1">
      <c r="P705" s="165"/>
      <c r="Q705" s="165"/>
      <c r="R705" s="165"/>
      <c r="S705" s="165"/>
      <c r="T705" s="165"/>
      <c r="U705" s="165"/>
      <c r="V705" s="165"/>
      <c r="W705" s="165"/>
      <c r="X705" s="165"/>
      <c r="Y705" s="165"/>
      <c r="Z705" s="165"/>
    </row>
    <row r="706" spans="16:26" ht="10.199999999999999" customHeight="1">
      <c r="P706" s="165"/>
      <c r="Q706" s="165"/>
      <c r="R706" s="165"/>
      <c r="S706" s="165"/>
      <c r="T706" s="165"/>
      <c r="U706" s="165"/>
      <c r="V706" s="165"/>
      <c r="W706" s="165"/>
      <c r="X706" s="165"/>
      <c r="Y706" s="165"/>
      <c r="Z706" s="165"/>
    </row>
    <row r="707" spans="16:26" ht="10.199999999999999" customHeight="1">
      <c r="P707" s="165"/>
      <c r="Q707" s="165"/>
      <c r="R707" s="165"/>
      <c r="S707" s="165"/>
      <c r="T707" s="165"/>
      <c r="U707" s="165"/>
      <c r="V707" s="165"/>
      <c r="W707" s="165"/>
      <c r="X707" s="165"/>
      <c r="Y707" s="165"/>
      <c r="Z707" s="165"/>
    </row>
    <row r="708" spans="16:26" ht="10.199999999999999" customHeight="1">
      <c r="P708" s="165"/>
      <c r="Q708" s="165"/>
      <c r="R708" s="165"/>
      <c r="S708" s="165"/>
      <c r="T708" s="165"/>
      <c r="U708" s="165"/>
      <c r="V708" s="165"/>
      <c r="W708" s="165"/>
      <c r="X708" s="165"/>
      <c r="Y708" s="165"/>
      <c r="Z708" s="165"/>
    </row>
    <row r="709" spans="16:26" ht="10.199999999999999" customHeight="1">
      <c r="P709" s="165"/>
      <c r="Q709" s="165"/>
      <c r="R709" s="165"/>
      <c r="S709" s="165"/>
      <c r="T709" s="165"/>
      <c r="U709" s="165"/>
      <c r="V709" s="165"/>
      <c r="W709" s="165"/>
      <c r="X709" s="165"/>
      <c r="Y709" s="165"/>
      <c r="Z709" s="165"/>
    </row>
    <row r="710" spans="16:26" ht="10.199999999999999" customHeight="1">
      <c r="P710" s="165"/>
      <c r="Q710" s="165"/>
      <c r="R710" s="165"/>
      <c r="S710" s="165"/>
      <c r="T710" s="165"/>
      <c r="U710" s="165"/>
      <c r="V710" s="165"/>
      <c r="W710" s="165"/>
      <c r="X710" s="165"/>
      <c r="Y710" s="165"/>
      <c r="Z710" s="165"/>
    </row>
    <row r="711" spans="16:26" ht="10.199999999999999" customHeight="1">
      <c r="P711" s="165"/>
      <c r="Q711" s="165"/>
      <c r="R711" s="165"/>
      <c r="S711" s="165"/>
      <c r="T711" s="165"/>
      <c r="U711" s="165"/>
      <c r="V711" s="165"/>
      <c r="W711" s="165"/>
      <c r="X711" s="165"/>
      <c r="Y711" s="165"/>
      <c r="Z711" s="165"/>
    </row>
    <row r="712" spans="16:26" ht="10.199999999999999" customHeight="1">
      <c r="P712" s="165"/>
      <c r="Q712" s="165"/>
      <c r="R712" s="165"/>
      <c r="S712" s="165"/>
      <c r="T712" s="165"/>
      <c r="U712" s="165"/>
      <c r="V712" s="165"/>
      <c r="W712" s="165"/>
      <c r="X712" s="165"/>
      <c r="Y712" s="165"/>
      <c r="Z712" s="165"/>
    </row>
    <row r="713" spans="16:26" ht="10.199999999999999" customHeight="1">
      <c r="P713" s="165"/>
      <c r="Q713" s="165"/>
      <c r="R713" s="165"/>
      <c r="S713" s="165"/>
      <c r="T713" s="165"/>
      <c r="U713" s="165"/>
      <c r="V713" s="165"/>
      <c r="W713" s="165"/>
      <c r="X713" s="165"/>
      <c r="Y713" s="165"/>
      <c r="Z713" s="165"/>
    </row>
    <row r="714" spans="16:26" ht="10.199999999999999" customHeight="1">
      <c r="P714" s="165"/>
      <c r="Q714" s="165"/>
      <c r="R714" s="165"/>
      <c r="S714" s="165"/>
      <c r="T714" s="165"/>
      <c r="U714" s="165"/>
      <c r="V714" s="165"/>
      <c r="W714" s="165"/>
      <c r="X714" s="165"/>
      <c r="Y714" s="165"/>
      <c r="Z714" s="165"/>
    </row>
    <row r="715" spans="16:26" ht="10.199999999999999" customHeight="1">
      <c r="P715" s="165"/>
      <c r="Q715" s="165"/>
      <c r="R715" s="165"/>
      <c r="S715" s="165"/>
      <c r="T715" s="165"/>
      <c r="U715" s="165"/>
      <c r="V715" s="165"/>
      <c r="W715" s="165"/>
      <c r="X715" s="165"/>
      <c r="Y715" s="165"/>
      <c r="Z715" s="165"/>
    </row>
    <row r="716" spans="16:26" ht="10.199999999999999" customHeight="1">
      <c r="P716" s="165"/>
      <c r="Q716" s="165"/>
      <c r="R716" s="165"/>
      <c r="S716" s="165"/>
      <c r="T716" s="165"/>
      <c r="U716" s="165"/>
      <c r="V716" s="165"/>
      <c r="W716" s="165"/>
      <c r="X716" s="165"/>
      <c r="Y716" s="165"/>
      <c r="Z716" s="165"/>
    </row>
    <row r="717" spans="16:26" ht="10.199999999999999" customHeight="1">
      <c r="P717" s="165"/>
      <c r="Q717" s="165"/>
      <c r="R717" s="165"/>
      <c r="S717" s="165"/>
      <c r="T717" s="165"/>
      <c r="U717" s="165"/>
      <c r="V717" s="165"/>
      <c r="W717" s="165"/>
      <c r="X717" s="165"/>
      <c r="Y717" s="165"/>
      <c r="Z717" s="165"/>
    </row>
    <row r="718" spans="16:26" ht="10.199999999999999" customHeight="1">
      <c r="P718" s="165"/>
      <c r="Q718" s="165"/>
      <c r="R718" s="165"/>
      <c r="S718" s="165"/>
      <c r="T718" s="165"/>
      <c r="U718" s="165"/>
      <c r="V718" s="165"/>
      <c r="W718" s="165"/>
      <c r="X718" s="165"/>
      <c r="Y718" s="165"/>
      <c r="Z718" s="165"/>
    </row>
    <row r="719" spans="16:26" ht="10.199999999999999" customHeight="1">
      <c r="P719" s="165"/>
      <c r="Q719" s="165"/>
      <c r="R719" s="165"/>
      <c r="S719" s="165"/>
      <c r="T719" s="165"/>
      <c r="U719" s="165"/>
      <c r="V719" s="165"/>
      <c r="W719" s="165"/>
      <c r="X719" s="165"/>
      <c r="Y719" s="165"/>
      <c r="Z719" s="165"/>
    </row>
    <row r="720" spans="16:26" ht="10.199999999999999" customHeight="1">
      <c r="P720" s="165"/>
      <c r="Q720" s="165"/>
      <c r="R720" s="165"/>
      <c r="S720" s="165"/>
      <c r="T720" s="165"/>
      <c r="U720" s="165"/>
      <c r="V720" s="165"/>
      <c r="W720" s="165"/>
      <c r="X720" s="165"/>
      <c r="Y720" s="165"/>
      <c r="Z720" s="165"/>
    </row>
    <row r="721" spans="16:26" ht="10.199999999999999" customHeight="1">
      <c r="P721" s="165"/>
      <c r="Q721" s="165"/>
      <c r="R721" s="165"/>
      <c r="S721" s="165"/>
      <c r="T721" s="165"/>
      <c r="U721" s="165"/>
      <c r="V721" s="165"/>
      <c r="W721" s="165"/>
      <c r="X721" s="165"/>
      <c r="Y721" s="165"/>
      <c r="Z721" s="165"/>
    </row>
    <row r="722" spans="16:26" ht="10.199999999999999" customHeight="1">
      <c r="P722" s="165"/>
      <c r="Q722" s="165"/>
      <c r="R722" s="165"/>
      <c r="S722" s="165"/>
      <c r="T722" s="165"/>
      <c r="U722" s="165"/>
      <c r="V722" s="165"/>
      <c r="W722" s="165"/>
      <c r="X722" s="165"/>
      <c r="Y722" s="165"/>
      <c r="Z722" s="165"/>
    </row>
    <row r="723" spans="16:26" ht="10.199999999999999" customHeight="1">
      <c r="P723" s="165"/>
      <c r="Q723" s="165"/>
      <c r="R723" s="165"/>
      <c r="S723" s="165"/>
      <c r="T723" s="165"/>
      <c r="U723" s="165"/>
      <c r="V723" s="165"/>
      <c r="W723" s="165"/>
      <c r="X723" s="165"/>
      <c r="Y723" s="165"/>
      <c r="Z723" s="165"/>
    </row>
    <row r="724" spans="16:26" ht="10.199999999999999" customHeight="1">
      <c r="P724" s="165"/>
      <c r="Q724" s="165"/>
      <c r="R724" s="165"/>
      <c r="S724" s="165"/>
      <c r="T724" s="165"/>
      <c r="U724" s="165"/>
      <c r="V724" s="165"/>
      <c r="W724" s="165"/>
      <c r="X724" s="165"/>
      <c r="Y724" s="165"/>
      <c r="Z724" s="165"/>
    </row>
    <row r="725" spans="16:26" ht="10.199999999999999" customHeight="1">
      <c r="P725" s="165"/>
      <c r="Q725" s="165"/>
      <c r="R725" s="165"/>
      <c r="S725" s="165"/>
      <c r="T725" s="165"/>
      <c r="U725" s="165"/>
      <c r="V725" s="165"/>
      <c r="W725" s="165"/>
      <c r="X725" s="165"/>
      <c r="Y725" s="165"/>
      <c r="Z725" s="165"/>
    </row>
    <row r="726" spans="16:26" ht="10.199999999999999" customHeight="1">
      <c r="P726" s="165"/>
      <c r="Q726" s="165"/>
      <c r="R726" s="165"/>
      <c r="S726" s="165"/>
      <c r="T726" s="165"/>
      <c r="U726" s="165"/>
      <c r="V726" s="165"/>
      <c r="W726" s="165"/>
      <c r="X726" s="165"/>
      <c r="Y726" s="165"/>
      <c r="Z726" s="165"/>
    </row>
    <row r="727" spans="16:26" ht="10.199999999999999" customHeight="1">
      <c r="P727" s="165"/>
      <c r="Q727" s="165"/>
      <c r="R727" s="165"/>
      <c r="S727" s="165"/>
      <c r="T727" s="165"/>
      <c r="U727" s="165"/>
      <c r="V727" s="165"/>
      <c r="W727" s="165"/>
      <c r="X727" s="165"/>
      <c r="Y727" s="165"/>
      <c r="Z727" s="165"/>
    </row>
    <row r="728" spans="16:26" ht="10.199999999999999" customHeight="1">
      <c r="P728" s="165"/>
      <c r="Q728" s="165"/>
      <c r="R728" s="165"/>
      <c r="S728" s="165"/>
      <c r="T728" s="165"/>
      <c r="U728" s="165"/>
      <c r="V728" s="165"/>
      <c r="W728" s="165"/>
      <c r="X728" s="165"/>
      <c r="Y728" s="165"/>
      <c r="Z728" s="165"/>
    </row>
    <row r="729" spans="16:26" ht="10.199999999999999" customHeight="1">
      <c r="P729" s="165"/>
      <c r="Q729" s="165"/>
      <c r="R729" s="165"/>
      <c r="S729" s="165"/>
      <c r="T729" s="165"/>
      <c r="U729" s="165"/>
      <c r="V729" s="165"/>
      <c r="W729" s="165"/>
      <c r="X729" s="165"/>
      <c r="Y729" s="165"/>
      <c r="Z729" s="165"/>
    </row>
    <row r="730" spans="16:26" ht="10.199999999999999" customHeight="1">
      <c r="P730" s="165"/>
      <c r="Q730" s="165"/>
      <c r="R730" s="165"/>
      <c r="S730" s="165"/>
      <c r="T730" s="165"/>
      <c r="U730" s="165"/>
      <c r="V730" s="165"/>
      <c r="W730" s="165"/>
      <c r="X730" s="165"/>
      <c r="Y730" s="165"/>
      <c r="Z730" s="165"/>
    </row>
    <row r="731" spans="16:26" ht="10.199999999999999" customHeight="1">
      <c r="P731" s="165"/>
      <c r="Q731" s="165"/>
      <c r="R731" s="165"/>
      <c r="S731" s="165"/>
      <c r="T731" s="165"/>
      <c r="U731" s="165"/>
      <c r="V731" s="165"/>
      <c r="W731" s="165"/>
      <c r="X731" s="165"/>
      <c r="Y731" s="165"/>
      <c r="Z731" s="165"/>
    </row>
    <row r="732" spans="16:26" ht="10.199999999999999" customHeight="1">
      <c r="P732" s="165"/>
      <c r="Q732" s="165"/>
      <c r="R732" s="165"/>
      <c r="S732" s="165"/>
      <c r="T732" s="165"/>
      <c r="U732" s="165"/>
      <c r="V732" s="165"/>
      <c r="W732" s="165"/>
      <c r="X732" s="165"/>
      <c r="Y732" s="165"/>
      <c r="Z732" s="165"/>
    </row>
    <row r="733" spans="16:26" ht="10.199999999999999" customHeight="1">
      <c r="P733" s="165"/>
      <c r="Q733" s="165"/>
      <c r="R733" s="165"/>
      <c r="S733" s="165"/>
      <c r="T733" s="165"/>
      <c r="U733" s="165"/>
      <c r="V733" s="165"/>
      <c r="W733" s="165"/>
      <c r="X733" s="165"/>
      <c r="Y733" s="165"/>
      <c r="Z733" s="165"/>
    </row>
    <row r="734" spans="16:26" ht="10.199999999999999" customHeight="1">
      <c r="P734" s="165"/>
      <c r="Q734" s="165"/>
      <c r="R734" s="165"/>
      <c r="S734" s="165"/>
      <c r="T734" s="165"/>
      <c r="U734" s="165"/>
      <c r="V734" s="165"/>
      <c r="W734" s="165"/>
      <c r="X734" s="165"/>
      <c r="Y734" s="165"/>
      <c r="Z734" s="165"/>
    </row>
    <row r="735" spans="16:26" ht="10.199999999999999" customHeight="1">
      <c r="P735" s="165"/>
      <c r="Q735" s="165"/>
      <c r="R735" s="165"/>
      <c r="S735" s="165"/>
      <c r="T735" s="165"/>
      <c r="U735" s="165"/>
      <c r="V735" s="165"/>
      <c r="W735" s="165"/>
      <c r="X735" s="165"/>
      <c r="Y735" s="165"/>
      <c r="Z735" s="165"/>
    </row>
    <row r="736" spans="16:26" ht="10.199999999999999" customHeight="1">
      <c r="P736" s="165"/>
      <c r="Q736" s="165"/>
      <c r="R736" s="165"/>
      <c r="S736" s="165"/>
      <c r="T736" s="165"/>
      <c r="U736" s="165"/>
      <c r="V736" s="165"/>
      <c r="W736" s="165"/>
      <c r="X736" s="165"/>
      <c r="Y736" s="165"/>
      <c r="Z736" s="165"/>
    </row>
    <row r="737" spans="16:26" ht="10.199999999999999" customHeight="1">
      <c r="P737" s="165"/>
      <c r="Q737" s="165"/>
      <c r="R737" s="165"/>
      <c r="S737" s="165"/>
      <c r="T737" s="165"/>
      <c r="U737" s="165"/>
      <c r="V737" s="165"/>
      <c r="W737" s="165"/>
      <c r="X737" s="165"/>
      <c r="Y737" s="165"/>
      <c r="Z737" s="165"/>
    </row>
    <row r="738" spans="16:26" ht="10.199999999999999" customHeight="1">
      <c r="P738" s="165"/>
      <c r="Q738" s="165"/>
      <c r="R738" s="165"/>
      <c r="S738" s="165"/>
      <c r="T738" s="165"/>
      <c r="U738" s="165"/>
      <c r="V738" s="165"/>
      <c r="W738" s="165"/>
      <c r="X738" s="165"/>
      <c r="Y738" s="165"/>
      <c r="Z738" s="165"/>
    </row>
    <row r="739" spans="16:26" ht="10.199999999999999" customHeight="1">
      <c r="P739" s="165"/>
      <c r="Q739" s="165"/>
      <c r="R739" s="165"/>
      <c r="S739" s="165"/>
      <c r="T739" s="165"/>
      <c r="U739" s="165"/>
      <c r="V739" s="165"/>
      <c r="W739" s="165"/>
      <c r="X739" s="165"/>
      <c r="Y739" s="165"/>
      <c r="Z739" s="165"/>
    </row>
    <row r="740" spans="16:26" ht="10.199999999999999" customHeight="1">
      <c r="P740" s="165"/>
      <c r="Q740" s="165"/>
      <c r="R740" s="165"/>
      <c r="S740" s="165"/>
      <c r="T740" s="165"/>
      <c r="U740" s="165"/>
      <c r="V740" s="165"/>
      <c r="W740" s="165"/>
      <c r="X740" s="165"/>
      <c r="Y740" s="165"/>
      <c r="Z740" s="165"/>
    </row>
    <row r="741" spans="16:26" ht="10.199999999999999" customHeight="1">
      <c r="P741" s="165"/>
      <c r="Q741" s="165"/>
      <c r="R741" s="165"/>
      <c r="S741" s="165"/>
      <c r="T741" s="165"/>
      <c r="U741" s="165"/>
      <c r="V741" s="165"/>
      <c r="W741" s="165"/>
      <c r="X741" s="165"/>
      <c r="Y741" s="165"/>
      <c r="Z741" s="165"/>
    </row>
    <row r="742" spans="16:26" ht="10.199999999999999" customHeight="1">
      <c r="P742" s="165"/>
      <c r="Q742" s="165"/>
      <c r="R742" s="165"/>
      <c r="S742" s="165"/>
      <c r="T742" s="165"/>
      <c r="U742" s="165"/>
      <c r="V742" s="165"/>
      <c r="W742" s="165"/>
      <c r="X742" s="165"/>
      <c r="Y742" s="165"/>
      <c r="Z742" s="165"/>
    </row>
    <row r="743" spans="16:26" ht="10.199999999999999" customHeight="1">
      <c r="P743" s="165"/>
      <c r="Q743" s="165"/>
      <c r="R743" s="165"/>
      <c r="S743" s="165"/>
      <c r="T743" s="165"/>
      <c r="U743" s="165"/>
      <c r="V743" s="165"/>
      <c r="W743" s="165"/>
      <c r="X743" s="165"/>
      <c r="Y743" s="165"/>
      <c r="Z743" s="165"/>
    </row>
    <row r="744" spans="16:26" ht="10.199999999999999" customHeight="1">
      <c r="P744" s="165"/>
      <c r="Q744" s="165"/>
      <c r="R744" s="165"/>
      <c r="S744" s="165"/>
      <c r="T744" s="165"/>
      <c r="U744" s="165"/>
      <c r="V744" s="165"/>
      <c r="W744" s="165"/>
      <c r="X744" s="165"/>
      <c r="Y744" s="165"/>
      <c r="Z744" s="165"/>
    </row>
    <row r="745" spans="16:26" ht="10.199999999999999" customHeight="1">
      <c r="P745" s="165"/>
      <c r="Q745" s="165"/>
      <c r="R745" s="165"/>
      <c r="S745" s="165"/>
      <c r="T745" s="165"/>
      <c r="U745" s="165"/>
      <c r="V745" s="165"/>
      <c r="W745" s="165"/>
      <c r="X745" s="165"/>
      <c r="Y745" s="165"/>
      <c r="Z745" s="165"/>
    </row>
    <row r="746" spans="16:26" ht="10.199999999999999" customHeight="1">
      <c r="P746" s="165"/>
      <c r="Q746" s="165"/>
      <c r="R746" s="165"/>
      <c r="S746" s="165"/>
      <c r="T746" s="165"/>
      <c r="U746" s="165"/>
      <c r="V746" s="165"/>
      <c r="W746" s="165"/>
      <c r="X746" s="165"/>
      <c r="Y746" s="165"/>
      <c r="Z746" s="165"/>
    </row>
    <row r="747" spans="16:26" ht="10.199999999999999" customHeight="1">
      <c r="P747" s="165"/>
      <c r="Q747" s="165"/>
      <c r="R747" s="165"/>
      <c r="S747" s="165"/>
      <c r="T747" s="165"/>
      <c r="U747" s="165"/>
      <c r="V747" s="165"/>
      <c r="W747" s="165"/>
      <c r="X747" s="165"/>
      <c r="Y747" s="165"/>
      <c r="Z747" s="165"/>
    </row>
    <row r="748" spans="16:26" ht="10.199999999999999" customHeight="1">
      <c r="P748" s="165"/>
      <c r="Q748" s="165"/>
      <c r="R748" s="165"/>
      <c r="S748" s="165"/>
      <c r="T748" s="165"/>
      <c r="U748" s="165"/>
      <c r="V748" s="165"/>
      <c r="W748" s="165"/>
      <c r="X748" s="165"/>
      <c r="Y748" s="165"/>
      <c r="Z748" s="165"/>
    </row>
    <row r="749" spans="16:26" ht="10.199999999999999" customHeight="1">
      <c r="P749" s="165"/>
      <c r="Q749" s="165"/>
      <c r="R749" s="165"/>
      <c r="S749" s="165"/>
      <c r="T749" s="165"/>
      <c r="U749" s="165"/>
      <c r="V749" s="165"/>
      <c r="W749" s="165"/>
      <c r="X749" s="165"/>
      <c r="Y749" s="165"/>
      <c r="Z749" s="165"/>
    </row>
    <row r="750" spans="16:26" ht="10.199999999999999" customHeight="1">
      <c r="P750" s="165"/>
      <c r="Q750" s="165"/>
      <c r="R750" s="165"/>
      <c r="S750" s="165"/>
      <c r="T750" s="165"/>
      <c r="U750" s="165"/>
      <c r="V750" s="165"/>
      <c r="W750" s="165"/>
      <c r="X750" s="165"/>
      <c r="Y750" s="165"/>
      <c r="Z750" s="165"/>
    </row>
    <row r="751" spans="16:26" ht="10.199999999999999" customHeight="1">
      <c r="P751" s="165"/>
      <c r="Q751" s="165"/>
      <c r="R751" s="165"/>
      <c r="S751" s="165"/>
      <c r="T751" s="165"/>
      <c r="U751" s="165"/>
      <c r="V751" s="165"/>
      <c r="W751" s="165"/>
      <c r="X751" s="165"/>
      <c r="Y751" s="165"/>
      <c r="Z751" s="165"/>
    </row>
    <row r="752" spans="16:26" ht="10.199999999999999" customHeight="1">
      <c r="P752" s="165"/>
      <c r="Q752" s="165"/>
      <c r="R752" s="165"/>
      <c r="S752" s="165"/>
      <c r="T752" s="165"/>
      <c r="U752" s="165"/>
      <c r="V752" s="165"/>
      <c r="W752" s="165"/>
      <c r="X752" s="165"/>
      <c r="Y752" s="165"/>
      <c r="Z752" s="165"/>
    </row>
    <row r="753" spans="16:26" ht="10.199999999999999" customHeight="1">
      <c r="P753" s="165"/>
      <c r="Q753" s="165"/>
      <c r="R753" s="165"/>
      <c r="S753" s="165"/>
      <c r="T753" s="165"/>
      <c r="U753" s="165"/>
      <c r="V753" s="165"/>
      <c r="W753" s="165"/>
      <c r="X753" s="165"/>
      <c r="Y753" s="165"/>
      <c r="Z753" s="165"/>
    </row>
    <row r="754" spans="16:26" ht="10.199999999999999" customHeight="1">
      <c r="P754" s="165"/>
      <c r="Q754" s="165"/>
      <c r="R754" s="165"/>
      <c r="S754" s="165"/>
      <c r="T754" s="165"/>
      <c r="U754" s="165"/>
      <c r="V754" s="165"/>
      <c r="W754" s="165"/>
      <c r="X754" s="165"/>
      <c r="Y754" s="165"/>
      <c r="Z754" s="165"/>
    </row>
    <row r="755" spans="16:26" ht="10.199999999999999" customHeight="1">
      <c r="P755" s="165"/>
      <c r="Q755" s="165"/>
      <c r="R755" s="165"/>
      <c r="S755" s="165"/>
      <c r="T755" s="165"/>
      <c r="U755" s="165"/>
      <c r="V755" s="165"/>
      <c r="W755" s="165"/>
      <c r="X755" s="165"/>
      <c r="Y755" s="165"/>
      <c r="Z755" s="165"/>
    </row>
    <row r="756" spans="16:26" ht="10.199999999999999" customHeight="1">
      <c r="P756" s="165"/>
      <c r="Q756" s="165"/>
      <c r="R756" s="165"/>
      <c r="S756" s="165"/>
      <c r="T756" s="165"/>
      <c r="U756" s="165"/>
      <c r="V756" s="165"/>
      <c r="W756" s="165"/>
      <c r="X756" s="165"/>
      <c r="Y756" s="165"/>
      <c r="Z756" s="165"/>
    </row>
    <row r="757" spans="16:26" ht="10.199999999999999" customHeight="1">
      <c r="P757" s="165"/>
      <c r="Q757" s="165"/>
      <c r="R757" s="165"/>
      <c r="S757" s="165"/>
      <c r="T757" s="165"/>
      <c r="U757" s="165"/>
      <c r="V757" s="165"/>
      <c r="W757" s="165"/>
      <c r="X757" s="165"/>
      <c r="Y757" s="165"/>
      <c r="Z757" s="165"/>
    </row>
    <row r="758" spans="16:26" ht="10.199999999999999" customHeight="1">
      <c r="P758" s="165"/>
      <c r="Q758" s="165"/>
      <c r="R758" s="165"/>
      <c r="S758" s="165"/>
      <c r="T758" s="165"/>
      <c r="U758" s="165"/>
      <c r="V758" s="165"/>
      <c r="W758" s="165"/>
      <c r="X758" s="165"/>
      <c r="Y758" s="165"/>
      <c r="Z758" s="165"/>
    </row>
    <row r="759" spans="16:26" ht="10.199999999999999" customHeight="1">
      <c r="P759" s="165"/>
      <c r="Q759" s="165"/>
      <c r="R759" s="165"/>
      <c r="S759" s="165"/>
      <c r="T759" s="165"/>
      <c r="U759" s="165"/>
      <c r="V759" s="165"/>
      <c r="W759" s="165"/>
      <c r="X759" s="165"/>
      <c r="Y759" s="165"/>
      <c r="Z759" s="165"/>
    </row>
    <row r="760" spans="16:26" ht="10.199999999999999" customHeight="1">
      <c r="P760" s="165"/>
      <c r="Q760" s="165"/>
      <c r="R760" s="165"/>
      <c r="S760" s="165"/>
      <c r="T760" s="165"/>
      <c r="U760" s="165"/>
      <c r="V760" s="165"/>
      <c r="W760" s="165"/>
      <c r="X760" s="165"/>
      <c r="Y760" s="165"/>
      <c r="Z760" s="165"/>
    </row>
    <row r="761" spans="16:26" ht="10.199999999999999" customHeight="1">
      <c r="P761" s="165"/>
      <c r="Q761" s="165"/>
      <c r="R761" s="165"/>
      <c r="S761" s="165"/>
      <c r="T761" s="165"/>
      <c r="U761" s="165"/>
      <c r="V761" s="165"/>
      <c r="W761" s="165"/>
      <c r="X761" s="165"/>
      <c r="Y761" s="165"/>
      <c r="Z761" s="165"/>
    </row>
    <row r="762" spans="16:26" ht="10.199999999999999" customHeight="1">
      <c r="P762" s="165"/>
      <c r="Q762" s="165"/>
      <c r="R762" s="165"/>
      <c r="S762" s="165"/>
      <c r="T762" s="165"/>
      <c r="U762" s="165"/>
      <c r="V762" s="165"/>
      <c r="W762" s="165"/>
      <c r="X762" s="165"/>
      <c r="Y762" s="165"/>
      <c r="Z762" s="165"/>
    </row>
    <row r="763" spans="16:26" ht="10.199999999999999" customHeight="1">
      <c r="P763" s="165"/>
      <c r="Q763" s="165"/>
      <c r="R763" s="165"/>
      <c r="S763" s="165"/>
      <c r="T763" s="165"/>
      <c r="U763" s="165"/>
      <c r="V763" s="165"/>
      <c r="W763" s="165"/>
      <c r="X763" s="165"/>
      <c r="Y763" s="165"/>
      <c r="Z763" s="165"/>
    </row>
    <row r="764" spans="16:26" ht="10.199999999999999" customHeight="1">
      <c r="P764" s="165"/>
      <c r="Q764" s="165"/>
      <c r="R764" s="165"/>
      <c r="S764" s="165"/>
      <c r="T764" s="165"/>
      <c r="U764" s="165"/>
      <c r="V764" s="165"/>
      <c r="W764" s="165"/>
      <c r="X764" s="165"/>
      <c r="Y764" s="165"/>
      <c r="Z764" s="165"/>
    </row>
    <row r="765" spans="16:26" ht="10.199999999999999" customHeight="1">
      <c r="P765" s="165"/>
      <c r="Q765" s="165"/>
      <c r="R765" s="165"/>
      <c r="S765" s="165"/>
      <c r="T765" s="165"/>
      <c r="U765" s="165"/>
      <c r="V765" s="165"/>
      <c r="W765" s="165"/>
      <c r="X765" s="165"/>
      <c r="Y765" s="165"/>
      <c r="Z765" s="165"/>
    </row>
    <row r="766" spans="16:26" ht="10.199999999999999" customHeight="1">
      <c r="P766" s="165"/>
      <c r="Q766" s="165"/>
      <c r="R766" s="165"/>
      <c r="S766" s="165"/>
      <c r="T766" s="165"/>
      <c r="U766" s="165"/>
      <c r="V766" s="165"/>
      <c r="W766" s="165"/>
      <c r="X766" s="165"/>
      <c r="Y766" s="165"/>
      <c r="Z766" s="165"/>
    </row>
    <row r="767" spans="16:26" ht="10.199999999999999" customHeight="1">
      <c r="P767" s="165"/>
      <c r="Q767" s="165"/>
      <c r="R767" s="165"/>
      <c r="S767" s="165"/>
      <c r="T767" s="165"/>
      <c r="U767" s="165"/>
      <c r="V767" s="165"/>
      <c r="W767" s="165"/>
      <c r="X767" s="165"/>
      <c r="Y767" s="165"/>
      <c r="Z767" s="165"/>
    </row>
    <row r="768" spans="16:26" ht="10.199999999999999" customHeight="1">
      <c r="P768" s="165"/>
      <c r="Q768" s="165"/>
      <c r="R768" s="165"/>
      <c r="S768" s="165"/>
      <c r="T768" s="165"/>
      <c r="U768" s="165"/>
      <c r="V768" s="165"/>
      <c r="W768" s="165"/>
      <c r="X768" s="165"/>
      <c r="Y768" s="165"/>
      <c r="Z768" s="165"/>
    </row>
    <row r="769" spans="16:26" ht="10.199999999999999" customHeight="1">
      <c r="P769" s="165"/>
      <c r="Q769" s="165"/>
      <c r="R769" s="165"/>
      <c r="S769" s="165"/>
      <c r="T769" s="165"/>
      <c r="U769" s="165"/>
      <c r="V769" s="165"/>
      <c r="W769" s="165"/>
      <c r="X769" s="165"/>
      <c r="Y769" s="165"/>
      <c r="Z769" s="165"/>
    </row>
    <row r="770" spans="16:26" ht="10.199999999999999" customHeight="1">
      <c r="P770" s="165"/>
      <c r="Q770" s="165"/>
      <c r="R770" s="165"/>
      <c r="S770" s="165"/>
      <c r="T770" s="165"/>
      <c r="U770" s="165"/>
      <c r="V770" s="165"/>
      <c r="W770" s="165"/>
      <c r="X770" s="165"/>
      <c r="Y770" s="165"/>
      <c r="Z770" s="165"/>
    </row>
    <row r="771" spans="16:26" ht="10.199999999999999" customHeight="1">
      <c r="P771" s="165"/>
      <c r="Q771" s="165"/>
      <c r="R771" s="165"/>
      <c r="S771" s="165"/>
      <c r="T771" s="165"/>
      <c r="U771" s="165"/>
      <c r="V771" s="165"/>
      <c r="W771" s="165"/>
      <c r="X771" s="165"/>
      <c r="Y771" s="165"/>
      <c r="Z771" s="165"/>
    </row>
    <row r="772" spans="16:26" ht="10.199999999999999" customHeight="1">
      <c r="P772" s="165"/>
      <c r="Q772" s="165"/>
      <c r="R772" s="165"/>
      <c r="S772" s="165"/>
      <c r="T772" s="165"/>
      <c r="U772" s="165"/>
      <c r="V772" s="165"/>
      <c r="W772" s="165"/>
      <c r="X772" s="165"/>
      <c r="Y772" s="165"/>
      <c r="Z772" s="165"/>
    </row>
    <row r="773" spans="16:26" ht="10.199999999999999" customHeight="1">
      <c r="P773" s="165"/>
      <c r="Q773" s="165"/>
      <c r="R773" s="165"/>
      <c r="S773" s="165"/>
      <c r="T773" s="165"/>
      <c r="U773" s="165"/>
      <c r="V773" s="165"/>
      <c r="W773" s="165"/>
      <c r="X773" s="165"/>
      <c r="Y773" s="165"/>
      <c r="Z773" s="165"/>
    </row>
    <row r="774" spans="16:26" ht="10.199999999999999" customHeight="1">
      <c r="P774" s="165"/>
      <c r="Q774" s="165"/>
      <c r="R774" s="165"/>
      <c r="S774" s="165"/>
      <c r="T774" s="165"/>
      <c r="U774" s="165"/>
      <c r="V774" s="165"/>
      <c r="W774" s="165"/>
      <c r="X774" s="165"/>
      <c r="Y774" s="165"/>
      <c r="Z774" s="165"/>
    </row>
    <row r="775" spans="16:26" ht="10.199999999999999" customHeight="1">
      <c r="P775" s="165"/>
      <c r="Q775" s="165"/>
      <c r="R775" s="165"/>
      <c r="S775" s="165"/>
      <c r="T775" s="165"/>
      <c r="U775" s="165"/>
      <c r="V775" s="165"/>
      <c r="W775" s="165"/>
      <c r="X775" s="165"/>
      <c r="Y775" s="165"/>
      <c r="Z775" s="165"/>
    </row>
    <row r="776" spans="16:26" ht="10.199999999999999" customHeight="1">
      <c r="P776" s="165"/>
      <c r="Q776" s="165"/>
      <c r="R776" s="165"/>
      <c r="S776" s="165"/>
      <c r="T776" s="165"/>
      <c r="U776" s="165"/>
      <c r="V776" s="165"/>
      <c r="W776" s="165"/>
      <c r="X776" s="165"/>
      <c r="Y776" s="165"/>
      <c r="Z776" s="165"/>
    </row>
    <row r="777" spans="16:26" ht="10.199999999999999" customHeight="1">
      <c r="P777" s="165"/>
      <c r="Q777" s="165"/>
      <c r="R777" s="165"/>
      <c r="S777" s="165"/>
      <c r="T777" s="165"/>
      <c r="U777" s="165"/>
      <c r="V777" s="165"/>
      <c r="W777" s="165"/>
      <c r="X777" s="165"/>
      <c r="Y777" s="165"/>
      <c r="Z777" s="165"/>
    </row>
    <row r="778" spans="16:26" ht="10.199999999999999" customHeight="1">
      <c r="P778" s="165"/>
      <c r="Q778" s="165"/>
      <c r="R778" s="165"/>
      <c r="S778" s="165"/>
      <c r="T778" s="165"/>
      <c r="U778" s="165"/>
      <c r="V778" s="165"/>
      <c r="W778" s="165"/>
      <c r="X778" s="165"/>
      <c r="Y778" s="165"/>
      <c r="Z778" s="165"/>
    </row>
    <row r="779" spans="16:26" ht="10.199999999999999" customHeight="1">
      <c r="P779" s="165"/>
      <c r="Q779" s="165"/>
      <c r="R779" s="165"/>
      <c r="S779" s="165"/>
      <c r="T779" s="165"/>
      <c r="U779" s="165"/>
      <c r="V779" s="165"/>
      <c r="W779" s="165"/>
      <c r="X779" s="165"/>
      <c r="Y779" s="165"/>
      <c r="Z779" s="165"/>
    </row>
    <row r="780" spans="16:26" ht="10.199999999999999" customHeight="1">
      <c r="P780" s="165"/>
      <c r="Q780" s="165"/>
      <c r="R780" s="165"/>
      <c r="S780" s="165"/>
      <c r="T780" s="165"/>
      <c r="U780" s="165"/>
      <c r="V780" s="165"/>
      <c r="W780" s="165"/>
      <c r="X780" s="165"/>
      <c r="Y780" s="165"/>
      <c r="Z780" s="165"/>
    </row>
    <row r="781" spans="16:26" ht="10.199999999999999" customHeight="1">
      <c r="P781" s="165"/>
      <c r="Q781" s="165"/>
      <c r="R781" s="165"/>
      <c r="S781" s="165"/>
      <c r="T781" s="165"/>
      <c r="U781" s="165"/>
      <c r="V781" s="165"/>
      <c r="W781" s="165"/>
      <c r="X781" s="165"/>
      <c r="Y781" s="165"/>
      <c r="Z781" s="165"/>
    </row>
    <row r="782" spans="16:26" ht="10.199999999999999" customHeight="1">
      <c r="P782" s="165"/>
      <c r="Q782" s="165"/>
      <c r="R782" s="165"/>
      <c r="S782" s="165"/>
      <c r="T782" s="165"/>
      <c r="U782" s="165"/>
      <c r="V782" s="165"/>
      <c r="W782" s="165"/>
      <c r="X782" s="165"/>
      <c r="Y782" s="165"/>
      <c r="Z782" s="165"/>
    </row>
    <row r="783" spans="16:26" ht="10.199999999999999" customHeight="1">
      <c r="P783" s="165"/>
      <c r="Q783" s="165"/>
      <c r="R783" s="165"/>
      <c r="S783" s="165"/>
      <c r="T783" s="165"/>
      <c r="U783" s="165"/>
      <c r="V783" s="165"/>
      <c r="W783" s="165"/>
      <c r="X783" s="165"/>
      <c r="Y783" s="165"/>
      <c r="Z783" s="165"/>
    </row>
    <row r="784" spans="16:26" ht="10.199999999999999" customHeight="1">
      <c r="P784" s="165"/>
      <c r="Q784" s="165"/>
      <c r="R784" s="165"/>
      <c r="S784" s="165"/>
      <c r="T784" s="165"/>
      <c r="U784" s="165"/>
      <c r="V784" s="165"/>
      <c r="W784" s="165"/>
      <c r="X784" s="165"/>
      <c r="Y784" s="165"/>
      <c r="Z784" s="165"/>
    </row>
    <row r="785" spans="16:26" ht="10.199999999999999" customHeight="1">
      <c r="P785" s="165"/>
      <c r="Q785" s="165"/>
      <c r="R785" s="165"/>
      <c r="S785" s="165"/>
      <c r="T785" s="165"/>
      <c r="U785" s="165"/>
      <c r="V785" s="165"/>
      <c r="W785" s="165"/>
      <c r="X785" s="165"/>
      <c r="Y785" s="165"/>
      <c r="Z785" s="165"/>
    </row>
    <row r="786" spans="16:26" ht="10.199999999999999" customHeight="1">
      <c r="P786" s="165"/>
      <c r="Q786" s="165"/>
      <c r="R786" s="165"/>
      <c r="S786" s="165"/>
      <c r="T786" s="165"/>
      <c r="U786" s="165"/>
      <c r="V786" s="165"/>
      <c r="W786" s="165"/>
      <c r="X786" s="165"/>
      <c r="Y786" s="165"/>
      <c r="Z786" s="165"/>
    </row>
    <row r="787" spans="16:26" ht="10.199999999999999" customHeight="1">
      <c r="P787" s="165"/>
      <c r="Q787" s="165"/>
      <c r="R787" s="165"/>
      <c r="S787" s="165"/>
      <c r="T787" s="165"/>
      <c r="U787" s="165"/>
      <c r="V787" s="165"/>
      <c r="W787" s="165"/>
      <c r="X787" s="165"/>
      <c r="Y787" s="165"/>
      <c r="Z787" s="165"/>
    </row>
    <row r="788" spans="16:26" ht="10.199999999999999" customHeight="1">
      <c r="P788" s="165"/>
      <c r="Q788" s="165"/>
      <c r="R788" s="165"/>
      <c r="S788" s="165"/>
      <c r="T788" s="165"/>
      <c r="U788" s="165"/>
      <c r="V788" s="165"/>
      <c r="W788" s="165"/>
      <c r="X788" s="165"/>
      <c r="Y788" s="165"/>
      <c r="Z788" s="165"/>
    </row>
    <row r="789" spans="16:26" ht="10.199999999999999" customHeight="1">
      <c r="P789" s="165"/>
      <c r="Q789" s="165"/>
      <c r="R789" s="165"/>
      <c r="S789" s="165"/>
      <c r="T789" s="165"/>
      <c r="U789" s="165"/>
      <c r="V789" s="165"/>
      <c r="W789" s="165"/>
      <c r="X789" s="165"/>
      <c r="Y789" s="165"/>
      <c r="Z789" s="165"/>
    </row>
    <row r="790" spans="16:26" ht="10.199999999999999" customHeight="1">
      <c r="P790" s="165"/>
      <c r="Q790" s="165"/>
      <c r="R790" s="165"/>
      <c r="S790" s="165"/>
      <c r="T790" s="165"/>
      <c r="U790" s="165"/>
      <c r="V790" s="165"/>
      <c r="W790" s="165"/>
      <c r="X790" s="165"/>
      <c r="Y790" s="165"/>
      <c r="Z790" s="165"/>
    </row>
    <row r="791" spans="16:26" ht="10.199999999999999" customHeight="1">
      <c r="P791" s="165"/>
      <c r="Q791" s="165"/>
      <c r="R791" s="165"/>
      <c r="S791" s="165"/>
      <c r="T791" s="165"/>
      <c r="U791" s="165"/>
      <c r="V791" s="165"/>
      <c r="W791" s="165"/>
      <c r="X791" s="165"/>
      <c r="Y791" s="165"/>
      <c r="Z791" s="165"/>
    </row>
    <row r="792" spans="16:26" ht="10.199999999999999" customHeight="1">
      <c r="P792" s="165"/>
      <c r="Q792" s="165"/>
      <c r="R792" s="165"/>
      <c r="S792" s="165"/>
      <c r="T792" s="165"/>
      <c r="U792" s="165"/>
      <c r="V792" s="165"/>
      <c r="W792" s="165"/>
      <c r="X792" s="165"/>
      <c r="Y792" s="165"/>
      <c r="Z792" s="165"/>
    </row>
    <row r="793" spans="16:26" ht="10.199999999999999" customHeight="1">
      <c r="P793" s="165"/>
      <c r="Q793" s="165"/>
      <c r="R793" s="165"/>
      <c r="S793" s="165"/>
      <c r="T793" s="165"/>
      <c r="U793" s="165"/>
      <c r="V793" s="165"/>
      <c r="W793" s="165"/>
      <c r="X793" s="165"/>
      <c r="Y793" s="165"/>
      <c r="Z793" s="165"/>
    </row>
    <row r="794" spans="16:26" ht="10.199999999999999" customHeight="1">
      <c r="P794" s="165"/>
      <c r="Q794" s="165"/>
      <c r="R794" s="165"/>
      <c r="S794" s="165"/>
      <c r="T794" s="165"/>
      <c r="U794" s="165"/>
      <c r="V794" s="165"/>
      <c r="W794" s="165"/>
      <c r="X794" s="165"/>
      <c r="Y794" s="165"/>
      <c r="Z794" s="165"/>
    </row>
    <row r="795" spans="16:26" ht="10.199999999999999" customHeight="1">
      <c r="P795" s="165"/>
      <c r="Q795" s="165"/>
      <c r="R795" s="165"/>
      <c r="S795" s="165"/>
      <c r="T795" s="165"/>
      <c r="U795" s="165"/>
      <c r="V795" s="165"/>
      <c r="W795" s="165"/>
      <c r="X795" s="165"/>
      <c r="Y795" s="165"/>
      <c r="Z795" s="165"/>
    </row>
    <row r="796" spans="16:26" ht="10.199999999999999" customHeight="1">
      <c r="P796" s="165"/>
      <c r="Q796" s="165"/>
      <c r="R796" s="165"/>
      <c r="S796" s="165"/>
      <c r="T796" s="165"/>
      <c r="U796" s="165"/>
      <c r="V796" s="165"/>
      <c r="W796" s="165"/>
      <c r="X796" s="165"/>
      <c r="Y796" s="165"/>
      <c r="Z796" s="165"/>
    </row>
    <row r="797" spans="16:26" ht="10.199999999999999" customHeight="1">
      <c r="P797" s="165"/>
      <c r="Q797" s="165"/>
      <c r="R797" s="165"/>
      <c r="S797" s="165"/>
      <c r="T797" s="165"/>
      <c r="U797" s="165"/>
      <c r="V797" s="165"/>
      <c r="W797" s="165"/>
      <c r="X797" s="165"/>
      <c r="Y797" s="165"/>
      <c r="Z797" s="165"/>
    </row>
    <row r="798" spans="16:26" ht="10.199999999999999" customHeight="1">
      <c r="P798" s="165"/>
      <c r="Q798" s="165"/>
      <c r="R798" s="165"/>
      <c r="S798" s="165"/>
      <c r="T798" s="165"/>
      <c r="U798" s="165"/>
      <c r="V798" s="165"/>
      <c r="W798" s="165"/>
      <c r="X798" s="165"/>
      <c r="Y798" s="165"/>
      <c r="Z798" s="165"/>
    </row>
    <row r="799" spans="16:26" ht="10.199999999999999" customHeight="1">
      <c r="P799" s="165"/>
      <c r="Q799" s="165"/>
      <c r="R799" s="165"/>
      <c r="S799" s="165"/>
      <c r="T799" s="165"/>
      <c r="U799" s="165"/>
      <c r="V799" s="165"/>
      <c r="W799" s="165"/>
      <c r="X799" s="165"/>
      <c r="Y799" s="165"/>
      <c r="Z799" s="165"/>
    </row>
    <row r="800" spans="16:26" ht="10.199999999999999" customHeight="1">
      <c r="P800" s="165"/>
      <c r="Q800" s="165"/>
      <c r="R800" s="165"/>
      <c r="S800" s="165"/>
      <c r="T800" s="165"/>
      <c r="U800" s="165"/>
      <c r="V800" s="165"/>
      <c r="W800" s="165"/>
      <c r="X800" s="165"/>
      <c r="Y800" s="165"/>
      <c r="Z800" s="165"/>
    </row>
    <row r="801" spans="16:26" ht="10.199999999999999" customHeight="1">
      <c r="P801" s="165"/>
      <c r="Q801" s="165"/>
      <c r="R801" s="165"/>
      <c r="S801" s="165"/>
      <c r="T801" s="165"/>
      <c r="U801" s="165"/>
      <c r="V801" s="165"/>
      <c r="W801" s="165"/>
      <c r="X801" s="165"/>
      <c r="Y801" s="165"/>
      <c r="Z801" s="165"/>
    </row>
    <row r="802" spans="16:26" ht="10.199999999999999" customHeight="1">
      <c r="P802" s="165"/>
      <c r="Q802" s="165"/>
      <c r="R802" s="165"/>
      <c r="S802" s="165"/>
      <c r="T802" s="165"/>
      <c r="U802" s="165"/>
      <c r="V802" s="165"/>
      <c r="W802" s="165"/>
      <c r="X802" s="165"/>
      <c r="Y802" s="165"/>
      <c r="Z802" s="165"/>
    </row>
    <row r="803" spans="16:26" ht="10.199999999999999" customHeight="1">
      <c r="P803" s="165"/>
      <c r="Q803" s="165"/>
      <c r="R803" s="165"/>
      <c r="S803" s="165"/>
      <c r="T803" s="165"/>
      <c r="U803" s="165"/>
      <c r="V803" s="165"/>
      <c r="W803" s="165"/>
      <c r="X803" s="165"/>
      <c r="Y803" s="165"/>
      <c r="Z803" s="165"/>
    </row>
    <row r="804" spans="16:26" ht="10.199999999999999" customHeight="1">
      <c r="P804" s="165"/>
      <c r="Q804" s="165"/>
      <c r="R804" s="165"/>
      <c r="S804" s="165"/>
      <c r="T804" s="165"/>
      <c r="U804" s="165"/>
      <c r="V804" s="165"/>
      <c r="W804" s="165"/>
      <c r="X804" s="165"/>
      <c r="Y804" s="165"/>
      <c r="Z804" s="165"/>
    </row>
    <row r="805" spans="16:26" ht="10.199999999999999" customHeight="1">
      <c r="P805" s="165"/>
      <c r="Q805" s="165"/>
      <c r="R805" s="165"/>
      <c r="S805" s="165"/>
      <c r="T805" s="165"/>
      <c r="U805" s="165"/>
      <c r="V805" s="165"/>
      <c r="W805" s="165"/>
      <c r="X805" s="165"/>
      <c r="Y805" s="165"/>
      <c r="Z805" s="165"/>
    </row>
    <row r="806" spans="16:26" ht="10.199999999999999" customHeight="1">
      <c r="P806" s="165"/>
      <c r="Q806" s="165"/>
      <c r="R806" s="165"/>
      <c r="S806" s="165"/>
      <c r="T806" s="165"/>
      <c r="U806" s="165"/>
      <c r="V806" s="165"/>
      <c r="W806" s="165"/>
      <c r="X806" s="165"/>
      <c r="Y806" s="165"/>
      <c r="Z806" s="165"/>
    </row>
    <row r="807" spans="16:26" ht="10.199999999999999" customHeight="1">
      <c r="P807" s="165"/>
      <c r="Q807" s="165"/>
      <c r="R807" s="165"/>
      <c r="S807" s="165"/>
      <c r="T807" s="165"/>
      <c r="U807" s="165"/>
      <c r="V807" s="165"/>
      <c r="W807" s="165"/>
      <c r="X807" s="165"/>
      <c r="Y807" s="165"/>
      <c r="Z807" s="165"/>
    </row>
    <row r="808" spans="16:26" ht="10.199999999999999" customHeight="1">
      <c r="P808" s="165"/>
      <c r="Q808" s="165"/>
      <c r="R808" s="165"/>
      <c r="S808" s="165"/>
      <c r="T808" s="165"/>
      <c r="U808" s="165"/>
      <c r="V808" s="165"/>
      <c r="W808" s="165"/>
      <c r="X808" s="165"/>
      <c r="Y808" s="165"/>
      <c r="Z808" s="165"/>
    </row>
    <row r="809" spans="16:26" ht="10.199999999999999" customHeight="1">
      <c r="P809" s="165"/>
      <c r="Q809" s="165"/>
      <c r="R809" s="165"/>
      <c r="S809" s="165"/>
      <c r="T809" s="165"/>
      <c r="U809" s="165"/>
      <c r="V809" s="165"/>
      <c r="W809" s="165"/>
      <c r="X809" s="165"/>
      <c r="Y809" s="165"/>
      <c r="Z809" s="165"/>
    </row>
    <row r="810" spans="16:26" ht="10.199999999999999" customHeight="1">
      <c r="P810" s="165"/>
      <c r="Q810" s="165"/>
      <c r="R810" s="165"/>
      <c r="S810" s="165"/>
      <c r="T810" s="165"/>
      <c r="U810" s="165"/>
      <c r="V810" s="165"/>
      <c r="W810" s="165"/>
      <c r="X810" s="165"/>
      <c r="Y810" s="165"/>
      <c r="Z810" s="165"/>
    </row>
    <row r="811" spans="16:26" ht="10.199999999999999" customHeight="1">
      <c r="P811" s="165"/>
      <c r="Q811" s="165"/>
      <c r="R811" s="165"/>
      <c r="S811" s="165"/>
      <c r="T811" s="165"/>
      <c r="U811" s="165"/>
      <c r="V811" s="165"/>
      <c r="W811" s="165"/>
      <c r="X811" s="165"/>
      <c r="Y811" s="165"/>
      <c r="Z811" s="165"/>
    </row>
    <row r="812" spans="16:26" ht="10.199999999999999" customHeight="1">
      <c r="P812" s="165"/>
      <c r="Q812" s="165"/>
      <c r="R812" s="165"/>
      <c r="S812" s="165"/>
      <c r="T812" s="165"/>
      <c r="U812" s="165"/>
      <c r="V812" s="165"/>
      <c r="W812" s="165"/>
      <c r="X812" s="165"/>
      <c r="Y812" s="165"/>
      <c r="Z812" s="165"/>
    </row>
    <row r="813" spans="16:26" ht="10.199999999999999" customHeight="1">
      <c r="P813" s="165"/>
      <c r="Q813" s="165"/>
      <c r="R813" s="165"/>
      <c r="S813" s="165"/>
      <c r="T813" s="165"/>
      <c r="U813" s="165"/>
      <c r="V813" s="165"/>
      <c r="W813" s="165"/>
      <c r="X813" s="165"/>
      <c r="Y813" s="165"/>
      <c r="Z813" s="165"/>
    </row>
    <row r="814" spans="16:26" ht="10.199999999999999" customHeight="1">
      <c r="P814" s="165"/>
      <c r="Q814" s="165"/>
      <c r="R814" s="165"/>
      <c r="S814" s="165"/>
      <c r="T814" s="165"/>
      <c r="U814" s="165"/>
      <c r="V814" s="165"/>
      <c r="W814" s="165"/>
      <c r="X814" s="165"/>
      <c r="Y814" s="165"/>
      <c r="Z814" s="165"/>
    </row>
    <row r="815" spans="16:26" ht="10.199999999999999" customHeight="1">
      <c r="P815" s="165"/>
      <c r="Q815" s="165"/>
      <c r="R815" s="165"/>
      <c r="S815" s="165"/>
      <c r="T815" s="165"/>
      <c r="U815" s="165"/>
      <c r="V815" s="165"/>
      <c r="W815" s="165"/>
      <c r="X815" s="165"/>
      <c r="Y815" s="165"/>
      <c r="Z815" s="165"/>
    </row>
    <row r="816" spans="16:26" ht="10.199999999999999" customHeight="1">
      <c r="P816" s="165"/>
      <c r="Q816" s="165"/>
      <c r="R816" s="165"/>
      <c r="S816" s="165"/>
      <c r="T816" s="165"/>
      <c r="U816" s="165"/>
      <c r="V816" s="165"/>
      <c r="W816" s="165"/>
      <c r="X816" s="165"/>
      <c r="Y816" s="165"/>
      <c r="Z816" s="165"/>
    </row>
    <row r="817" spans="16:26" ht="10.199999999999999" customHeight="1">
      <c r="P817" s="165"/>
      <c r="Q817" s="165"/>
      <c r="R817" s="165"/>
      <c r="S817" s="165"/>
      <c r="T817" s="165"/>
      <c r="U817" s="165"/>
      <c r="V817" s="165"/>
      <c r="W817" s="165"/>
      <c r="X817" s="165"/>
      <c r="Y817" s="165"/>
      <c r="Z817" s="165"/>
    </row>
    <row r="818" spans="16:26" ht="10.199999999999999" customHeight="1">
      <c r="P818" s="165"/>
      <c r="Q818" s="165"/>
      <c r="R818" s="165"/>
      <c r="S818" s="165"/>
      <c r="T818" s="165"/>
      <c r="U818" s="165"/>
      <c r="V818" s="165"/>
      <c r="W818" s="165"/>
      <c r="X818" s="165"/>
      <c r="Y818" s="165"/>
      <c r="Z818" s="165"/>
    </row>
    <row r="819" spans="16:26" ht="10.199999999999999" customHeight="1">
      <c r="P819" s="165"/>
      <c r="Q819" s="165"/>
      <c r="R819" s="165"/>
      <c r="S819" s="165"/>
      <c r="T819" s="165"/>
      <c r="U819" s="165"/>
      <c r="V819" s="165"/>
      <c r="W819" s="165"/>
      <c r="X819" s="165"/>
      <c r="Y819" s="165"/>
      <c r="Z819" s="165"/>
    </row>
    <row r="820" spans="16:26" ht="10.199999999999999" customHeight="1">
      <c r="P820" s="165"/>
      <c r="Q820" s="165"/>
      <c r="R820" s="165"/>
      <c r="S820" s="165"/>
      <c r="T820" s="165"/>
      <c r="U820" s="165"/>
      <c r="V820" s="165"/>
      <c r="W820" s="165"/>
      <c r="X820" s="165"/>
      <c r="Y820" s="165"/>
      <c r="Z820" s="165"/>
    </row>
    <row r="821" spans="16:26" ht="10.199999999999999" customHeight="1">
      <c r="P821" s="165"/>
      <c r="Q821" s="165"/>
      <c r="R821" s="165"/>
      <c r="S821" s="165"/>
      <c r="T821" s="165"/>
      <c r="U821" s="165"/>
      <c r="V821" s="165"/>
      <c r="W821" s="165"/>
      <c r="X821" s="165"/>
      <c r="Y821" s="165"/>
      <c r="Z821" s="165"/>
    </row>
    <row r="822" spans="16:26" ht="10.199999999999999" customHeight="1">
      <c r="P822" s="165"/>
      <c r="Q822" s="165"/>
      <c r="R822" s="165"/>
      <c r="S822" s="165"/>
      <c r="T822" s="165"/>
      <c r="U822" s="165"/>
      <c r="V822" s="165"/>
      <c r="W822" s="165"/>
      <c r="X822" s="165"/>
      <c r="Y822" s="165"/>
      <c r="Z822" s="165"/>
    </row>
    <row r="823" spans="16:26" ht="10.199999999999999" customHeight="1">
      <c r="P823" s="165"/>
      <c r="Q823" s="165"/>
      <c r="R823" s="165"/>
      <c r="S823" s="165"/>
      <c r="T823" s="165"/>
      <c r="U823" s="165"/>
      <c r="V823" s="165"/>
      <c r="W823" s="165"/>
      <c r="X823" s="165"/>
      <c r="Y823" s="165"/>
      <c r="Z823" s="165"/>
    </row>
    <row r="824" spans="16:26" ht="10.199999999999999" customHeight="1">
      <c r="P824" s="165"/>
      <c r="Q824" s="165"/>
      <c r="R824" s="165"/>
      <c r="S824" s="165"/>
      <c r="T824" s="165"/>
      <c r="U824" s="165"/>
      <c r="V824" s="165"/>
      <c r="W824" s="165"/>
      <c r="X824" s="165"/>
      <c r="Y824" s="165"/>
      <c r="Z824" s="165"/>
    </row>
    <row r="825" spans="16:26" ht="10.199999999999999" customHeight="1">
      <c r="P825" s="165"/>
      <c r="Q825" s="165"/>
      <c r="R825" s="165"/>
      <c r="S825" s="165"/>
      <c r="T825" s="165"/>
      <c r="U825" s="165"/>
      <c r="V825" s="165"/>
      <c r="W825" s="165"/>
      <c r="X825" s="165"/>
      <c r="Y825" s="165"/>
      <c r="Z825" s="165"/>
    </row>
    <row r="826" spans="16:26" ht="10.199999999999999" customHeight="1">
      <c r="P826" s="165"/>
      <c r="Q826" s="165"/>
      <c r="R826" s="165"/>
      <c r="S826" s="165"/>
      <c r="T826" s="165"/>
      <c r="U826" s="165"/>
      <c r="V826" s="165"/>
      <c r="W826" s="165"/>
      <c r="X826" s="165"/>
      <c r="Y826" s="165"/>
      <c r="Z826" s="165"/>
    </row>
    <row r="827" spans="16:26" ht="10.199999999999999" customHeight="1">
      <c r="P827" s="165"/>
      <c r="Q827" s="165"/>
      <c r="R827" s="165"/>
      <c r="S827" s="165"/>
      <c r="T827" s="165"/>
      <c r="U827" s="165"/>
      <c r="V827" s="165"/>
      <c r="W827" s="165"/>
      <c r="X827" s="165"/>
      <c r="Y827" s="165"/>
      <c r="Z827" s="165"/>
    </row>
    <row r="828" spans="16:26" ht="10.199999999999999" customHeight="1">
      <c r="P828" s="165"/>
      <c r="Q828" s="165"/>
      <c r="R828" s="165"/>
      <c r="S828" s="165"/>
      <c r="T828" s="165"/>
      <c r="U828" s="165"/>
      <c r="V828" s="165"/>
      <c r="W828" s="165"/>
      <c r="X828" s="165"/>
      <c r="Y828" s="165"/>
      <c r="Z828" s="165"/>
    </row>
    <row r="829" spans="16:26" ht="10.199999999999999" customHeight="1">
      <c r="P829" s="165"/>
      <c r="Q829" s="165"/>
      <c r="R829" s="165"/>
      <c r="S829" s="165"/>
      <c r="T829" s="165"/>
      <c r="U829" s="165"/>
      <c r="V829" s="165"/>
      <c r="W829" s="165"/>
      <c r="X829" s="165"/>
      <c r="Y829" s="165"/>
      <c r="Z829" s="165"/>
    </row>
    <row r="830" spans="16:26" ht="10.199999999999999" customHeight="1">
      <c r="P830" s="165"/>
      <c r="Q830" s="165"/>
      <c r="R830" s="165"/>
      <c r="S830" s="165"/>
      <c r="T830" s="165"/>
      <c r="U830" s="165"/>
      <c r="V830" s="165"/>
      <c r="W830" s="165"/>
      <c r="X830" s="165"/>
      <c r="Y830" s="165"/>
      <c r="Z830" s="165"/>
    </row>
    <row r="831" spans="16:26" ht="10.199999999999999" customHeight="1">
      <c r="P831" s="165"/>
      <c r="Q831" s="165"/>
      <c r="R831" s="165"/>
      <c r="S831" s="165"/>
      <c r="T831" s="165"/>
      <c r="U831" s="165"/>
      <c r="V831" s="165"/>
      <c r="W831" s="165"/>
      <c r="X831" s="165"/>
      <c r="Y831" s="165"/>
      <c r="Z831" s="165"/>
    </row>
    <row r="832" spans="16:26" ht="10.199999999999999" customHeight="1">
      <c r="P832" s="165"/>
      <c r="Q832" s="165"/>
      <c r="R832" s="165"/>
      <c r="S832" s="165"/>
      <c r="T832" s="165"/>
      <c r="U832" s="165"/>
      <c r="V832" s="165"/>
      <c r="W832" s="165"/>
      <c r="X832" s="165"/>
      <c r="Y832" s="165"/>
      <c r="Z832" s="165"/>
    </row>
    <row r="833" spans="16:26" ht="10.199999999999999" customHeight="1">
      <c r="P833" s="165"/>
      <c r="Q833" s="165"/>
      <c r="R833" s="165"/>
      <c r="S833" s="165"/>
      <c r="T833" s="165"/>
      <c r="U833" s="165"/>
      <c r="V833" s="165"/>
      <c r="W833" s="165"/>
      <c r="X833" s="165"/>
      <c r="Y833" s="165"/>
      <c r="Z833" s="165"/>
    </row>
    <row r="834" spans="16:26" ht="10.199999999999999" customHeight="1">
      <c r="P834" s="165"/>
      <c r="Q834" s="165"/>
      <c r="R834" s="165"/>
      <c r="S834" s="165"/>
      <c r="T834" s="165"/>
      <c r="U834" s="165"/>
      <c r="V834" s="165"/>
      <c r="W834" s="165"/>
      <c r="X834" s="165"/>
      <c r="Y834" s="165"/>
      <c r="Z834" s="165"/>
    </row>
    <row r="835" spans="16:26" ht="10.199999999999999" customHeight="1">
      <c r="P835" s="165"/>
      <c r="Q835" s="165"/>
      <c r="R835" s="165"/>
      <c r="S835" s="165"/>
      <c r="T835" s="165"/>
      <c r="U835" s="165"/>
      <c r="V835" s="165"/>
      <c r="W835" s="165"/>
      <c r="X835" s="165"/>
      <c r="Y835" s="165"/>
      <c r="Z835" s="165"/>
    </row>
    <row r="836" spans="16:26" ht="10.199999999999999" customHeight="1">
      <c r="P836" s="165"/>
      <c r="Q836" s="165"/>
      <c r="R836" s="165"/>
      <c r="S836" s="165"/>
      <c r="T836" s="165"/>
      <c r="U836" s="165"/>
      <c r="V836" s="165"/>
      <c r="W836" s="165"/>
      <c r="X836" s="165"/>
      <c r="Y836" s="165"/>
      <c r="Z836" s="165"/>
    </row>
    <row r="837" spans="16:26" ht="10.199999999999999" customHeight="1">
      <c r="P837" s="165"/>
      <c r="Q837" s="165"/>
      <c r="R837" s="165"/>
      <c r="S837" s="165"/>
      <c r="T837" s="165"/>
      <c r="U837" s="165"/>
      <c r="V837" s="165"/>
      <c r="W837" s="165"/>
      <c r="X837" s="165"/>
      <c r="Y837" s="165"/>
      <c r="Z837" s="165"/>
    </row>
    <row r="838" spans="16:26" ht="10.199999999999999" customHeight="1">
      <c r="P838" s="165"/>
      <c r="Q838" s="165"/>
      <c r="R838" s="165"/>
      <c r="S838" s="165"/>
      <c r="T838" s="165"/>
      <c r="U838" s="165"/>
      <c r="V838" s="165"/>
      <c r="W838" s="165"/>
      <c r="X838" s="165"/>
      <c r="Y838" s="165"/>
      <c r="Z838" s="165"/>
    </row>
    <row r="839" spans="16:26" ht="10.199999999999999" customHeight="1">
      <c r="P839" s="165"/>
      <c r="Q839" s="165"/>
      <c r="R839" s="165"/>
      <c r="S839" s="165"/>
      <c r="T839" s="165"/>
      <c r="U839" s="165"/>
      <c r="V839" s="165"/>
      <c r="W839" s="165"/>
      <c r="X839" s="165"/>
      <c r="Y839" s="165"/>
      <c r="Z839" s="165"/>
    </row>
    <row r="840" spans="16:26" ht="10.199999999999999" customHeight="1">
      <c r="P840" s="165"/>
      <c r="Q840" s="165"/>
      <c r="R840" s="165"/>
      <c r="S840" s="165"/>
      <c r="T840" s="165"/>
      <c r="U840" s="165"/>
      <c r="V840" s="165"/>
      <c r="W840" s="165"/>
      <c r="X840" s="165"/>
      <c r="Y840" s="165"/>
      <c r="Z840" s="165"/>
    </row>
    <row r="841" spans="16:26" ht="10.199999999999999" customHeight="1">
      <c r="P841" s="165"/>
      <c r="Q841" s="165"/>
      <c r="R841" s="165"/>
      <c r="S841" s="165"/>
      <c r="T841" s="165"/>
      <c r="U841" s="165"/>
      <c r="V841" s="165"/>
      <c r="W841" s="165"/>
      <c r="X841" s="165"/>
      <c r="Y841" s="165"/>
      <c r="Z841" s="165"/>
    </row>
    <row r="842" spans="16:26" ht="10.199999999999999" customHeight="1">
      <c r="P842" s="165"/>
      <c r="Q842" s="165"/>
      <c r="R842" s="165"/>
      <c r="S842" s="165"/>
      <c r="T842" s="165"/>
      <c r="U842" s="165"/>
      <c r="V842" s="165"/>
      <c r="W842" s="165"/>
      <c r="X842" s="165"/>
      <c r="Y842" s="165"/>
      <c r="Z842" s="165"/>
    </row>
    <row r="843" spans="16:26" ht="10.199999999999999" customHeight="1">
      <c r="P843" s="165"/>
      <c r="Q843" s="165"/>
      <c r="R843" s="165"/>
      <c r="S843" s="165"/>
      <c r="T843" s="165"/>
      <c r="U843" s="165"/>
      <c r="V843" s="165"/>
      <c r="W843" s="165"/>
      <c r="X843" s="165"/>
      <c r="Y843" s="165"/>
      <c r="Z843" s="165"/>
    </row>
    <row r="844" spans="16:26" ht="10.199999999999999" customHeight="1">
      <c r="P844" s="165"/>
      <c r="Q844" s="165"/>
      <c r="R844" s="165"/>
      <c r="S844" s="165"/>
      <c r="T844" s="165"/>
      <c r="U844" s="165"/>
      <c r="V844" s="165"/>
      <c r="W844" s="165"/>
      <c r="X844" s="165"/>
      <c r="Y844" s="165"/>
      <c r="Z844" s="165"/>
    </row>
    <row r="845" spans="16:26" ht="10.199999999999999" customHeight="1">
      <c r="P845" s="165"/>
      <c r="Q845" s="165"/>
      <c r="R845" s="165"/>
      <c r="S845" s="165"/>
      <c r="T845" s="165"/>
      <c r="U845" s="165"/>
      <c r="V845" s="165"/>
      <c r="W845" s="165"/>
      <c r="X845" s="165"/>
      <c r="Y845" s="165"/>
      <c r="Z845" s="165"/>
    </row>
    <row r="846" spans="16:26" ht="10.199999999999999" customHeight="1">
      <c r="P846" s="165"/>
      <c r="Q846" s="165"/>
      <c r="R846" s="165"/>
      <c r="S846" s="165"/>
      <c r="T846" s="165"/>
      <c r="U846" s="165"/>
      <c r="V846" s="165"/>
      <c r="W846" s="165"/>
      <c r="X846" s="165"/>
      <c r="Y846" s="165"/>
      <c r="Z846" s="165"/>
    </row>
    <row r="847" spans="16:26" ht="10.199999999999999" customHeight="1">
      <c r="P847" s="165"/>
      <c r="Q847" s="165"/>
      <c r="R847" s="165"/>
      <c r="S847" s="165"/>
      <c r="T847" s="165"/>
      <c r="U847" s="165"/>
      <c r="V847" s="165"/>
      <c r="W847" s="165"/>
      <c r="X847" s="165"/>
      <c r="Y847" s="165"/>
      <c r="Z847" s="165"/>
    </row>
    <row r="848" spans="16:26" ht="10.199999999999999" customHeight="1">
      <c r="P848" s="165"/>
      <c r="Q848" s="165"/>
      <c r="R848" s="165"/>
      <c r="S848" s="165"/>
      <c r="T848" s="165"/>
      <c r="U848" s="165"/>
      <c r="V848" s="165"/>
      <c r="W848" s="165"/>
      <c r="X848" s="165"/>
      <c r="Y848" s="165"/>
      <c r="Z848" s="165"/>
    </row>
    <row r="849" spans="16:26" ht="10.199999999999999" customHeight="1">
      <c r="P849" s="165"/>
      <c r="Q849" s="165"/>
      <c r="R849" s="165"/>
      <c r="S849" s="165"/>
      <c r="T849" s="165"/>
      <c r="U849" s="165"/>
      <c r="V849" s="165"/>
      <c r="W849" s="165"/>
      <c r="X849" s="165"/>
      <c r="Y849" s="165"/>
      <c r="Z849" s="165"/>
    </row>
    <row r="850" spans="16:26" ht="10.199999999999999" customHeight="1">
      <c r="P850" s="165"/>
      <c r="Q850" s="165"/>
      <c r="R850" s="165"/>
      <c r="S850" s="165"/>
      <c r="T850" s="165"/>
      <c r="U850" s="165"/>
      <c r="V850" s="165"/>
      <c r="W850" s="165"/>
      <c r="X850" s="165"/>
      <c r="Y850" s="165"/>
      <c r="Z850" s="165"/>
    </row>
    <row r="851" spans="16:26" ht="10.199999999999999" customHeight="1">
      <c r="P851" s="165"/>
      <c r="Q851" s="165"/>
      <c r="R851" s="165"/>
      <c r="S851" s="165"/>
      <c r="T851" s="165"/>
      <c r="U851" s="165"/>
      <c r="V851" s="165"/>
      <c r="W851" s="165"/>
      <c r="X851" s="165"/>
      <c r="Y851" s="165"/>
      <c r="Z851" s="165"/>
    </row>
    <row r="852" spans="16:26" ht="10.199999999999999" customHeight="1">
      <c r="P852" s="165"/>
      <c r="Q852" s="165"/>
      <c r="R852" s="165"/>
      <c r="S852" s="165"/>
      <c r="T852" s="165"/>
      <c r="U852" s="165"/>
      <c r="V852" s="165"/>
      <c r="W852" s="165"/>
      <c r="X852" s="165"/>
      <c r="Y852" s="165"/>
      <c r="Z852" s="165"/>
    </row>
    <row r="853" spans="16:26" ht="10.199999999999999" customHeight="1">
      <c r="P853" s="165"/>
      <c r="Q853" s="165"/>
      <c r="R853" s="165"/>
      <c r="S853" s="165"/>
      <c r="T853" s="165"/>
      <c r="U853" s="165"/>
      <c r="V853" s="165"/>
      <c r="W853" s="165"/>
      <c r="X853" s="165"/>
      <c r="Y853" s="165"/>
      <c r="Z853" s="165"/>
    </row>
    <row r="854" spans="16:26" ht="10.199999999999999" customHeight="1">
      <c r="P854" s="165"/>
      <c r="Q854" s="165"/>
      <c r="R854" s="165"/>
      <c r="S854" s="165"/>
      <c r="T854" s="165"/>
      <c r="U854" s="165"/>
      <c r="V854" s="165"/>
      <c r="W854" s="165"/>
      <c r="X854" s="165"/>
      <c r="Y854" s="165"/>
      <c r="Z854" s="165"/>
    </row>
    <row r="855" spans="16:26" ht="10.199999999999999" customHeight="1">
      <c r="P855" s="165"/>
      <c r="Q855" s="165"/>
      <c r="R855" s="165"/>
      <c r="S855" s="165"/>
      <c r="T855" s="165"/>
      <c r="U855" s="165"/>
      <c r="V855" s="165"/>
      <c r="W855" s="165"/>
      <c r="X855" s="165"/>
      <c r="Y855" s="165"/>
      <c r="Z855" s="165"/>
    </row>
    <row r="856" spans="16:26" ht="10.199999999999999" customHeight="1">
      <c r="P856" s="165"/>
      <c r="Q856" s="165"/>
      <c r="R856" s="165"/>
      <c r="S856" s="165"/>
      <c r="T856" s="165"/>
      <c r="U856" s="165"/>
      <c r="V856" s="165"/>
      <c r="W856" s="165"/>
      <c r="X856" s="165"/>
      <c r="Y856" s="165"/>
      <c r="Z856" s="165"/>
    </row>
    <row r="857" spans="16:26" ht="10.199999999999999" customHeight="1">
      <c r="P857" s="165"/>
      <c r="Q857" s="165"/>
      <c r="R857" s="165"/>
      <c r="S857" s="165"/>
      <c r="T857" s="165"/>
      <c r="U857" s="165"/>
      <c r="V857" s="165"/>
      <c r="W857" s="165"/>
      <c r="X857" s="165"/>
      <c r="Y857" s="165"/>
      <c r="Z857" s="165"/>
    </row>
    <row r="858" spans="16:26" ht="10.199999999999999" customHeight="1">
      <c r="P858" s="165"/>
      <c r="Q858" s="165"/>
      <c r="R858" s="165"/>
      <c r="S858" s="165"/>
      <c r="T858" s="165"/>
      <c r="U858" s="165"/>
      <c r="V858" s="165"/>
      <c r="W858" s="165"/>
      <c r="X858" s="165"/>
      <c r="Y858" s="165"/>
      <c r="Z858" s="165"/>
    </row>
    <row r="859" spans="16:26" ht="10.199999999999999" customHeight="1">
      <c r="P859" s="165"/>
      <c r="Q859" s="165"/>
      <c r="R859" s="165"/>
      <c r="S859" s="165"/>
      <c r="T859" s="165"/>
      <c r="U859" s="165"/>
      <c r="V859" s="165"/>
      <c r="W859" s="165"/>
      <c r="X859" s="165"/>
      <c r="Y859" s="165"/>
      <c r="Z859" s="165"/>
    </row>
    <row r="860" spans="16:26" ht="10.199999999999999" customHeight="1">
      <c r="P860" s="165"/>
      <c r="Q860" s="165"/>
      <c r="R860" s="165"/>
      <c r="S860" s="165"/>
      <c r="T860" s="165"/>
      <c r="U860" s="165"/>
      <c r="V860" s="165"/>
      <c r="W860" s="165"/>
      <c r="X860" s="165"/>
      <c r="Y860" s="165"/>
      <c r="Z860" s="165"/>
    </row>
    <row r="861" spans="16:26" ht="10.199999999999999" customHeight="1">
      <c r="P861" s="165"/>
      <c r="Q861" s="165"/>
      <c r="R861" s="165"/>
      <c r="S861" s="165"/>
      <c r="T861" s="165"/>
      <c r="U861" s="165"/>
      <c r="V861" s="165"/>
      <c r="W861" s="165"/>
      <c r="X861" s="165"/>
      <c r="Y861" s="165"/>
      <c r="Z861" s="165"/>
    </row>
    <row r="862" spans="16:26" ht="10.199999999999999" customHeight="1">
      <c r="P862" s="165"/>
      <c r="Q862" s="165"/>
      <c r="R862" s="165"/>
      <c r="S862" s="165"/>
      <c r="T862" s="165"/>
      <c r="U862" s="165"/>
      <c r="V862" s="165"/>
      <c r="W862" s="165"/>
      <c r="X862" s="165"/>
      <c r="Y862" s="165"/>
      <c r="Z862" s="165"/>
    </row>
    <row r="863" spans="16:26" ht="10.199999999999999" customHeight="1">
      <c r="P863" s="165"/>
      <c r="Q863" s="165"/>
      <c r="R863" s="165"/>
      <c r="S863" s="165"/>
      <c r="T863" s="165"/>
      <c r="U863" s="165"/>
      <c r="V863" s="165"/>
      <c r="W863" s="165"/>
      <c r="X863" s="165"/>
      <c r="Y863" s="165"/>
      <c r="Z863" s="165"/>
    </row>
    <row r="864" spans="16:26" ht="10.199999999999999" customHeight="1">
      <c r="P864" s="165"/>
      <c r="Q864" s="165"/>
      <c r="R864" s="165"/>
      <c r="S864" s="165"/>
      <c r="T864" s="165"/>
      <c r="U864" s="165"/>
      <c r="V864" s="165"/>
      <c r="W864" s="165"/>
      <c r="X864" s="165"/>
      <c r="Y864" s="165"/>
      <c r="Z864" s="165"/>
    </row>
    <row r="865" spans="16:26" ht="10.199999999999999" customHeight="1">
      <c r="P865" s="165"/>
      <c r="Q865" s="165"/>
      <c r="R865" s="165"/>
      <c r="S865" s="165"/>
      <c r="T865" s="165"/>
      <c r="U865" s="165"/>
      <c r="V865" s="165"/>
      <c r="W865" s="165"/>
      <c r="X865" s="165"/>
      <c r="Y865" s="165"/>
      <c r="Z865" s="165"/>
    </row>
    <row r="866" spans="16:26" ht="10.199999999999999" customHeight="1">
      <c r="P866" s="165"/>
      <c r="Q866" s="165"/>
      <c r="R866" s="165"/>
      <c r="S866" s="165"/>
      <c r="T866" s="165"/>
      <c r="U866" s="165"/>
      <c r="V866" s="165"/>
      <c r="W866" s="165"/>
      <c r="X866" s="165"/>
      <c r="Y866" s="165"/>
      <c r="Z866" s="165"/>
    </row>
    <row r="867" spans="16:26" ht="10.199999999999999" customHeight="1">
      <c r="P867" s="165"/>
      <c r="Q867" s="165"/>
      <c r="R867" s="165"/>
      <c r="S867" s="165"/>
      <c r="T867" s="165"/>
      <c r="U867" s="165"/>
      <c r="V867" s="165"/>
      <c r="W867" s="165"/>
      <c r="X867" s="165"/>
      <c r="Y867" s="165"/>
      <c r="Z867" s="165"/>
    </row>
    <row r="868" spans="16:26" ht="10.199999999999999" customHeight="1">
      <c r="P868" s="165"/>
      <c r="Q868" s="165"/>
      <c r="R868" s="165"/>
      <c r="S868" s="165"/>
      <c r="T868" s="165"/>
      <c r="U868" s="165"/>
      <c r="V868" s="165"/>
      <c r="W868" s="165"/>
      <c r="X868" s="165"/>
      <c r="Y868" s="165"/>
      <c r="Z868" s="165"/>
    </row>
    <row r="869" spans="16:26" ht="10.199999999999999" customHeight="1">
      <c r="P869" s="165"/>
      <c r="Q869" s="165"/>
      <c r="R869" s="165"/>
      <c r="S869" s="165"/>
      <c r="T869" s="165"/>
      <c r="U869" s="165"/>
      <c r="V869" s="165"/>
      <c r="W869" s="165"/>
      <c r="X869" s="165"/>
      <c r="Y869" s="165"/>
      <c r="Z869" s="165"/>
    </row>
    <row r="870" spans="16:26" ht="10.199999999999999" customHeight="1">
      <c r="P870" s="165"/>
      <c r="Q870" s="165"/>
      <c r="R870" s="165"/>
      <c r="S870" s="165"/>
      <c r="T870" s="165"/>
      <c r="U870" s="165"/>
      <c r="V870" s="165"/>
      <c r="W870" s="165"/>
      <c r="X870" s="165"/>
      <c r="Y870" s="165"/>
      <c r="Z870" s="165"/>
    </row>
    <row r="871" spans="16:26" ht="10.199999999999999" customHeight="1">
      <c r="P871" s="165"/>
      <c r="Q871" s="165"/>
      <c r="R871" s="165"/>
      <c r="S871" s="165"/>
      <c r="T871" s="165"/>
      <c r="U871" s="165"/>
      <c r="V871" s="165"/>
      <c r="W871" s="165"/>
      <c r="X871" s="165"/>
      <c r="Y871" s="165"/>
      <c r="Z871" s="165"/>
    </row>
    <row r="872" spans="16:26" ht="10.199999999999999" customHeight="1">
      <c r="P872" s="165"/>
      <c r="Q872" s="165"/>
      <c r="R872" s="165"/>
      <c r="S872" s="165"/>
      <c r="T872" s="165"/>
      <c r="U872" s="165"/>
      <c r="V872" s="165"/>
      <c r="W872" s="165"/>
      <c r="X872" s="165"/>
      <c r="Y872" s="165"/>
      <c r="Z872" s="165"/>
    </row>
    <row r="873" spans="16:26" ht="10.199999999999999" customHeight="1">
      <c r="P873" s="165"/>
      <c r="Q873" s="165"/>
      <c r="R873" s="165"/>
      <c r="S873" s="165"/>
      <c r="T873" s="165"/>
      <c r="U873" s="165"/>
      <c r="V873" s="165"/>
      <c r="W873" s="165"/>
      <c r="X873" s="165"/>
      <c r="Y873" s="165"/>
      <c r="Z873" s="165"/>
    </row>
    <row r="874" spans="16:26" ht="10.199999999999999" customHeight="1">
      <c r="P874" s="165"/>
      <c r="Q874" s="165"/>
      <c r="R874" s="165"/>
      <c r="S874" s="165"/>
      <c r="T874" s="165"/>
      <c r="U874" s="165"/>
      <c r="V874" s="165"/>
      <c r="W874" s="165"/>
      <c r="X874" s="165"/>
      <c r="Y874" s="165"/>
      <c r="Z874" s="165"/>
    </row>
    <row r="875" spans="16:26" ht="10.199999999999999" customHeight="1">
      <c r="P875" s="165"/>
      <c r="Q875" s="165"/>
      <c r="R875" s="165"/>
      <c r="S875" s="165"/>
      <c r="T875" s="165"/>
      <c r="U875" s="165"/>
      <c r="V875" s="165"/>
      <c r="W875" s="165"/>
      <c r="X875" s="165"/>
      <c r="Y875" s="165"/>
      <c r="Z875" s="165"/>
    </row>
    <row r="876" spans="16:26" ht="10.199999999999999" customHeight="1">
      <c r="P876" s="165"/>
      <c r="Q876" s="165"/>
      <c r="R876" s="165"/>
      <c r="S876" s="165"/>
      <c r="T876" s="165"/>
      <c r="U876" s="165"/>
      <c r="V876" s="165"/>
      <c r="W876" s="165"/>
      <c r="X876" s="165"/>
      <c r="Y876" s="165"/>
      <c r="Z876" s="165"/>
    </row>
    <row r="877" spans="16:26" ht="10.199999999999999" customHeight="1">
      <c r="P877" s="165"/>
      <c r="Q877" s="165"/>
      <c r="R877" s="165"/>
      <c r="S877" s="165"/>
      <c r="T877" s="165"/>
      <c r="U877" s="165"/>
      <c r="V877" s="165"/>
      <c r="W877" s="165"/>
      <c r="X877" s="165"/>
      <c r="Y877" s="165"/>
      <c r="Z877" s="165"/>
    </row>
    <row r="878" spans="16:26" ht="10.199999999999999" customHeight="1">
      <c r="P878" s="165"/>
      <c r="Q878" s="165"/>
      <c r="R878" s="165"/>
      <c r="S878" s="165"/>
      <c r="T878" s="165"/>
      <c r="U878" s="165"/>
      <c r="V878" s="165"/>
      <c r="W878" s="165"/>
      <c r="X878" s="165"/>
      <c r="Y878" s="165"/>
      <c r="Z878" s="165"/>
    </row>
    <row r="879" spans="16:26" ht="10.199999999999999" customHeight="1">
      <c r="P879" s="165"/>
      <c r="Q879" s="165"/>
      <c r="R879" s="165"/>
      <c r="S879" s="165"/>
      <c r="T879" s="165"/>
      <c r="U879" s="165"/>
      <c r="V879" s="165"/>
      <c r="W879" s="165"/>
      <c r="X879" s="165"/>
      <c r="Y879" s="165"/>
      <c r="Z879" s="165"/>
    </row>
    <row r="880" spans="16:26" ht="10.199999999999999" customHeight="1">
      <c r="P880" s="165"/>
      <c r="Q880" s="165"/>
      <c r="R880" s="165"/>
      <c r="S880" s="165"/>
      <c r="T880" s="165"/>
      <c r="U880" s="165"/>
      <c r="V880" s="165"/>
      <c r="W880" s="165"/>
      <c r="X880" s="165"/>
      <c r="Y880" s="165"/>
      <c r="Z880" s="165"/>
    </row>
    <row r="881" spans="16:26" ht="10.199999999999999" customHeight="1">
      <c r="P881" s="165"/>
      <c r="Q881" s="165"/>
      <c r="R881" s="165"/>
      <c r="S881" s="165"/>
      <c r="T881" s="165"/>
      <c r="U881" s="165"/>
      <c r="V881" s="165"/>
      <c r="W881" s="165"/>
      <c r="X881" s="165"/>
      <c r="Y881" s="165"/>
      <c r="Z881" s="165"/>
    </row>
    <row r="882" spans="16:26" ht="10.199999999999999" customHeight="1">
      <c r="P882" s="165"/>
      <c r="Q882" s="165"/>
      <c r="R882" s="165"/>
      <c r="S882" s="165"/>
      <c r="T882" s="165"/>
      <c r="U882" s="165"/>
      <c r="V882" s="165"/>
      <c r="W882" s="165"/>
      <c r="X882" s="165"/>
      <c r="Y882" s="165"/>
      <c r="Z882" s="165"/>
    </row>
    <row r="883" spans="16:26" ht="10.199999999999999" customHeight="1">
      <c r="P883" s="165"/>
      <c r="Q883" s="165"/>
      <c r="R883" s="165"/>
      <c r="S883" s="165"/>
      <c r="T883" s="165"/>
      <c r="U883" s="165"/>
      <c r="V883" s="165"/>
      <c r="W883" s="165"/>
      <c r="X883" s="165"/>
      <c r="Y883" s="165"/>
      <c r="Z883" s="165"/>
    </row>
    <row r="884" spans="16:26" ht="10.199999999999999" customHeight="1">
      <c r="P884" s="165"/>
      <c r="Q884" s="165"/>
      <c r="R884" s="165"/>
      <c r="S884" s="165"/>
      <c r="T884" s="165"/>
      <c r="U884" s="165"/>
      <c r="V884" s="165"/>
      <c r="W884" s="165"/>
      <c r="X884" s="165"/>
      <c r="Y884" s="165"/>
      <c r="Z884" s="165"/>
    </row>
  </sheetData>
  <sheetProtection password="83B1" sheet="1" objects="1" scenarios="1" selectLockedCells="1"/>
  <pageMargins left="0.75" right="0.75" top="1" bottom="1" header="0.5" footer="0.5"/>
  <pageSetup orientation="portrait" horizontalDpi="1200" verticalDpi="12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Z884"/>
  <sheetViews>
    <sheetView workbookViewId="0">
      <selection activeCell="P1" sqref="P1"/>
    </sheetView>
  </sheetViews>
  <sheetFormatPr defaultRowHeight="10.199999999999999" customHeight="1"/>
  <cols>
    <col min="1" max="15" width="8.88671875" style="98"/>
    <col min="16" max="26" width="8.88671875" style="166"/>
    <col min="27" max="16384" width="8.88671875" style="98"/>
  </cols>
  <sheetData>
    <row r="1" spans="2:26" ht="10.199999999999999" customHeight="1">
      <c r="B1" s="98" t="s">
        <v>144</v>
      </c>
      <c r="C1" s="98" t="s">
        <v>145</v>
      </c>
      <c r="D1" s="98" t="s">
        <v>146</v>
      </c>
      <c r="E1" s="98" t="s">
        <v>147</v>
      </c>
      <c r="F1" s="98" t="s">
        <v>148</v>
      </c>
      <c r="G1" s="98" t="s">
        <v>149</v>
      </c>
      <c r="H1" s="98" t="s">
        <v>150</v>
      </c>
      <c r="I1" s="98" t="s">
        <v>151</v>
      </c>
      <c r="J1" s="98" t="s">
        <v>152</v>
      </c>
      <c r="P1" s="167"/>
      <c r="Q1" s="167"/>
      <c r="R1" s="167"/>
      <c r="S1" s="167"/>
      <c r="T1" s="167"/>
      <c r="U1" s="167"/>
      <c r="V1" s="167"/>
      <c r="W1" s="167"/>
      <c r="X1" s="167"/>
      <c r="Y1" s="167"/>
      <c r="Z1" s="167"/>
    </row>
    <row r="2" spans="2:26" ht="10.199999999999999" customHeight="1">
      <c r="B2" s="98" t="s">
        <v>153</v>
      </c>
      <c r="C2" s="98" t="s">
        <v>154</v>
      </c>
      <c r="D2" s="98" t="s">
        <v>154</v>
      </c>
      <c r="E2" s="98" t="s">
        <v>155</v>
      </c>
      <c r="F2" s="98" t="s">
        <v>155</v>
      </c>
      <c r="G2" s="98" t="s">
        <v>156</v>
      </c>
      <c r="H2" s="98" t="s">
        <v>157</v>
      </c>
      <c r="I2" s="98" t="s">
        <v>158</v>
      </c>
      <c r="J2" s="98" t="s">
        <v>159</v>
      </c>
      <c r="K2" s="98" t="s">
        <v>160</v>
      </c>
      <c r="L2" s="98" t="s">
        <v>161</v>
      </c>
      <c r="P2" s="167"/>
      <c r="Q2" s="167"/>
      <c r="R2" s="167"/>
      <c r="S2" s="167"/>
      <c r="T2" s="167"/>
      <c r="U2" s="167"/>
      <c r="V2" s="167"/>
      <c r="W2" s="167"/>
      <c r="X2" s="167"/>
      <c r="Y2" s="167"/>
      <c r="Z2" s="167"/>
    </row>
    <row r="3" spans="2:26" ht="10.199999999999999" customHeight="1">
      <c r="P3" s="167"/>
      <c r="Q3" s="167"/>
      <c r="R3" s="167"/>
      <c r="S3" s="167"/>
      <c r="T3" s="167"/>
      <c r="U3" s="167"/>
      <c r="V3" s="167"/>
      <c r="W3" s="167"/>
      <c r="X3" s="167"/>
      <c r="Y3" s="167"/>
      <c r="Z3" s="167"/>
    </row>
    <row r="4" spans="2:26" ht="10.199999999999999" customHeight="1">
      <c r="B4" s="98" t="s">
        <v>162</v>
      </c>
      <c r="C4" s="95" t="str">
        <f ca="1">IF(P1="","","L"&amp;MID(INDIRECT("P"&amp;L4),6,2))</f>
        <v/>
      </c>
      <c r="D4" s="95" t="str">
        <f ca="1">IF(P1="","",MID(INDIRECT("P"&amp;L4),SEARCH("(",INDIRECT("P"&amp;L4),1)+1,3))</f>
        <v/>
      </c>
      <c r="E4" s="95" t="str">
        <f ca="1">IF(P1="","",MID(INDIRECT("P"&amp;L4),SEARCH(")",INDIRECT("P"&amp;L4),1)+2,LEN(INDIRECT("P"&amp;L4))))</f>
        <v/>
      </c>
      <c r="F4" s="95"/>
      <c r="G4" s="95"/>
      <c r="H4" s="95"/>
      <c r="I4" s="95"/>
      <c r="J4" s="95"/>
      <c r="K4" s="95"/>
      <c r="L4" s="95" t="str">
        <f>IF(P1="","",MATCH("CASE*",P1:P10,0))</f>
        <v/>
      </c>
      <c r="M4" s="99">
        <f>ROUND(COUNT(P:P)*1.6,0)</f>
        <v>0</v>
      </c>
      <c r="P4" s="167"/>
      <c r="Q4" s="167"/>
      <c r="R4" s="167"/>
      <c r="S4" s="167"/>
      <c r="T4" s="167"/>
      <c r="U4" s="167"/>
      <c r="V4" s="167"/>
      <c r="W4" s="167"/>
      <c r="X4" s="167"/>
      <c r="Y4" s="167"/>
      <c r="Z4" s="167"/>
    </row>
    <row r="5" spans="2:26" ht="10.199999999999999" customHeight="1">
      <c r="P5" s="167"/>
      <c r="Q5" s="167"/>
      <c r="R5" s="167"/>
      <c r="S5" s="167"/>
      <c r="T5" s="167"/>
      <c r="U5" s="167"/>
      <c r="V5" s="167"/>
      <c r="W5" s="167"/>
      <c r="X5" s="167"/>
      <c r="Y5" s="167"/>
      <c r="Z5" s="167"/>
    </row>
    <row r="6" spans="2:26" ht="10.199999999999999" customHeight="1">
      <c r="B6" s="97" t="str">
        <f>IF(Calculation!BE11="","",Calculation!BE11)</f>
        <v/>
      </c>
      <c r="C6" s="99" t="str">
        <f t="shared" ref="C6:L21" ca="1" si="0">IF($M$4=0,"",VLOOKUP($B6,INDIRECT("$P$1:$Z$"&amp;$M$4),COLUMN()-1,0))</f>
        <v/>
      </c>
      <c r="D6" s="99" t="str">
        <f t="shared" ca="1" si="0"/>
        <v/>
      </c>
      <c r="E6" s="99" t="str">
        <f t="shared" ca="1" si="0"/>
        <v/>
      </c>
      <c r="F6" s="99" t="str">
        <f t="shared" ca="1" si="0"/>
        <v/>
      </c>
      <c r="G6" s="99" t="str">
        <f t="shared" ca="1" si="0"/>
        <v/>
      </c>
      <c r="H6" s="99" t="str">
        <f t="shared" ca="1" si="0"/>
        <v/>
      </c>
      <c r="I6" s="99" t="str">
        <f t="shared" ca="1" si="0"/>
        <v/>
      </c>
      <c r="J6" s="99" t="str">
        <f t="shared" ca="1" si="0"/>
        <v/>
      </c>
      <c r="K6" s="99" t="str">
        <f t="shared" ca="1" si="0"/>
        <v/>
      </c>
      <c r="L6" s="99" t="str">
        <f t="shared" ca="1" si="0"/>
        <v/>
      </c>
      <c r="P6" s="167"/>
      <c r="Q6" s="167"/>
      <c r="R6" s="167"/>
      <c r="S6" s="167"/>
      <c r="T6" s="167"/>
      <c r="U6" s="167"/>
      <c r="V6" s="167"/>
      <c r="W6" s="167"/>
      <c r="X6" s="167"/>
      <c r="Y6" s="167"/>
      <c r="Z6" s="167"/>
    </row>
    <row r="7" spans="2:26" ht="10.199999999999999" customHeight="1">
      <c r="B7" s="97" t="str">
        <f>IF(Calculation!BE12="","",Calculation!BE12)</f>
        <v/>
      </c>
      <c r="C7" s="99" t="str">
        <f t="shared" ca="1" si="0"/>
        <v/>
      </c>
      <c r="D7" s="99" t="str">
        <f t="shared" ca="1" si="0"/>
        <v/>
      </c>
      <c r="E7" s="99" t="str">
        <f t="shared" ca="1" si="0"/>
        <v/>
      </c>
      <c r="F7" s="99" t="str">
        <f t="shared" ca="1" si="0"/>
        <v/>
      </c>
      <c r="G7" s="99" t="str">
        <f t="shared" ca="1" si="0"/>
        <v/>
      </c>
      <c r="H7" s="99" t="str">
        <f t="shared" ca="1" si="0"/>
        <v/>
      </c>
      <c r="I7" s="99" t="str">
        <f t="shared" ca="1" si="0"/>
        <v/>
      </c>
      <c r="J7" s="99" t="str">
        <f t="shared" ca="1" si="0"/>
        <v/>
      </c>
      <c r="K7" s="99" t="str">
        <f t="shared" ca="1" si="0"/>
        <v/>
      </c>
      <c r="L7" s="99" t="str">
        <f t="shared" ca="1" si="0"/>
        <v/>
      </c>
      <c r="P7" s="167"/>
      <c r="Q7" s="167"/>
      <c r="R7" s="167"/>
      <c r="S7" s="167"/>
      <c r="T7" s="167"/>
      <c r="U7" s="167"/>
      <c r="V7" s="167"/>
      <c r="W7" s="167"/>
      <c r="X7" s="167"/>
      <c r="Y7" s="167"/>
      <c r="Z7" s="167"/>
    </row>
    <row r="8" spans="2:26" ht="10.199999999999999" customHeight="1">
      <c r="B8" s="97" t="str">
        <f>IF(Calculation!BE13="","",Calculation!BE13)</f>
        <v/>
      </c>
      <c r="C8" s="99" t="str">
        <f t="shared" ca="1" si="0"/>
        <v/>
      </c>
      <c r="D8" s="99" t="str">
        <f t="shared" ca="1" si="0"/>
        <v/>
      </c>
      <c r="E8" s="99" t="str">
        <f t="shared" ca="1" si="0"/>
        <v/>
      </c>
      <c r="F8" s="99" t="str">
        <f t="shared" ca="1" si="0"/>
        <v/>
      </c>
      <c r="G8" s="99" t="str">
        <f t="shared" ca="1" si="0"/>
        <v/>
      </c>
      <c r="H8" s="99" t="str">
        <f t="shared" ca="1" si="0"/>
        <v/>
      </c>
      <c r="I8" s="99" t="str">
        <f t="shared" ca="1" si="0"/>
        <v/>
      </c>
      <c r="J8" s="99" t="str">
        <f t="shared" ca="1" si="0"/>
        <v/>
      </c>
      <c r="K8" s="99" t="str">
        <f t="shared" ca="1" si="0"/>
        <v/>
      </c>
      <c r="L8" s="99" t="str">
        <f t="shared" ca="1" si="0"/>
        <v/>
      </c>
      <c r="P8" s="169"/>
      <c r="Q8" s="169"/>
      <c r="R8" s="169"/>
      <c r="S8" s="169"/>
      <c r="T8" s="169"/>
      <c r="U8" s="169"/>
      <c r="V8" s="169"/>
      <c r="W8" s="169"/>
      <c r="X8" s="169"/>
      <c r="Y8" s="169"/>
      <c r="Z8" s="169"/>
    </row>
    <row r="9" spans="2:26" ht="10.199999999999999" customHeight="1">
      <c r="B9" s="97" t="str">
        <f>IF(Calculation!BE14="","",Calculation!BE14)</f>
        <v/>
      </c>
      <c r="C9" s="99" t="str">
        <f t="shared" ca="1" si="0"/>
        <v/>
      </c>
      <c r="D9" s="99" t="str">
        <f t="shared" ca="1" si="0"/>
        <v/>
      </c>
      <c r="E9" s="99" t="str">
        <f t="shared" ca="1" si="0"/>
        <v/>
      </c>
      <c r="F9" s="99" t="str">
        <f t="shared" ca="1" si="0"/>
        <v/>
      </c>
      <c r="G9" s="99" t="str">
        <f t="shared" ca="1" si="0"/>
        <v/>
      </c>
      <c r="H9" s="99" t="str">
        <f t="shared" ca="1" si="0"/>
        <v/>
      </c>
      <c r="I9" s="99" t="str">
        <f t="shared" ca="1" si="0"/>
        <v/>
      </c>
      <c r="J9" s="99" t="str">
        <f t="shared" ca="1" si="0"/>
        <v/>
      </c>
      <c r="K9" s="99" t="str">
        <f t="shared" ca="1" si="0"/>
        <v/>
      </c>
      <c r="L9" s="99" t="str">
        <f t="shared" ca="1" si="0"/>
        <v/>
      </c>
      <c r="P9" s="167"/>
      <c r="Q9" s="167"/>
      <c r="R9" s="167"/>
      <c r="S9" s="167"/>
      <c r="T9" s="167"/>
      <c r="U9" s="167"/>
      <c r="V9" s="167"/>
      <c r="W9" s="167"/>
      <c r="X9" s="167"/>
      <c r="Y9" s="167"/>
      <c r="Z9" s="167"/>
    </row>
    <row r="10" spans="2:26" ht="10.199999999999999" customHeight="1">
      <c r="B10" s="97" t="str">
        <f>IF(Calculation!BE15="","",Calculation!BE15)</f>
        <v/>
      </c>
      <c r="C10" s="99" t="str">
        <f t="shared" ca="1" si="0"/>
        <v/>
      </c>
      <c r="D10" s="99" t="str">
        <f t="shared" ca="1" si="0"/>
        <v/>
      </c>
      <c r="E10" s="99" t="str">
        <f t="shared" ca="1" si="0"/>
        <v/>
      </c>
      <c r="F10" s="99" t="str">
        <f t="shared" ca="1" si="0"/>
        <v/>
      </c>
      <c r="G10" s="99" t="str">
        <f t="shared" ca="1" si="0"/>
        <v/>
      </c>
      <c r="H10" s="99" t="str">
        <f t="shared" ca="1" si="0"/>
        <v/>
      </c>
      <c r="I10" s="99" t="str">
        <f t="shared" ca="1" si="0"/>
        <v/>
      </c>
      <c r="J10" s="99" t="str">
        <f t="shared" ca="1" si="0"/>
        <v/>
      </c>
      <c r="K10" s="99" t="str">
        <f t="shared" ca="1" si="0"/>
        <v/>
      </c>
      <c r="L10" s="99" t="str">
        <f t="shared" ca="1" si="0"/>
        <v/>
      </c>
      <c r="P10" s="167"/>
      <c r="Q10" s="167"/>
      <c r="R10" s="167"/>
      <c r="S10" s="167"/>
      <c r="T10" s="167"/>
      <c r="U10" s="167"/>
      <c r="V10" s="167"/>
      <c r="W10" s="167"/>
      <c r="X10" s="167"/>
      <c r="Y10" s="167"/>
      <c r="Z10" s="167"/>
    </row>
    <row r="11" spans="2:26" ht="10.199999999999999" customHeight="1">
      <c r="B11" s="97" t="str">
        <f>IF(Calculation!BE16="","",Calculation!BE16)</f>
        <v/>
      </c>
      <c r="C11" s="99" t="str">
        <f t="shared" ca="1" si="0"/>
        <v/>
      </c>
      <c r="D11" s="99" t="str">
        <f t="shared" ca="1" si="0"/>
        <v/>
      </c>
      <c r="E11" s="99" t="str">
        <f t="shared" ca="1" si="0"/>
        <v/>
      </c>
      <c r="F11" s="99" t="str">
        <f t="shared" ca="1" si="0"/>
        <v/>
      </c>
      <c r="G11" s="99" t="str">
        <f t="shared" ca="1" si="0"/>
        <v/>
      </c>
      <c r="H11" s="99" t="str">
        <f t="shared" ca="1" si="0"/>
        <v/>
      </c>
      <c r="I11" s="99" t="str">
        <f t="shared" ca="1" si="0"/>
        <v/>
      </c>
      <c r="J11" s="99" t="str">
        <f t="shared" ca="1" si="0"/>
        <v/>
      </c>
      <c r="K11" s="99" t="str">
        <f t="shared" ca="1" si="0"/>
        <v/>
      </c>
      <c r="L11" s="99" t="str">
        <f t="shared" ca="1" si="0"/>
        <v/>
      </c>
      <c r="P11" s="167"/>
      <c r="Q11" s="167"/>
      <c r="R11" s="167"/>
      <c r="S11" s="167"/>
      <c r="T11" s="167"/>
      <c r="U11" s="167"/>
      <c r="V11" s="167"/>
      <c r="W11" s="167"/>
      <c r="X11" s="167"/>
      <c r="Y11" s="167"/>
      <c r="Z11" s="167"/>
    </row>
    <row r="12" spans="2:26" ht="10.199999999999999" customHeight="1">
      <c r="B12" s="97" t="str">
        <f>IF(Calculation!BE17="","",Calculation!BE17)</f>
        <v/>
      </c>
      <c r="C12" s="99" t="str">
        <f t="shared" ca="1" si="0"/>
        <v/>
      </c>
      <c r="D12" s="99" t="str">
        <f t="shared" ca="1" si="0"/>
        <v/>
      </c>
      <c r="E12" s="99" t="str">
        <f t="shared" ca="1" si="0"/>
        <v/>
      </c>
      <c r="F12" s="99" t="str">
        <f t="shared" ca="1" si="0"/>
        <v/>
      </c>
      <c r="G12" s="99" t="str">
        <f t="shared" ca="1" si="0"/>
        <v/>
      </c>
      <c r="H12" s="99" t="str">
        <f t="shared" ca="1" si="0"/>
        <v/>
      </c>
      <c r="I12" s="99" t="str">
        <f t="shared" ca="1" si="0"/>
        <v/>
      </c>
      <c r="J12" s="99" t="str">
        <f t="shared" ca="1" si="0"/>
        <v/>
      </c>
      <c r="K12" s="99" t="str">
        <f t="shared" ca="1" si="0"/>
        <v/>
      </c>
      <c r="L12" s="99" t="str">
        <f t="shared" ca="1" si="0"/>
        <v/>
      </c>
      <c r="P12" s="169"/>
      <c r="Q12" s="169"/>
      <c r="R12" s="169"/>
      <c r="S12" s="169"/>
      <c r="T12" s="169"/>
      <c r="U12" s="169"/>
      <c r="V12" s="169"/>
      <c r="W12" s="169"/>
      <c r="X12" s="169"/>
      <c r="Y12" s="169"/>
      <c r="Z12" s="169"/>
    </row>
    <row r="13" spans="2:26" ht="10.199999999999999" customHeight="1">
      <c r="B13" s="97" t="str">
        <f>IF(Calculation!BE18="","",Calculation!BE18)</f>
        <v/>
      </c>
      <c r="C13" s="99" t="str">
        <f t="shared" ca="1" si="0"/>
        <v/>
      </c>
      <c r="D13" s="99" t="str">
        <f t="shared" ca="1" si="0"/>
        <v/>
      </c>
      <c r="E13" s="99" t="str">
        <f t="shared" ca="1" si="0"/>
        <v/>
      </c>
      <c r="F13" s="99" t="str">
        <f t="shared" ca="1" si="0"/>
        <v/>
      </c>
      <c r="G13" s="99" t="str">
        <f t="shared" ca="1" si="0"/>
        <v/>
      </c>
      <c r="H13" s="99" t="str">
        <f t="shared" ca="1" si="0"/>
        <v/>
      </c>
      <c r="I13" s="99" t="str">
        <f t="shared" ca="1" si="0"/>
        <v/>
      </c>
      <c r="J13" s="99" t="str">
        <f t="shared" ca="1" si="0"/>
        <v/>
      </c>
      <c r="K13" s="99" t="str">
        <f t="shared" ca="1" si="0"/>
        <v/>
      </c>
      <c r="L13" s="99" t="str">
        <f t="shared" ca="1" si="0"/>
        <v/>
      </c>
      <c r="P13" s="167"/>
      <c r="Q13" s="167"/>
      <c r="R13" s="167"/>
      <c r="S13" s="167"/>
      <c r="T13" s="167"/>
      <c r="U13" s="167"/>
      <c r="V13" s="167"/>
      <c r="W13" s="167"/>
      <c r="X13" s="167"/>
      <c r="Y13" s="167"/>
      <c r="Z13" s="167"/>
    </row>
    <row r="14" spans="2:26" ht="10.199999999999999" customHeight="1">
      <c r="B14" s="97" t="str">
        <f>IF(Calculation!BE19="","",Calculation!BE19)</f>
        <v/>
      </c>
      <c r="C14" s="99" t="str">
        <f t="shared" ca="1" si="0"/>
        <v/>
      </c>
      <c r="D14" s="99" t="str">
        <f t="shared" ca="1" si="0"/>
        <v/>
      </c>
      <c r="E14" s="99" t="str">
        <f t="shared" ca="1" si="0"/>
        <v/>
      </c>
      <c r="F14" s="99" t="str">
        <f t="shared" ca="1" si="0"/>
        <v/>
      </c>
      <c r="G14" s="99" t="str">
        <f t="shared" ca="1" si="0"/>
        <v/>
      </c>
      <c r="H14" s="99" t="str">
        <f t="shared" ca="1" si="0"/>
        <v/>
      </c>
      <c r="I14" s="99" t="str">
        <f t="shared" ca="1" si="0"/>
        <v/>
      </c>
      <c r="J14" s="99" t="str">
        <f t="shared" ca="1" si="0"/>
        <v/>
      </c>
      <c r="K14" s="99" t="str">
        <f t="shared" ca="1" si="0"/>
        <v/>
      </c>
      <c r="L14" s="99" t="str">
        <f t="shared" ca="1" si="0"/>
        <v/>
      </c>
      <c r="P14" s="167"/>
      <c r="Q14" s="167"/>
      <c r="R14" s="167"/>
      <c r="S14" s="167"/>
      <c r="T14" s="167"/>
      <c r="U14" s="167"/>
      <c r="V14" s="167"/>
      <c r="W14" s="167"/>
      <c r="X14" s="167"/>
      <c r="Y14" s="167"/>
      <c r="Z14" s="167"/>
    </row>
    <row r="15" spans="2:26" ht="10.199999999999999" customHeight="1">
      <c r="B15" s="97" t="str">
        <f>IF(Calculation!BE20="","",Calculation!BE20)</f>
        <v/>
      </c>
      <c r="C15" s="99" t="str">
        <f t="shared" ca="1" si="0"/>
        <v/>
      </c>
      <c r="D15" s="99" t="str">
        <f t="shared" ca="1" si="0"/>
        <v/>
      </c>
      <c r="E15" s="99" t="str">
        <f t="shared" ca="1" si="0"/>
        <v/>
      </c>
      <c r="F15" s="99" t="str">
        <f t="shared" ca="1" si="0"/>
        <v/>
      </c>
      <c r="G15" s="99" t="str">
        <f t="shared" ca="1" si="0"/>
        <v/>
      </c>
      <c r="H15" s="99" t="str">
        <f t="shared" ca="1" si="0"/>
        <v/>
      </c>
      <c r="I15" s="99" t="str">
        <f t="shared" ca="1" si="0"/>
        <v/>
      </c>
      <c r="J15" s="99" t="str">
        <f t="shared" ca="1" si="0"/>
        <v/>
      </c>
      <c r="K15" s="99" t="str">
        <f t="shared" ca="1" si="0"/>
        <v/>
      </c>
      <c r="L15" s="99" t="str">
        <f t="shared" ca="1" si="0"/>
        <v/>
      </c>
      <c r="P15" s="169"/>
      <c r="Q15" s="169"/>
      <c r="R15" s="169"/>
      <c r="S15" s="169"/>
      <c r="T15" s="169"/>
      <c r="U15" s="169"/>
      <c r="V15" s="169"/>
      <c r="W15" s="169"/>
      <c r="X15" s="169"/>
      <c r="Y15" s="169"/>
      <c r="Z15" s="169"/>
    </row>
    <row r="16" spans="2:26" ht="10.199999999999999" customHeight="1">
      <c r="B16" s="97" t="str">
        <f>IF(Calculation!BE21="","",Calculation!BE21)</f>
        <v/>
      </c>
      <c r="C16" s="99" t="str">
        <f t="shared" ca="1" si="0"/>
        <v/>
      </c>
      <c r="D16" s="99" t="str">
        <f t="shared" ca="1" si="0"/>
        <v/>
      </c>
      <c r="E16" s="99" t="str">
        <f t="shared" ca="1" si="0"/>
        <v/>
      </c>
      <c r="F16" s="99" t="str">
        <f t="shared" ca="1" si="0"/>
        <v/>
      </c>
      <c r="G16" s="99" t="str">
        <f t="shared" ca="1" si="0"/>
        <v/>
      </c>
      <c r="H16" s="99" t="str">
        <f t="shared" ca="1" si="0"/>
        <v/>
      </c>
      <c r="I16" s="99" t="str">
        <f t="shared" ca="1" si="0"/>
        <v/>
      </c>
      <c r="J16" s="99" t="str">
        <f t="shared" ca="1" si="0"/>
        <v/>
      </c>
      <c r="K16" s="99" t="str">
        <f t="shared" ca="1" si="0"/>
        <v/>
      </c>
      <c r="L16" s="99" t="str">
        <f t="shared" ca="1" si="0"/>
        <v/>
      </c>
      <c r="P16" s="167"/>
      <c r="Q16" s="167"/>
      <c r="R16" s="167"/>
      <c r="S16" s="167"/>
      <c r="T16" s="167"/>
      <c r="U16" s="167"/>
      <c r="V16" s="167"/>
      <c r="W16" s="167"/>
      <c r="X16" s="167"/>
      <c r="Y16" s="167"/>
      <c r="Z16" s="167"/>
    </row>
    <row r="17" spans="2:26" ht="10.199999999999999" customHeight="1">
      <c r="B17" s="97" t="str">
        <f>IF(Calculation!BE22="","",Calculation!BE22)</f>
        <v/>
      </c>
      <c r="C17" s="99" t="str">
        <f t="shared" ca="1" si="0"/>
        <v/>
      </c>
      <c r="D17" s="99" t="str">
        <f t="shared" ca="1" si="0"/>
        <v/>
      </c>
      <c r="E17" s="99" t="str">
        <f t="shared" ca="1" si="0"/>
        <v/>
      </c>
      <c r="F17" s="99" t="str">
        <f t="shared" ca="1" si="0"/>
        <v/>
      </c>
      <c r="G17" s="99" t="str">
        <f t="shared" ca="1" si="0"/>
        <v/>
      </c>
      <c r="H17" s="99" t="str">
        <f t="shared" ca="1" si="0"/>
        <v/>
      </c>
      <c r="I17" s="99" t="str">
        <f t="shared" ca="1" si="0"/>
        <v/>
      </c>
      <c r="J17" s="99" t="str">
        <f t="shared" ca="1" si="0"/>
        <v/>
      </c>
      <c r="K17" s="99" t="str">
        <f t="shared" ca="1" si="0"/>
        <v/>
      </c>
      <c r="L17" s="99" t="str">
        <f t="shared" ca="1" si="0"/>
        <v/>
      </c>
      <c r="P17" s="167"/>
      <c r="Q17" s="167"/>
      <c r="R17" s="167"/>
      <c r="S17" s="167"/>
      <c r="T17" s="167"/>
      <c r="U17" s="167"/>
      <c r="V17" s="167"/>
      <c r="W17" s="167"/>
      <c r="X17" s="167"/>
      <c r="Y17" s="167"/>
      <c r="Z17" s="167"/>
    </row>
    <row r="18" spans="2:26" ht="10.199999999999999" customHeight="1">
      <c r="B18" s="97" t="str">
        <f>IF(Calculation!BE23="","",Calculation!BE23)</f>
        <v/>
      </c>
      <c r="C18" s="99" t="str">
        <f t="shared" ca="1" si="0"/>
        <v/>
      </c>
      <c r="D18" s="99" t="str">
        <f t="shared" ca="1" si="0"/>
        <v/>
      </c>
      <c r="E18" s="99" t="str">
        <f t="shared" ca="1" si="0"/>
        <v/>
      </c>
      <c r="F18" s="99" t="str">
        <f t="shared" ca="1" si="0"/>
        <v/>
      </c>
      <c r="G18" s="99" t="str">
        <f t="shared" ca="1" si="0"/>
        <v/>
      </c>
      <c r="H18" s="99" t="str">
        <f t="shared" ca="1" si="0"/>
        <v/>
      </c>
      <c r="I18" s="99" t="str">
        <f t="shared" ca="1" si="0"/>
        <v/>
      </c>
      <c r="J18" s="99" t="str">
        <f t="shared" ca="1" si="0"/>
        <v/>
      </c>
      <c r="K18" s="99" t="str">
        <f t="shared" ca="1" si="0"/>
        <v/>
      </c>
      <c r="L18" s="99" t="str">
        <f t="shared" ca="1" si="0"/>
        <v/>
      </c>
      <c r="P18" s="169"/>
      <c r="Q18" s="169"/>
      <c r="R18" s="169"/>
      <c r="S18" s="169"/>
      <c r="T18" s="169"/>
      <c r="U18" s="169"/>
      <c r="V18" s="169"/>
      <c r="W18" s="169"/>
      <c r="X18" s="169"/>
      <c r="Y18" s="169"/>
      <c r="Z18" s="169"/>
    </row>
    <row r="19" spans="2:26" ht="10.199999999999999" customHeight="1">
      <c r="B19" s="97" t="str">
        <f>IF(Calculation!BE24="","",Calculation!BE24)</f>
        <v/>
      </c>
      <c r="C19" s="99" t="str">
        <f t="shared" ca="1" si="0"/>
        <v/>
      </c>
      <c r="D19" s="99" t="str">
        <f t="shared" ca="1" si="0"/>
        <v/>
      </c>
      <c r="E19" s="99" t="str">
        <f t="shared" ca="1" si="0"/>
        <v/>
      </c>
      <c r="F19" s="99" t="str">
        <f t="shared" ca="1" si="0"/>
        <v/>
      </c>
      <c r="G19" s="99" t="str">
        <f t="shared" ca="1" si="0"/>
        <v/>
      </c>
      <c r="H19" s="99" t="str">
        <f t="shared" ca="1" si="0"/>
        <v/>
      </c>
      <c r="I19" s="99" t="str">
        <f t="shared" ca="1" si="0"/>
        <v/>
      </c>
      <c r="J19" s="99" t="str">
        <f t="shared" ca="1" si="0"/>
        <v/>
      </c>
      <c r="K19" s="99" t="str">
        <f t="shared" ca="1" si="0"/>
        <v/>
      </c>
      <c r="L19" s="99" t="str">
        <f t="shared" ca="1" si="0"/>
        <v/>
      </c>
      <c r="P19" s="167"/>
      <c r="Q19" s="167"/>
      <c r="R19" s="167"/>
      <c r="S19" s="167"/>
      <c r="T19" s="167"/>
      <c r="U19" s="167"/>
      <c r="V19" s="167"/>
      <c r="W19" s="167"/>
      <c r="X19" s="167"/>
      <c r="Y19" s="167"/>
      <c r="Z19" s="167"/>
    </row>
    <row r="20" spans="2:26" ht="10.199999999999999" customHeight="1">
      <c r="B20" s="97" t="str">
        <f>IF(Calculation!BE25="","",Calculation!BE25)</f>
        <v/>
      </c>
      <c r="C20" s="99" t="str">
        <f t="shared" ca="1" si="0"/>
        <v/>
      </c>
      <c r="D20" s="99" t="str">
        <f t="shared" ca="1" si="0"/>
        <v/>
      </c>
      <c r="E20" s="99" t="str">
        <f t="shared" ca="1" si="0"/>
        <v/>
      </c>
      <c r="F20" s="99" t="str">
        <f t="shared" ca="1" si="0"/>
        <v/>
      </c>
      <c r="G20" s="99" t="str">
        <f t="shared" ca="1" si="0"/>
        <v/>
      </c>
      <c r="H20" s="99" t="str">
        <f t="shared" ca="1" si="0"/>
        <v/>
      </c>
      <c r="I20" s="99" t="str">
        <f t="shared" ca="1" si="0"/>
        <v/>
      </c>
      <c r="J20" s="99" t="str">
        <f t="shared" ca="1" si="0"/>
        <v/>
      </c>
      <c r="K20" s="99" t="str">
        <f t="shared" ca="1" si="0"/>
        <v/>
      </c>
      <c r="L20" s="99" t="str">
        <f t="shared" ca="1" si="0"/>
        <v/>
      </c>
      <c r="P20" s="167"/>
      <c r="Q20" s="167"/>
      <c r="R20" s="167"/>
      <c r="S20" s="167"/>
      <c r="T20" s="167"/>
      <c r="U20" s="167"/>
      <c r="V20" s="167"/>
      <c r="W20" s="167"/>
      <c r="X20" s="167"/>
      <c r="Y20" s="167"/>
      <c r="Z20" s="167"/>
    </row>
    <row r="21" spans="2:26" ht="10.199999999999999" customHeight="1">
      <c r="B21" s="97" t="str">
        <f>IF(Calculation!BE26="","",Calculation!BE26)</f>
        <v/>
      </c>
      <c r="C21" s="99" t="str">
        <f t="shared" ca="1" si="0"/>
        <v/>
      </c>
      <c r="D21" s="99" t="str">
        <f t="shared" ca="1" si="0"/>
        <v/>
      </c>
      <c r="E21" s="99" t="str">
        <f t="shared" ca="1" si="0"/>
        <v/>
      </c>
      <c r="F21" s="99" t="str">
        <f t="shared" ca="1" si="0"/>
        <v/>
      </c>
      <c r="G21" s="99" t="str">
        <f t="shared" ca="1" si="0"/>
        <v/>
      </c>
      <c r="H21" s="99" t="str">
        <f t="shared" ca="1" si="0"/>
        <v/>
      </c>
      <c r="I21" s="99" t="str">
        <f t="shared" ca="1" si="0"/>
        <v/>
      </c>
      <c r="J21" s="99" t="str">
        <f t="shared" ca="1" si="0"/>
        <v/>
      </c>
      <c r="K21" s="99" t="str">
        <f t="shared" ca="1" si="0"/>
        <v/>
      </c>
      <c r="L21" s="99" t="str">
        <f t="shared" ca="1" si="0"/>
        <v/>
      </c>
      <c r="P21" s="169"/>
      <c r="Q21" s="169"/>
      <c r="R21" s="169"/>
      <c r="S21" s="169"/>
      <c r="T21" s="169"/>
      <c r="U21" s="169"/>
      <c r="V21" s="169"/>
      <c r="W21" s="169"/>
      <c r="X21" s="169"/>
      <c r="Y21" s="169"/>
      <c r="Z21" s="169"/>
    </row>
    <row r="22" spans="2:26" ht="10.199999999999999" customHeight="1">
      <c r="B22" s="97" t="str">
        <f>IF(Calculation!BE27="","",Calculation!BE27)</f>
        <v/>
      </c>
      <c r="C22" s="99" t="str">
        <f t="shared" ref="C22:L37" ca="1" si="1">IF($M$4=0,"",VLOOKUP($B22,INDIRECT("$P$1:$Z$"&amp;$M$4),COLUMN()-1,0))</f>
        <v/>
      </c>
      <c r="D22" s="99" t="str">
        <f t="shared" ca="1" si="1"/>
        <v/>
      </c>
      <c r="E22" s="99" t="str">
        <f t="shared" ca="1" si="1"/>
        <v/>
      </c>
      <c r="F22" s="99" t="str">
        <f t="shared" ca="1" si="1"/>
        <v/>
      </c>
      <c r="G22" s="99" t="str">
        <f t="shared" ca="1" si="1"/>
        <v/>
      </c>
      <c r="H22" s="99" t="str">
        <f t="shared" ca="1" si="1"/>
        <v/>
      </c>
      <c r="I22" s="99" t="str">
        <f t="shared" ca="1" si="1"/>
        <v/>
      </c>
      <c r="J22" s="99" t="str">
        <f t="shared" ca="1" si="1"/>
        <v/>
      </c>
      <c r="K22" s="99" t="str">
        <f t="shared" ca="1" si="1"/>
        <v/>
      </c>
      <c r="L22" s="99" t="str">
        <f t="shared" ca="1" si="1"/>
        <v/>
      </c>
      <c r="P22" s="167"/>
      <c r="Q22" s="167"/>
      <c r="R22" s="167"/>
      <c r="S22" s="167"/>
      <c r="T22" s="167"/>
      <c r="U22" s="167"/>
      <c r="V22" s="167"/>
      <c r="W22" s="167"/>
      <c r="X22" s="167"/>
      <c r="Y22" s="167"/>
      <c r="Z22" s="167"/>
    </row>
    <row r="23" spans="2:26" ht="10.199999999999999" customHeight="1">
      <c r="B23" s="97" t="str">
        <f>IF(Calculation!BE28="","",Calculation!BE28)</f>
        <v/>
      </c>
      <c r="C23" s="99" t="str">
        <f t="shared" ca="1" si="1"/>
        <v/>
      </c>
      <c r="D23" s="99" t="str">
        <f t="shared" ca="1" si="1"/>
        <v/>
      </c>
      <c r="E23" s="99" t="str">
        <f t="shared" ca="1" si="1"/>
        <v/>
      </c>
      <c r="F23" s="99" t="str">
        <f t="shared" ca="1" si="1"/>
        <v/>
      </c>
      <c r="G23" s="99" t="str">
        <f t="shared" ca="1" si="1"/>
        <v/>
      </c>
      <c r="H23" s="99" t="str">
        <f t="shared" ca="1" si="1"/>
        <v/>
      </c>
      <c r="I23" s="99" t="str">
        <f t="shared" ca="1" si="1"/>
        <v/>
      </c>
      <c r="J23" s="99" t="str">
        <f t="shared" ca="1" si="1"/>
        <v/>
      </c>
      <c r="K23" s="99" t="str">
        <f t="shared" ca="1" si="1"/>
        <v/>
      </c>
      <c r="L23" s="99" t="str">
        <f t="shared" ca="1" si="1"/>
        <v/>
      </c>
      <c r="P23" s="167"/>
      <c r="Q23" s="167"/>
      <c r="R23" s="167"/>
      <c r="S23" s="167"/>
      <c r="T23" s="167"/>
      <c r="U23" s="167"/>
      <c r="V23" s="167"/>
      <c r="W23" s="167"/>
      <c r="X23" s="167"/>
      <c r="Y23" s="167"/>
      <c r="Z23" s="167"/>
    </row>
    <row r="24" spans="2:26" ht="10.199999999999999" customHeight="1">
      <c r="B24" s="97" t="str">
        <f>IF(Calculation!BE29="","",Calculation!BE29)</f>
        <v/>
      </c>
      <c r="C24" s="99" t="str">
        <f t="shared" ca="1" si="1"/>
        <v/>
      </c>
      <c r="D24" s="99" t="str">
        <f t="shared" ca="1" si="1"/>
        <v/>
      </c>
      <c r="E24" s="99" t="str">
        <f t="shared" ca="1" si="1"/>
        <v/>
      </c>
      <c r="F24" s="99" t="str">
        <f t="shared" ca="1" si="1"/>
        <v/>
      </c>
      <c r="G24" s="99" t="str">
        <f t="shared" ca="1" si="1"/>
        <v/>
      </c>
      <c r="H24" s="99" t="str">
        <f t="shared" ca="1" si="1"/>
        <v/>
      </c>
      <c r="I24" s="99" t="str">
        <f t="shared" ca="1" si="1"/>
        <v/>
      </c>
      <c r="J24" s="99" t="str">
        <f t="shared" ca="1" si="1"/>
        <v/>
      </c>
      <c r="K24" s="99" t="str">
        <f t="shared" ca="1" si="1"/>
        <v/>
      </c>
      <c r="L24" s="99" t="str">
        <f t="shared" ca="1" si="1"/>
        <v/>
      </c>
      <c r="P24" s="169"/>
      <c r="Q24" s="169"/>
      <c r="R24" s="169"/>
      <c r="S24" s="169"/>
      <c r="T24" s="169"/>
      <c r="U24" s="169"/>
      <c r="V24" s="169"/>
      <c r="W24" s="169"/>
      <c r="X24" s="169"/>
      <c r="Y24" s="169"/>
      <c r="Z24" s="169"/>
    </row>
    <row r="25" spans="2:26" ht="10.199999999999999" customHeight="1">
      <c r="B25" s="97" t="str">
        <f>IF(Calculation!BE30="","",Calculation!BE30)</f>
        <v/>
      </c>
      <c r="C25" s="99" t="str">
        <f t="shared" ca="1" si="1"/>
        <v/>
      </c>
      <c r="D25" s="99" t="str">
        <f t="shared" ca="1" si="1"/>
        <v/>
      </c>
      <c r="E25" s="99" t="str">
        <f t="shared" ca="1" si="1"/>
        <v/>
      </c>
      <c r="F25" s="99" t="str">
        <f t="shared" ca="1" si="1"/>
        <v/>
      </c>
      <c r="G25" s="99" t="str">
        <f t="shared" ca="1" si="1"/>
        <v/>
      </c>
      <c r="H25" s="99" t="str">
        <f t="shared" ca="1" si="1"/>
        <v/>
      </c>
      <c r="I25" s="99" t="str">
        <f t="shared" ca="1" si="1"/>
        <v/>
      </c>
      <c r="J25" s="99" t="str">
        <f t="shared" ca="1" si="1"/>
        <v/>
      </c>
      <c r="K25" s="99" t="str">
        <f t="shared" ca="1" si="1"/>
        <v/>
      </c>
      <c r="L25" s="99" t="str">
        <f t="shared" ca="1" si="1"/>
        <v/>
      </c>
      <c r="P25" s="167"/>
      <c r="Q25" s="167"/>
      <c r="R25" s="167"/>
      <c r="S25" s="167"/>
      <c r="T25" s="167"/>
      <c r="U25" s="167"/>
      <c r="V25" s="167"/>
      <c r="W25" s="167"/>
      <c r="X25" s="167"/>
      <c r="Y25" s="167"/>
      <c r="Z25" s="167"/>
    </row>
    <row r="26" spans="2:26" ht="10.199999999999999" customHeight="1">
      <c r="B26" s="97" t="str">
        <f>IF(Calculation!BE31="","",Calculation!BE31)</f>
        <v/>
      </c>
      <c r="C26" s="99" t="str">
        <f t="shared" ca="1" si="1"/>
        <v/>
      </c>
      <c r="D26" s="99" t="str">
        <f t="shared" ca="1" si="1"/>
        <v/>
      </c>
      <c r="E26" s="99" t="str">
        <f t="shared" ca="1" si="1"/>
        <v/>
      </c>
      <c r="F26" s="99" t="str">
        <f t="shared" ca="1" si="1"/>
        <v/>
      </c>
      <c r="G26" s="99" t="str">
        <f t="shared" ca="1" si="1"/>
        <v/>
      </c>
      <c r="H26" s="99" t="str">
        <f t="shared" ca="1" si="1"/>
        <v/>
      </c>
      <c r="I26" s="99" t="str">
        <f t="shared" ca="1" si="1"/>
        <v/>
      </c>
      <c r="J26" s="99" t="str">
        <f t="shared" ca="1" si="1"/>
        <v/>
      </c>
      <c r="K26" s="99" t="str">
        <f t="shared" ca="1" si="1"/>
        <v/>
      </c>
      <c r="L26" s="99" t="str">
        <f t="shared" ca="1" si="1"/>
        <v/>
      </c>
      <c r="P26" s="167"/>
      <c r="Q26" s="167"/>
      <c r="R26" s="167"/>
      <c r="S26" s="167"/>
      <c r="T26" s="167"/>
      <c r="U26" s="167"/>
      <c r="V26" s="167"/>
      <c r="W26" s="167"/>
      <c r="X26" s="167"/>
      <c r="Y26" s="167"/>
      <c r="Z26" s="167"/>
    </row>
    <row r="27" spans="2:26" ht="10.199999999999999" customHeight="1">
      <c r="B27" s="97" t="str">
        <f>IF(Calculation!BE32="","",Calculation!BE32)</f>
        <v/>
      </c>
      <c r="C27" s="99" t="str">
        <f t="shared" ca="1" si="1"/>
        <v/>
      </c>
      <c r="D27" s="99" t="str">
        <f t="shared" ca="1" si="1"/>
        <v/>
      </c>
      <c r="E27" s="99" t="str">
        <f t="shared" ca="1" si="1"/>
        <v/>
      </c>
      <c r="F27" s="99" t="str">
        <f t="shared" ca="1" si="1"/>
        <v/>
      </c>
      <c r="G27" s="99" t="str">
        <f t="shared" ca="1" si="1"/>
        <v/>
      </c>
      <c r="H27" s="99" t="str">
        <f t="shared" ca="1" si="1"/>
        <v/>
      </c>
      <c r="I27" s="99" t="str">
        <f t="shared" ca="1" si="1"/>
        <v/>
      </c>
      <c r="J27" s="99" t="str">
        <f t="shared" ca="1" si="1"/>
        <v/>
      </c>
      <c r="K27" s="99" t="str">
        <f t="shared" ca="1" si="1"/>
        <v/>
      </c>
      <c r="L27" s="99" t="str">
        <f t="shared" ca="1" si="1"/>
        <v/>
      </c>
      <c r="P27" s="169"/>
      <c r="Q27" s="169"/>
      <c r="R27" s="169"/>
      <c r="S27" s="169"/>
      <c r="T27" s="169"/>
      <c r="U27" s="169"/>
      <c r="V27" s="169"/>
      <c r="W27" s="169"/>
      <c r="X27" s="169"/>
      <c r="Y27" s="169"/>
      <c r="Z27" s="169"/>
    </row>
    <row r="28" spans="2:26" ht="10.199999999999999" customHeight="1">
      <c r="B28" s="97" t="str">
        <f>IF(Calculation!BE33="","",Calculation!BE33)</f>
        <v/>
      </c>
      <c r="C28" s="99" t="str">
        <f t="shared" ca="1" si="1"/>
        <v/>
      </c>
      <c r="D28" s="99" t="str">
        <f t="shared" ca="1" si="1"/>
        <v/>
      </c>
      <c r="E28" s="99" t="str">
        <f t="shared" ca="1" si="1"/>
        <v/>
      </c>
      <c r="F28" s="99" t="str">
        <f t="shared" ca="1" si="1"/>
        <v/>
      </c>
      <c r="G28" s="99" t="str">
        <f t="shared" ca="1" si="1"/>
        <v/>
      </c>
      <c r="H28" s="99" t="str">
        <f t="shared" ca="1" si="1"/>
        <v/>
      </c>
      <c r="I28" s="99" t="str">
        <f t="shared" ca="1" si="1"/>
        <v/>
      </c>
      <c r="J28" s="99" t="str">
        <f t="shared" ca="1" si="1"/>
        <v/>
      </c>
      <c r="K28" s="99" t="str">
        <f t="shared" ca="1" si="1"/>
        <v/>
      </c>
      <c r="L28" s="99" t="str">
        <f t="shared" ca="1" si="1"/>
        <v/>
      </c>
      <c r="P28" s="167"/>
      <c r="Q28" s="167"/>
      <c r="R28" s="167"/>
      <c r="S28" s="167"/>
      <c r="T28" s="167"/>
      <c r="U28" s="167"/>
      <c r="V28" s="167"/>
      <c r="W28" s="167"/>
      <c r="X28" s="167"/>
      <c r="Y28" s="167"/>
      <c r="Z28" s="167"/>
    </row>
    <row r="29" spans="2:26" ht="10.199999999999999" customHeight="1">
      <c r="B29" s="97" t="str">
        <f>IF(Calculation!BE34="","",Calculation!BE34)</f>
        <v/>
      </c>
      <c r="C29" s="99" t="str">
        <f t="shared" ca="1" si="1"/>
        <v/>
      </c>
      <c r="D29" s="99" t="str">
        <f t="shared" ca="1" si="1"/>
        <v/>
      </c>
      <c r="E29" s="99" t="str">
        <f t="shared" ca="1" si="1"/>
        <v/>
      </c>
      <c r="F29" s="99" t="str">
        <f t="shared" ca="1" si="1"/>
        <v/>
      </c>
      <c r="G29" s="99" t="str">
        <f t="shared" ca="1" si="1"/>
        <v/>
      </c>
      <c r="H29" s="99" t="str">
        <f t="shared" ca="1" si="1"/>
        <v/>
      </c>
      <c r="I29" s="99" t="str">
        <f t="shared" ca="1" si="1"/>
        <v/>
      </c>
      <c r="J29" s="99" t="str">
        <f t="shared" ca="1" si="1"/>
        <v/>
      </c>
      <c r="K29" s="99" t="str">
        <f t="shared" ca="1" si="1"/>
        <v/>
      </c>
      <c r="L29" s="99" t="str">
        <f t="shared" ca="1" si="1"/>
        <v/>
      </c>
      <c r="P29" s="167"/>
      <c r="Q29" s="167"/>
      <c r="R29" s="167"/>
      <c r="S29" s="167"/>
      <c r="T29" s="167"/>
      <c r="U29" s="167"/>
      <c r="V29" s="167"/>
      <c r="W29" s="167"/>
      <c r="X29" s="167"/>
      <c r="Y29" s="167"/>
      <c r="Z29" s="167"/>
    </row>
    <row r="30" spans="2:26" ht="10.199999999999999" customHeight="1">
      <c r="B30" s="97" t="str">
        <f>IF(Calculation!BE35="","",Calculation!BE35)</f>
        <v/>
      </c>
      <c r="C30" s="99" t="str">
        <f t="shared" ca="1" si="1"/>
        <v/>
      </c>
      <c r="D30" s="99" t="str">
        <f t="shared" ca="1" si="1"/>
        <v/>
      </c>
      <c r="E30" s="99" t="str">
        <f t="shared" ca="1" si="1"/>
        <v/>
      </c>
      <c r="F30" s="99" t="str">
        <f t="shared" ca="1" si="1"/>
        <v/>
      </c>
      <c r="G30" s="99" t="str">
        <f t="shared" ca="1" si="1"/>
        <v/>
      </c>
      <c r="H30" s="99" t="str">
        <f t="shared" ca="1" si="1"/>
        <v/>
      </c>
      <c r="I30" s="99" t="str">
        <f t="shared" ca="1" si="1"/>
        <v/>
      </c>
      <c r="J30" s="99" t="str">
        <f t="shared" ca="1" si="1"/>
        <v/>
      </c>
      <c r="K30" s="99" t="str">
        <f t="shared" ca="1" si="1"/>
        <v/>
      </c>
      <c r="L30" s="99" t="str">
        <f t="shared" ca="1" si="1"/>
        <v/>
      </c>
      <c r="P30" s="169"/>
      <c r="Q30" s="169"/>
      <c r="R30" s="169"/>
      <c r="S30" s="169"/>
      <c r="T30" s="169"/>
      <c r="U30" s="169"/>
      <c r="V30" s="169"/>
      <c r="W30" s="169"/>
      <c r="X30" s="169"/>
      <c r="Y30" s="169"/>
      <c r="Z30" s="169"/>
    </row>
    <row r="31" spans="2:26" ht="10.199999999999999" customHeight="1">
      <c r="B31" s="97" t="str">
        <f>IF(Calculation!BE36="","",Calculation!BE36)</f>
        <v/>
      </c>
      <c r="C31" s="99" t="str">
        <f t="shared" ca="1" si="1"/>
        <v/>
      </c>
      <c r="D31" s="99" t="str">
        <f t="shared" ca="1" si="1"/>
        <v/>
      </c>
      <c r="E31" s="99" t="str">
        <f t="shared" ca="1" si="1"/>
        <v/>
      </c>
      <c r="F31" s="99" t="str">
        <f t="shared" ca="1" si="1"/>
        <v/>
      </c>
      <c r="G31" s="99" t="str">
        <f t="shared" ca="1" si="1"/>
        <v/>
      </c>
      <c r="H31" s="99" t="str">
        <f t="shared" ca="1" si="1"/>
        <v/>
      </c>
      <c r="I31" s="99" t="str">
        <f t="shared" ca="1" si="1"/>
        <v/>
      </c>
      <c r="J31" s="99" t="str">
        <f t="shared" ca="1" si="1"/>
        <v/>
      </c>
      <c r="K31" s="99" t="str">
        <f t="shared" ca="1" si="1"/>
        <v/>
      </c>
      <c r="L31" s="99" t="str">
        <f t="shared" ca="1" si="1"/>
        <v/>
      </c>
      <c r="P31" s="167"/>
      <c r="Q31" s="167"/>
      <c r="R31" s="167"/>
      <c r="S31" s="167"/>
      <c r="T31" s="167"/>
      <c r="U31" s="167"/>
      <c r="V31" s="167"/>
      <c r="W31" s="167"/>
      <c r="X31" s="167"/>
      <c r="Y31" s="167"/>
      <c r="Z31" s="167"/>
    </row>
    <row r="32" spans="2:26" ht="10.199999999999999" customHeight="1">
      <c r="B32" s="97" t="str">
        <f>IF(Calculation!BE37="","",Calculation!BE37)</f>
        <v/>
      </c>
      <c r="C32" s="99" t="str">
        <f t="shared" ca="1" si="1"/>
        <v/>
      </c>
      <c r="D32" s="99" t="str">
        <f t="shared" ca="1" si="1"/>
        <v/>
      </c>
      <c r="E32" s="99" t="str">
        <f t="shared" ca="1" si="1"/>
        <v/>
      </c>
      <c r="F32" s="99" t="str">
        <f t="shared" ca="1" si="1"/>
        <v/>
      </c>
      <c r="G32" s="99" t="str">
        <f t="shared" ca="1" si="1"/>
        <v/>
      </c>
      <c r="H32" s="99" t="str">
        <f t="shared" ca="1" si="1"/>
        <v/>
      </c>
      <c r="I32" s="99" t="str">
        <f t="shared" ca="1" si="1"/>
        <v/>
      </c>
      <c r="J32" s="99" t="str">
        <f t="shared" ca="1" si="1"/>
        <v/>
      </c>
      <c r="K32" s="99" t="str">
        <f t="shared" ca="1" si="1"/>
        <v/>
      </c>
      <c r="L32" s="99" t="str">
        <f t="shared" ca="1" si="1"/>
        <v/>
      </c>
      <c r="P32" s="167"/>
      <c r="Q32" s="167"/>
      <c r="R32" s="167"/>
      <c r="S32" s="167"/>
      <c r="T32" s="167"/>
      <c r="U32" s="167"/>
      <c r="V32" s="167"/>
      <c r="W32" s="167"/>
      <c r="X32" s="167"/>
      <c r="Y32" s="167"/>
      <c r="Z32" s="167"/>
    </row>
    <row r="33" spans="2:26" ht="10.199999999999999" customHeight="1">
      <c r="B33" s="97" t="str">
        <f>IF(Calculation!BE38="","",Calculation!BE38)</f>
        <v/>
      </c>
      <c r="C33" s="99" t="str">
        <f t="shared" ca="1" si="1"/>
        <v/>
      </c>
      <c r="D33" s="99" t="str">
        <f t="shared" ca="1" si="1"/>
        <v/>
      </c>
      <c r="E33" s="99" t="str">
        <f t="shared" ca="1" si="1"/>
        <v/>
      </c>
      <c r="F33" s="99" t="str">
        <f t="shared" ca="1" si="1"/>
        <v/>
      </c>
      <c r="G33" s="99" t="str">
        <f t="shared" ca="1" si="1"/>
        <v/>
      </c>
      <c r="H33" s="99" t="str">
        <f t="shared" ca="1" si="1"/>
        <v/>
      </c>
      <c r="I33" s="99" t="str">
        <f t="shared" ca="1" si="1"/>
        <v/>
      </c>
      <c r="J33" s="99" t="str">
        <f t="shared" ca="1" si="1"/>
        <v/>
      </c>
      <c r="K33" s="99" t="str">
        <f t="shared" ca="1" si="1"/>
        <v/>
      </c>
      <c r="L33" s="99" t="str">
        <f t="shared" ca="1" si="1"/>
        <v/>
      </c>
      <c r="P33" s="169"/>
      <c r="Q33" s="169"/>
      <c r="R33" s="169"/>
      <c r="S33" s="169"/>
      <c r="T33" s="169"/>
      <c r="U33" s="169"/>
      <c r="V33" s="169"/>
      <c r="W33" s="169"/>
      <c r="X33" s="169"/>
      <c r="Y33" s="169"/>
      <c r="Z33" s="169"/>
    </row>
    <row r="34" spans="2:26" ht="10.199999999999999" customHeight="1">
      <c r="B34" s="97" t="str">
        <f>IF(Calculation!BE39="","",Calculation!BE39)</f>
        <v/>
      </c>
      <c r="C34" s="99" t="str">
        <f t="shared" ca="1" si="1"/>
        <v/>
      </c>
      <c r="D34" s="99" t="str">
        <f t="shared" ca="1" si="1"/>
        <v/>
      </c>
      <c r="E34" s="99" t="str">
        <f t="shared" ca="1" si="1"/>
        <v/>
      </c>
      <c r="F34" s="99" t="str">
        <f t="shared" ca="1" si="1"/>
        <v/>
      </c>
      <c r="G34" s="99" t="str">
        <f t="shared" ca="1" si="1"/>
        <v/>
      </c>
      <c r="H34" s="99" t="str">
        <f t="shared" ca="1" si="1"/>
        <v/>
      </c>
      <c r="I34" s="99" t="str">
        <f t="shared" ca="1" si="1"/>
        <v/>
      </c>
      <c r="J34" s="99" t="str">
        <f t="shared" ca="1" si="1"/>
        <v/>
      </c>
      <c r="K34" s="99" t="str">
        <f t="shared" ca="1" si="1"/>
        <v/>
      </c>
      <c r="L34" s="99" t="str">
        <f t="shared" ca="1" si="1"/>
        <v/>
      </c>
      <c r="P34" s="167"/>
      <c r="Q34" s="167"/>
      <c r="R34" s="167"/>
      <c r="S34" s="167"/>
      <c r="T34" s="167"/>
      <c r="U34" s="167"/>
      <c r="V34" s="167"/>
      <c r="W34" s="167"/>
      <c r="X34" s="167"/>
      <c r="Y34" s="167"/>
      <c r="Z34" s="167"/>
    </row>
    <row r="35" spans="2:26" ht="10.199999999999999" customHeight="1">
      <c r="B35" s="97" t="str">
        <f>IF(Calculation!BE40="","",Calculation!BE40)</f>
        <v/>
      </c>
      <c r="C35" s="99" t="str">
        <f t="shared" ca="1" si="1"/>
        <v/>
      </c>
      <c r="D35" s="99" t="str">
        <f t="shared" ca="1" si="1"/>
        <v/>
      </c>
      <c r="E35" s="99" t="str">
        <f t="shared" ca="1" si="1"/>
        <v/>
      </c>
      <c r="F35" s="99" t="str">
        <f t="shared" ca="1" si="1"/>
        <v/>
      </c>
      <c r="G35" s="99" t="str">
        <f t="shared" ca="1" si="1"/>
        <v/>
      </c>
      <c r="H35" s="99" t="str">
        <f t="shared" ca="1" si="1"/>
        <v/>
      </c>
      <c r="I35" s="99" t="str">
        <f t="shared" ca="1" si="1"/>
        <v/>
      </c>
      <c r="J35" s="99" t="str">
        <f t="shared" ca="1" si="1"/>
        <v/>
      </c>
      <c r="K35" s="99" t="str">
        <f t="shared" ca="1" si="1"/>
        <v/>
      </c>
      <c r="L35" s="99" t="str">
        <f t="shared" ca="1" si="1"/>
        <v/>
      </c>
      <c r="P35" s="167"/>
      <c r="Q35" s="167"/>
      <c r="R35" s="167"/>
      <c r="S35" s="167"/>
      <c r="T35" s="167"/>
      <c r="U35" s="167"/>
      <c r="V35" s="167"/>
      <c r="W35" s="167"/>
      <c r="X35" s="167"/>
      <c r="Y35" s="167"/>
      <c r="Z35" s="167"/>
    </row>
    <row r="36" spans="2:26" ht="10.199999999999999" customHeight="1">
      <c r="B36" s="97" t="str">
        <f>IF(Calculation!BE41="","",Calculation!BE41)</f>
        <v/>
      </c>
      <c r="C36" s="99" t="str">
        <f t="shared" ca="1" si="1"/>
        <v/>
      </c>
      <c r="D36" s="99" t="str">
        <f t="shared" ca="1" si="1"/>
        <v/>
      </c>
      <c r="E36" s="99" t="str">
        <f t="shared" ca="1" si="1"/>
        <v/>
      </c>
      <c r="F36" s="99" t="str">
        <f t="shared" ca="1" si="1"/>
        <v/>
      </c>
      <c r="G36" s="99" t="str">
        <f t="shared" ca="1" si="1"/>
        <v/>
      </c>
      <c r="H36" s="99" t="str">
        <f t="shared" ca="1" si="1"/>
        <v/>
      </c>
      <c r="I36" s="99" t="str">
        <f t="shared" ca="1" si="1"/>
        <v/>
      </c>
      <c r="J36" s="99" t="str">
        <f t="shared" ca="1" si="1"/>
        <v/>
      </c>
      <c r="K36" s="99" t="str">
        <f t="shared" ca="1" si="1"/>
        <v/>
      </c>
      <c r="L36" s="99" t="str">
        <f t="shared" ca="1" si="1"/>
        <v/>
      </c>
      <c r="P36" s="169"/>
      <c r="Q36" s="169"/>
      <c r="R36" s="169"/>
      <c r="S36" s="169"/>
      <c r="T36" s="169"/>
      <c r="U36" s="169"/>
      <c r="V36" s="169"/>
      <c r="W36" s="169"/>
      <c r="X36" s="169"/>
      <c r="Y36" s="169"/>
      <c r="Z36" s="169"/>
    </row>
    <row r="37" spans="2:26" ht="10.199999999999999" customHeight="1">
      <c r="B37" s="97" t="str">
        <f>IF(Calculation!BE42="","",Calculation!BE42)</f>
        <v/>
      </c>
      <c r="C37" s="99" t="str">
        <f t="shared" ca="1" si="1"/>
        <v/>
      </c>
      <c r="D37" s="99" t="str">
        <f t="shared" ca="1" si="1"/>
        <v/>
      </c>
      <c r="E37" s="99" t="str">
        <f t="shared" ca="1" si="1"/>
        <v/>
      </c>
      <c r="F37" s="99" t="str">
        <f t="shared" ca="1" si="1"/>
        <v/>
      </c>
      <c r="G37" s="99" t="str">
        <f t="shared" ca="1" si="1"/>
        <v/>
      </c>
      <c r="H37" s="99" t="str">
        <f t="shared" ca="1" si="1"/>
        <v/>
      </c>
      <c r="I37" s="99" t="str">
        <f t="shared" ca="1" si="1"/>
        <v/>
      </c>
      <c r="J37" s="99" t="str">
        <f t="shared" ca="1" si="1"/>
        <v/>
      </c>
      <c r="K37" s="99" t="str">
        <f t="shared" ca="1" si="1"/>
        <v/>
      </c>
      <c r="L37" s="99" t="str">
        <f t="shared" ca="1" si="1"/>
        <v/>
      </c>
      <c r="P37" s="167"/>
      <c r="Q37" s="167"/>
      <c r="R37" s="167"/>
      <c r="S37" s="167"/>
      <c r="T37" s="167"/>
      <c r="U37" s="167"/>
      <c r="V37" s="167"/>
      <c r="W37" s="167"/>
      <c r="X37" s="167"/>
      <c r="Y37" s="167"/>
      <c r="Z37" s="167"/>
    </row>
    <row r="38" spans="2:26" ht="10.199999999999999" customHeight="1">
      <c r="B38" s="97" t="str">
        <f>IF(Calculation!BE43="","",Calculation!BE43)</f>
        <v/>
      </c>
      <c r="C38" s="99" t="str">
        <f t="shared" ref="C38:L53" ca="1" si="2">IF($M$4=0,"",VLOOKUP($B38,INDIRECT("$P$1:$Z$"&amp;$M$4),COLUMN()-1,0))</f>
        <v/>
      </c>
      <c r="D38" s="99" t="str">
        <f t="shared" ca="1" si="2"/>
        <v/>
      </c>
      <c r="E38" s="99" t="str">
        <f t="shared" ca="1" si="2"/>
        <v/>
      </c>
      <c r="F38" s="99" t="str">
        <f t="shared" ca="1" si="2"/>
        <v/>
      </c>
      <c r="G38" s="99" t="str">
        <f t="shared" ca="1" si="2"/>
        <v/>
      </c>
      <c r="H38" s="99" t="str">
        <f t="shared" ca="1" si="2"/>
        <v/>
      </c>
      <c r="I38" s="99" t="str">
        <f t="shared" ca="1" si="2"/>
        <v/>
      </c>
      <c r="J38" s="99" t="str">
        <f t="shared" ca="1" si="2"/>
        <v/>
      </c>
      <c r="K38" s="99" t="str">
        <f t="shared" ca="1" si="2"/>
        <v/>
      </c>
      <c r="L38" s="99" t="str">
        <f t="shared" ca="1" si="2"/>
        <v/>
      </c>
      <c r="P38" s="167"/>
      <c r="Q38" s="167"/>
      <c r="R38" s="167"/>
      <c r="S38" s="167"/>
      <c r="T38" s="167"/>
      <c r="U38" s="167"/>
      <c r="V38" s="167"/>
      <c r="W38" s="167"/>
      <c r="X38" s="167"/>
      <c r="Y38" s="167"/>
      <c r="Z38" s="167"/>
    </row>
    <row r="39" spans="2:26" ht="10.199999999999999" customHeight="1">
      <c r="B39" s="97" t="str">
        <f>IF(Calculation!BE44="","",Calculation!BE44)</f>
        <v/>
      </c>
      <c r="C39" s="99" t="str">
        <f t="shared" ca="1" si="2"/>
        <v/>
      </c>
      <c r="D39" s="99" t="str">
        <f t="shared" ca="1" si="2"/>
        <v/>
      </c>
      <c r="E39" s="99" t="str">
        <f t="shared" ca="1" si="2"/>
        <v/>
      </c>
      <c r="F39" s="99" t="str">
        <f t="shared" ca="1" si="2"/>
        <v/>
      </c>
      <c r="G39" s="99" t="str">
        <f t="shared" ca="1" si="2"/>
        <v/>
      </c>
      <c r="H39" s="99" t="str">
        <f t="shared" ca="1" si="2"/>
        <v/>
      </c>
      <c r="I39" s="99" t="str">
        <f t="shared" ca="1" si="2"/>
        <v/>
      </c>
      <c r="J39" s="99" t="str">
        <f t="shared" ca="1" si="2"/>
        <v/>
      </c>
      <c r="K39" s="99" t="str">
        <f t="shared" ca="1" si="2"/>
        <v/>
      </c>
      <c r="L39" s="99" t="str">
        <f t="shared" ca="1" si="2"/>
        <v/>
      </c>
      <c r="P39" s="169"/>
      <c r="Q39" s="169"/>
      <c r="R39" s="169"/>
      <c r="S39" s="169"/>
      <c r="T39" s="169"/>
      <c r="U39" s="169"/>
      <c r="V39" s="169"/>
      <c r="W39" s="169"/>
      <c r="X39" s="169"/>
      <c r="Y39" s="169"/>
      <c r="Z39" s="169"/>
    </row>
    <row r="40" spans="2:26" ht="10.199999999999999" customHeight="1">
      <c r="B40" s="97" t="str">
        <f>IF(Calculation!BE45="","",Calculation!BE45)</f>
        <v/>
      </c>
      <c r="C40" s="99" t="str">
        <f t="shared" ca="1" si="2"/>
        <v/>
      </c>
      <c r="D40" s="99" t="str">
        <f t="shared" ca="1" si="2"/>
        <v/>
      </c>
      <c r="E40" s="99" t="str">
        <f t="shared" ca="1" si="2"/>
        <v/>
      </c>
      <c r="F40" s="99" t="str">
        <f t="shared" ca="1" si="2"/>
        <v/>
      </c>
      <c r="G40" s="99" t="str">
        <f t="shared" ca="1" si="2"/>
        <v/>
      </c>
      <c r="H40" s="99" t="str">
        <f t="shared" ca="1" si="2"/>
        <v/>
      </c>
      <c r="I40" s="99" t="str">
        <f t="shared" ca="1" si="2"/>
        <v/>
      </c>
      <c r="J40" s="99" t="str">
        <f t="shared" ca="1" si="2"/>
        <v/>
      </c>
      <c r="K40" s="99" t="str">
        <f t="shared" ca="1" si="2"/>
        <v/>
      </c>
      <c r="L40" s="99" t="str">
        <f t="shared" ca="1" si="2"/>
        <v/>
      </c>
      <c r="P40" s="167"/>
      <c r="Q40" s="167"/>
      <c r="R40" s="167"/>
      <c r="S40" s="167"/>
      <c r="T40" s="167"/>
      <c r="U40" s="167"/>
      <c r="V40" s="167"/>
      <c r="W40" s="167"/>
      <c r="X40" s="167"/>
      <c r="Y40" s="167"/>
      <c r="Z40" s="167"/>
    </row>
    <row r="41" spans="2:26" ht="10.199999999999999" customHeight="1">
      <c r="B41" s="97" t="str">
        <f>IF(Calculation!BE47="","",Calculation!BE47)</f>
        <v/>
      </c>
      <c r="C41" s="99" t="str">
        <f t="shared" ca="1" si="2"/>
        <v/>
      </c>
      <c r="D41" s="99" t="str">
        <f t="shared" ca="1" si="2"/>
        <v/>
      </c>
      <c r="E41" s="99" t="str">
        <f t="shared" ca="1" si="2"/>
        <v/>
      </c>
      <c r="F41" s="99" t="str">
        <f t="shared" ca="1" si="2"/>
        <v/>
      </c>
      <c r="G41" s="99" t="str">
        <f t="shared" ca="1" si="2"/>
        <v/>
      </c>
      <c r="H41" s="99" t="str">
        <f t="shared" ca="1" si="2"/>
        <v/>
      </c>
      <c r="I41" s="99" t="str">
        <f t="shared" ca="1" si="2"/>
        <v/>
      </c>
      <c r="J41" s="99" t="str">
        <f t="shared" ca="1" si="2"/>
        <v/>
      </c>
      <c r="K41" s="99" t="str">
        <f t="shared" ca="1" si="2"/>
        <v/>
      </c>
      <c r="L41" s="99" t="str">
        <f t="shared" ca="1" si="2"/>
        <v/>
      </c>
      <c r="P41" s="167"/>
      <c r="Q41" s="167"/>
      <c r="R41" s="167"/>
      <c r="S41" s="167"/>
      <c r="T41" s="167"/>
      <c r="U41" s="167"/>
      <c r="V41" s="167"/>
      <c r="W41" s="167"/>
      <c r="X41" s="167"/>
      <c r="Y41" s="167"/>
      <c r="Z41" s="167"/>
    </row>
    <row r="42" spans="2:26" ht="10.199999999999999" customHeight="1">
      <c r="B42" s="97" t="str">
        <f>IF(Calculation!BE48="","",Calculation!BE48)</f>
        <v/>
      </c>
      <c r="C42" s="99" t="str">
        <f t="shared" ca="1" si="2"/>
        <v/>
      </c>
      <c r="D42" s="99" t="str">
        <f t="shared" ca="1" si="2"/>
        <v/>
      </c>
      <c r="E42" s="99" t="str">
        <f t="shared" ca="1" si="2"/>
        <v/>
      </c>
      <c r="F42" s="99" t="str">
        <f t="shared" ca="1" si="2"/>
        <v/>
      </c>
      <c r="G42" s="99" t="str">
        <f t="shared" ca="1" si="2"/>
        <v/>
      </c>
      <c r="H42" s="99" t="str">
        <f t="shared" ca="1" si="2"/>
        <v/>
      </c>
      <c r="I42" s="99" t="str">
        <f t="shared" ca="1" si="2"/>
        <v/>
      </c>
      <c r="J42" s="99" t="str">
        <f t="shared" ca="1" si="2"/>
        <v/>
      </c>
      <c r="K42" s="99" t="str">
        <f t="shared" ca="1" si="2"/>
        <v/>
      </c>
      <c r="L42" s="99" t="str">
        <f t="shared" ca="1" si="2"/>
        <v/>
      </c>
      <c r="P42" s="169"/>
      <c r="Q42" s="169"/>
      <c r="R42" s="169"/>
      <c r="S42" s="169"/>
      <c r="T42" s="169"/>
      <c r="U42" s="169"/>
      <c r="V42" s="169"/>
      <c r="W42" s="169"/>
      <c r="X42" s="169"/>
      <c r="Y42" s="169"/>
      <c r="Z42" s="169"/>
    </row>
    <row r="43" spans="2:26" ht="10.199999999999999" customHeight="1">
      <c r="B43" s="97" t="str">
        <f>IF(Calculation!BE49="","",Calculation!BE49)</f>
        <v/>
      </c>
      <c r="C43" s="99" t="str">
        <f t="shared" ca="1" si="2"/>
        <v/>
      </c>
      <c r="D43" s="99" t="str">
        <f t="shared" ca="1" si="2"/>
        <v/>
      </c>
      <c r="E43" s="99" t="str">
        <f t="shared" ca="1" si="2"/>
        <v/>
      </c>
      <c r="F43" s="99" t="str">
        <f t="shared" ca="1" si="2"/>
        <v/>
      </c>
      <c r="G43" s="99" t="str">
        <f t="shared" ca="1" si="2"/>
        <v/>
      </c>
      <c r="H43" s="99" t="str">
        <f t="shared" ca="1" si="2"/>
        <v/>
      </c>
      <c r="I43" s="99" t="str">
        <f t="shared" ca="1" si="2"/>
        <v/>
      </c>
      <c r="J43" s="99" t="str">
        <f t="shared" ca="1" si="2"/>
        <v/>
      </c>
      <c r="K43" s="99" t="str">
        <f t="shared" ca="1" si="2"/>
        <v/>
      </c>
      <c r="L43" s="99" t="str">
        <f t="shared" ca="1" si="2"/>
        <v/>
      </c>
      <c r="P43" s="167"/>
      <c r="Q43" s="167"/>
      <c r="R43" s="167"/>
      <c r="S43" s="167"/>
      <c r="T43" s="167"/>
      <c r="U43" s="167"/>
      <c r="V43" s="167"/>
      <c r="W43" s="167"/>
      <c r="X43" s="167"/>
      <c r="Y43" s="167"/>
      <c r="Z43" s="167"/>
    </row>
    <row r="44" spans="2:26" ht="10.199999999999999" customHeight="1">
      <c r="B44" s="97" t="str">
        <f>IF(Calculation!BE50="","",Calculation!BE50)</f>
        <v/>
      </c>
      <c r="C44" s="99" t="str">
        <f t="shared" ca="1" si="2"/>
        <v/>
      </c>
      <c r="D44" s="99" t="str">
        <f t="shared" ca="1" si="2"/>
        <v/>
      </c>
      <c r="E44" s="99" t="str">
        <f t="shared" ca="1" si="2"/>
        <v/>
      </c>
      <c r="F44" s="99" t="str">
        <f t="shared" ca="1" si="2"/>
        <v/>
      </c>
      <c r="G44" s="99" t="str">
        <f t="shared" ca="1" si="2"/>
        <v/>
      </c>
      <c r="H44" s="99" t="str">
        <f t="shared" ca="1" si="2"/>
        <v/>
      </c>
      <c r="I44" s="99" t="str">
        <f t="shared" ca="1" si="2"/>
        <v/>
      </c>
      <c r="J44" s="99" t="str">
        <f t="shared" ca="1" si="2"/>
        <v/>
      </c>
      <c r="K44" s="99" t="str">
        <f t="shared" ca="1" si="2"/>
        <v/>
      </c>
      <c r="L44" s="99" t="str">
        <f t="shared" ca="1" si="2"/>
        <v/>
      </c>
      <c r="P44" s="167"/>
      <c r="Q44" s="167"/>
      <c r="R44" s="167"/>
      <c r="S44" s="167"/>
      <c r="T44" s="167"/>
      <c r="U44" s="167"/>
      <c r="V44" s="167"/>
      <c r="W44" s="167"/>
      <c r="X44" s="167"/>
      <c r="Y44" s="167"/>
      <c r="Z44" s="167"/>
    </row>
    <row r="45" spans="2:26" ht="10.199999999999999" customHeight="1">
      <c r="B45" s="97" t="str">
        <f>IF(Calculation!BE51="","",Calculation!BE51)</f>
        <v/>
      </c>
      <c r="C45" s="99" t="str">
        <f t="shared" ca="1" si="2"/>
        <v/>
      </c>
      <c r="D45" s="99" t="str">
        <f t="shared" ca="1" si="2"/>
        <v/>
      </c>
      <c r="E45" s="99" t="str">
        <f t="shared" ca="1" si="2"/>
        <v/>
      </c>
      <c r="F45" s="99" t="str">
        <f t="shared" ca="1" si="2"/>
        <v/>
      </c>
      <c r="G45" s="99" t="str">
        <f t="shared" ca="1" si="2"/>
        <v/>
      </c>
      <c r="H45" s="99" t="str">
        <f t="shared" ca="1" si="2"/>
        <v/>
      </c>
      <c r="I45" s="99" t="str">
        <f t="shared" ca="1" si="2"/>
        <v/>
      </c>
      <c r="J45" s="99" t="str">
        <f t="shared" ca="1" si="2"/>
        <v/>
      </c>
      <c r="K45" s="99" t="str">
        <f t="shared" ca="1" si="2"/>
        <v/>
      </c>
      <c r="L45" s="99" t="str">
        <f t="shared" ca="1" si="2"/>
        <v/>
      </c>
      <c r="P45" s="169"/>
      <c r="Q45" s="169"/>
      <c r="R45" s="169"/>
      <c r="S45" s="169"/>
      <c r="T45" s="169"/>
      <c r="U45" s="169"/>
      <c r="V45" s="169"/>
      <c r="W45" s="169"/>
      <c r="X45" s="169"/>
      <c r="Y45" s="169"/>
      <c r="Z45" s="169"/>
    </row>
    <row r="46" spans="2:26" ht="10.199999999999999" customHeight="1">
      <c r="B46" s="97" t="str">
        <f>IF(Calculation!BE52="","",Calculation!BE52)</f>
        <v/>
      </c>
      <c r="C46" s="99" t="str">
        <f t="shared" ca="1" si="2"/>
        <v/>
      </c>
      <c r="D46" s="99" t="str">
        <f t="shared" ca="1" si="2"/>
        <v/>
      </c>
      <c r="E46" s="99" t="str">
        <f t="shared" ca="1" si="2"/>
        <v/>
      </c>
      <c r="F46" s="99" t="str">
        <f t="shared" ca="1" si="2"/>
        <v/>
      </c>
      <c r="G46" s="99" t="str">
        <f t="shared" ca="1" si="2"/>
        <v/>
      </c>
      <c r="H46" s="99" t="str">
        <f t="shared" ca="1" si="2"/>
        <v/>
      </c>
      <c r="I46" s="99" t="str">
        <f t="shared" ca="1" si="2"/>
        <v/>
      </c>
      <c r="J46" s="99" t="str">
        <f t="shared" ca="1" si="2"/>
        <v/>
      </c>
      <c r="K46" s="99" t="str">
        <f t="shared" ca="1" si="2"/>
        <v/>
      </c>
      <c r="L46" s="99" t="str">
        <f t="shared" ca="1" si="2"/>
        <v/>
      </c>
      <c r="P46" s="167"/>
      <c r="Q46" s="167"/>
      <c r="R46" s="167"/>
      <c r="S46" s="167"/>
      <c r="T46" s="167"/>
      <c r="U46" s="167"/>
      <c r="V46" s="167"/>
      <c r="W46" s="167"/>
      <c r="X46" s="167"/>
      <c r="Y46" s="167"/>
      <c r="Z46" s="167"/>
    </row>
    <row r="47" spans="2:26" ht="10.199999999999999" customHeight="1">
      <c r="B47" s="97" t="str">
        <f>IF(Calculation!BE53="","",Calculation!BE53)</f>
        <v/>
      </c>
      <c r="C47" s="99" t="str">
        <f t="shared" ca="1" si="2"/>
        <v/>
      </c>
      <c r="D47" s="99" t="str">
        <f t="shared" ca="1" si="2"/>
        <v/>
      </c>
      <c r="E47" s="99" t="str">
        <f t="shared" ca="1" si="2"/>
        <v/>
      </c>
      <c r="F47" s="99" t="str">
        <f t="shared" ca="1" si="2"/>
        <v/>
      </c>
      <c r="G47" s="99" t="str">
        <f t="shared" ca="1" si="2"/>
        <v/>
      </c>
      <c r="H47" s="99" t="str">
        <f t="shared" ca="1" si="2"/>
        <v/>
      </c>
      <c r="I47" s="99" t="str">
        <f t="shared" ca="1" si="2"/>
        <v/>
      </c>
      <c r="J47" s="99" t="str">
        <f t="shared" ca="1" si="2"/>
        <v/>
      </c>
      <c r="K47" s="99" t="str">
        <f t="shared" ca="1" si="2"/>
        <v/>
      </c>
      <c r="L47" s="99" t="str">
        <f t="shared" ca="1" si="2"/>
        <v/>
      </c>
      <c r="P47" s="167"/>
      <c r="Q47" s="167"/>
      <c r="R47" s="167"/>
      <c r="S47" s="167"/>
      <c r="T47" s="167"/>
      <c r="U47" s="167"/>
      <c r="V47" s="167"/>
      <c r="W47" s="167"/>
      <c r="X47" s="167"/>
      <c r="Y47" s="167"/>
      <c r="Z47" s="167"/>
    </row>
    <row r="48" spans="2:26" ht="10.199999999999999" customHeight="1">
      <c r="B48" s="97" t="str">
        <f>IF(Calculation!BE54="","",Calculation!BE54)</f>
        <v/>
      </c>
      <c r="C48" s="99" t="str">
        <f t="shared" ca="1" si="2"/>
        <v/>
      </c>
      <c r="D48" s="99" t="str">
        <f t="shared" ca="1" si="2"/>
        <v/>
      </c>
      <c r="E48" s="99" t="str">
        <f t="shared" ca="1" si="2"/>
        <v/>
      </c>
      <c r="F48" s="99" t="str">
        <f t="shared" ca="1" si="2"/>
        <v/>
      </c>
      <c r="G48" s="99" t="str">
        <f t="shared" ca="1" si="2"/>
        <v/>
      </c>
      <c r="H48" s="99" t="str">
        <f t="shared" ca="1" si="2"/>
        <v/>
      </c>
      <c r="I48" s="99" t="str">
        <f t="shared" ca="1" si="2"/>
        <v/>
      </c>
      <c r="J48" s="99" t="str">
        <f t="shared" ca="1" si="2"/>
        <v/>
      </c>
      <c r="K48" s="99" t="str">
        <f t="shared" ca="1" si="2"/>
        <v/>
      </c>
      <c r="L48" s="99" t="str">
        <f t="shared" ca="1" si="2"/>
        <v/>
      </c>
      <c r="P48" s="169"/>
      <c r="Q48" s="169"/>
      <c r="R48" s="169"/>
      <c r="S48" s="169"/>
      <c r="T48" s="169"/>
      <c r="U48" s="169"/>
      <c r="V48" s="169"/>
      <c r="W48" s="169"/>
      <c r="X48" s="169"/>
      <c r="Y48" s="169"/>
      <c r="Z48" s="169"/>
    </row>
    <row r="49" spans="2:26" ht="10.199999999999999" customHeight="1">
      <c r="B49" s="97" t="str">
        <f>IF(Calculation!BE55="","",Calculation!BE55)</f>
        <v/>
      </c>
      <c r="C49" s="99" t="str">
        <f t="shared" ca="1" si="2"/>
        <v/>
      </c>
      <c r="D49" s="99" t="str">
        <f t="shared" ca="1" si="2"/>
        <v/>
      </c>
      <c r="E49" s="99" t="str">
        <f t="shared" ca="1" si="2"/>
        <v/>
      </c>
      <c r="F49" s="99" t="str">
        <f t="shared" ca="1" si="2"/>
        <v/>
      </c>
      <c r="G49" s="99" t="str">
        <f t="shared" ca="1" si="2"/>
        <v/>
      </c>
      <c r="H49" s="99" t="str">
        <f t="shared" ca="1" si="2"/>
        <v/>
      </c>
      <c r="I49" s="99" t="str">
        <f t="shared" ca="1" si="2"/>
        <v/>
      </c>
      <c r="J49" s="99" t="str">
        <f t="shared" ca="1" si="2"/>
        <v/>
      </c>
      <c r="K49" s="99" t="str">
        <f t="shared" ca="1" si="2"/>
        <v/>
      </c>
      <c r="L49" s="99" t="str">
        <f t="shared" ca="1" si="2"/>
        <v/>
      </c>
      <c r="P49" s="167"/>
      <c r="Q49" s="167"/>
      <c r="R49" s="167"/>
      <c r="S49" s="167"/>
      <c r="T49" s="167"/>
      <c r="U49" s="167"/>
      <c r="V49" s="167"/>
      <c r="W49" s="167"/>
      <c r="X49" s="167"/>
      <c r="Y49" s="167"/>
      <c r="Z49" s="167"/>
    </row>
    <row r="50" spans="2:26" ht="10.199999999999999" customHeight="1">
      <c r="B50" s="97" t="str">
        <f>IF(Calculation!BE56="","",Calculation!BE56)</f>
        <v/>
      </c>
      <c r="C50" s="99" t="str">
        <f t="shared" ca="1" si="2"/>
        <v/>
      </c>
      <c r="D50" s="99" t="str">
        <f t="shared" ca="1" si="2"/>
        <v/>
      </c>
      <c r="E50" s="99" t="str">
        <f t="shared" ca="1" si="2"/>
        <v/>
      </c>
      <c r="F50" s="99" t="str">
        <f t="shared" ca="1" si="2"/>
        <v/>
      </c>
      <c r="G50" s="99" t="str">
        <f t="shared" ca="1" si="2"/>
        <v/>
      </c>
      <c r="H50" s="99" t="str">
        <f t="shared" ca="1" si="2"/>
        <v/>
      </c>
      <c r="I50" s="99" t="str">
        <f t="shared" ca="1" si="2"/>
        <v/>
      </c>
      <c r="J50" s="99" t="str">
        <f t="shared" ca="1" si="2"/>
        <v/>
      </c>
      <c r="K50" s="99" t="str">
        <f t="shared" ca="1" si="2"/>
        <v/>
      </c>
      <c r="L50" s="99" t="str">
        <f t="shared" ca="1" si="2"/>
        <v/>
      </c>
      <c r="P50" s="167"/>
      <c r="Q50" s="167"/>
      <c r="R50" s="167"/>
      <c r="S50" s="167"/>
      <c r="T50" s="167"/>
      <c r="U50" s="167"/>
      <c r="V50" s="167"/>
      <c r="W50" s="167"/>
      <c r="X50" s="167"/>
      <c r="Y50" s="167"/>
      <c r="Z50" s="167"/>
    </row>
    <row r="51" spans="2:26" ht="10.199999999999999" customHeight="1">
      <c r="B51" s="97" t="str">
        <f>IF(Calculation!BE57="","",Calculation!BE57)</f>
        <v/>
      </c>
      <c r="C51" s="99" t="str">
        <f t="shared" ca="1" si="2"/>
        <v/>
      </c>
      <c r="D51" s="99" t="str">
        <f t="shared" ca="1" si="2"/>
        <v/>
      </c>
      <c r="E51" s="99" t="str">
        <f t="shared" ca="1" si="2"/>
        <v/>
      </c>
      <c r="F51" s="99" t="str">
        <f t="shared" ca="1" si="2"/>
        <v/>
      </c>
      <c r="G51" s="99" t="str">
        <f t="shared" ca="1" si="2"/>
        <v/>
      </c>
      <c r="H51" s="99" t="str">
        <f t="shared" ca="1" si="2"/>
        <v/>
      </c>
      <c r="I51" s="99" t="str">
        <f t="shared" ca="1" si="2"/>
        <v/>
      </c>
      <c r="J51" s="99" t="str">
        <f t="shared" ca="1" si="2"/>
        <v/>
      </c>
      <c r="K51" s="99" t="str">
        <f t="shared" ca="1" si="2"/>
        <v/>
      </c>
      <c r="L51" s="99" t="str">
        <f t="shared" ca="1" si="2"/>
        <v/>
      </c>
      <c r="P51" s="169"/>
      <c r="Q51" s="169"/>
      <c r="R51" s="169"/>
      <c r="S51" s="169"/>
      <c r="T51" s="169"/>
      <c r="U51" s="169"/>
      <c r="V51" s="169"/>
      <c r="W51" s="169"/>
      <c r="X51" s="169"/>
      <c r="Y51" s="169"/>
      <c r="Z51" s="169"/>
    </row>
    <row r="52" spans="2:26" ht="10.199999999999999" customHeight="1">
      <c r="B52" s="97" t="str">
        <f>IF(Calculation!BE58="","",Calculation!BE58)</f>
        <v/>
      </c>
      <c r="C52" s="99" t="str">
        <f t="shared" ca="1" si="2"/>
        <v/>
      </c>
      <c r="D52" s="99" t="str">
        <f t="shared" ca="1" si="2"/>
        <v/>
      </c>
      <c r="E52" s="99" t="str">
        <f t="shared" ca="1" si="2"/>
        <v/>
      </c>
      <c r="F52" s="99" t="str">
        <f t="shared" ca="1" si="2"/>
        <v/>
      </c>
      <c r="G52" s="99" t="str">
        <f t="shared" ca="1" si="2"/>
        <v/>
      </c>
      <c r="H52" s="99" t="str">
        <f t="shared" ca="1" si="2"/>
        <v/>
      </c>
      <c r="I52" s="99" t="str">
        <f t="shared" ca="1" si="2"/>
        <v/>
      </c>
      <c r="J52" s="99" t="str">
        <f t="shared" ca="1" si="2"/>
        <v/>
      </c>
      <c r="K52" s="99" t="str">
        <f t="shared" ca="1" si="2"/>
        <v/>
      </c>
      <c r="L52" s="99" t="str">
        <f t="shared" ca="1" si="2"/>
        <v/>
      </c>
      <c r="P52" s="167"/>
      <c r="Q52" s="167"/>
      <c r="R52" s="167"/>
      <c r="S52" s="167"/>
      <c r="T52" s="167"/>
      <c r="U52" s="167"/>
      <c r="V52" s="167"/>
      <c r="W52" s="167"/>
      <c r="X52" s="167"/>
      <c r="Y52" s="167"/>
      <c r="Z52" s="167"/>
    </row>
    <row r="53" spans="2:26" ht="10.199999999999999" customHeight="1">
      <c r="B53" s="97" t="str">
        <f>IF(Calculation!BE59="","",Calculation!BE59)</f>
        <v/>
      </c>
      <c r="C53" s="99" t="str">
        <f t="shared" ca="1" si="2"/>
        <v/>
      </c>
      <c r="D53" s="99" t="str">
        <f t="shared" ca="1" si="2"/>
        <v/>
      </c>
      <c r="E53" s="99" t="str">
        <f t="shared" ca="1" si="2"/>
        <v/>
      </c>
      <c r="F53" s="99" t="str">
        <f t="shared" ca="1" si="2"/>
        <v/>
      </c>
      <c r="G53" s="99" t="str">
        <f t="shared" ca="1" si="2"/>
        <v/>
      </c>
      <c r="H53" s="99" t="str">
        <f t="shared" ca="1" si="2"/>
        <v/>
      </c>
      <c r="I53" s="99" t="str">
        <f t="shared" ca="1" si="2"/>
        <v/>
      </c>
      <c r="J53" s="99" t="str">
        <f t="shared" ca="1" si="2"/>
        <v/>
      </c>
      <c r="K53" s="99" t="str">
        <f t="shared" ca="1" si="2"/>
        <v/>
      </c>
      <c r="L53" s="99" t="str">
        <f t="shared" ca="1" si="2"/>
        <v/>
      </c>
      <c r="P53" s="167"/>
      <c r="Q53" s="167"/>
      <c r="R53" s="167"/>
      <c r="S53" s="167"/>
      <c r="T53" s="167"/>
      <c r="U53" s="167"/>
      <c r="V53" s="167"/>
      <c r="W53" s="167"/>
      <c r="X53" s="167"/>
      <c r="Y53" s="167"/>
      <c r="Z53" s="167"/>
    </row>
    <row r="54" spans="2:26" ht="10.199999999999999" customHeight="1">
      <c r="B54" s="97" t="str">
        <f>IF(Calculation!BE60="","",Calculation!BE60)</f>
        <v/>
      </c>
      <c r="C54" s="99" t="str">
        <f t="shared" ref="C54:L55" ca="1" si="3">IF($M$4=0,"",VLOOKUP($B54,INDIRECT("$P$1:$Z$"&amp;$M$4),COLUMN()-1,0))</f>
        <v/>
      </c>
      <c r="D54" s="99" t="str">
        <f t="shared" ca="1" si="3"/>
        <v/>
      </c>
      <c r="E54" s="99" t="str">
        <f t="shared" ca="1" si="3"/>
        <v/>
      </c>
      <c r="F54" s="99" t="str">
        <f t="shared" ca="1" si="3"/>
        <v/>
      </c>
      <c r="G54" s="99" t="str">
        <f t="shared" ca="1" si="3"/>
        <v/>
      </c>
      <c r="H54" s="99" t="str">
        <f t="shared" ca="1" si="3"/>
        <v/>
      </c>
      <c r="I54" s="99" t="str">
        <f t="shared" ca="1" si="3"/>
        <v/>
      </c>
      <c r="J54" s="99" t="str">
        <f t="shared" ca="1" si="3"/>
        <v/>
      </c>
      <c r="K54" s="99" t="str">
        <f t="shared" ca="1" si="3"/>
        <v/>
      </c>
      <c r="L54" s="99" t="str">
        <f t="shared" ca="1" si="3"/>
        <v/>
      </c>
      <c r="P54" s="169"/>
      <c r="Q54" s="169"/>
      <c r="R54" s="169"/>
      <c r="S54" s="169"/>
      <c r="T54" s="169"/>
      <c r="U54" s="169"/>
      <c r="V54" s="169"/>
      <c r="W54" s="169"/>
      <c r="X54" s="169"/>
      <c r="Y54" s="169"/>
      <c r="Z54" s="169"/>
    </row>
    <row r="55" spans="2:26" ht="10.199999999999999" customHeight="1">
      <c r="B55" s="97" t="str">
        <f>IF(Calculation!BE61="","",Calculation!BE61)</f>
        <v/>
      </c>
      <c r="C55" s="99" t="str">
        <f t="shared" ca="1" si="3"/>
        <v/>
      </c>
      <c r="D55" s="99" t="str">
        <f t="shared" ca="1" si="3"/>
        <v/>
      </c>
      <c r="E55" s="99" t="str">
        <f t="shared" ca="1" si="3"/>
        <v/>
      </c>
      <c r="F55" s="99" t="str">
        <f t="shared" ca="1" si="3"/>
        <v/>
      </c>
      <c r="G55" s="99" t="str">
        <f t="shared" ca="1" si="3"/>
        <v/>
      </c>
      <c r="H55" s="99" t="str">
        <f t="shared" ca="1" si="3"/>
        <v/>
      </c>
      <c r="I55" s="99" t="str">
        <f t="shared" ca="1" si="3"/>
        <v/>
      </c>
      <c r="J55" s="99" t="str">
        <f t="shared" ca="1" si="3"/>
        <v/>
      </c>
      <c r="K55" s="99" t="str">
        <f t="shared" ca="1" si="3"/>
        <v/>
      </c>
      <c r="L55" s="99" t="str">
        <f t="shared" ca="1" si="3"/>
        <v/>
      </c>
      <c r="P55" s="167"/>
      <c r="Q55" s="167"/>
      <c r="R55" s="167"/>
      <c r="S55" s="167"/>
      <c r="T55" s="167"/>
      <c r="U55" s="167"/>
      <c r="V55" s="167"/>
      <c r="W55" s="167"/>
      <c r="X55" s="167"/>
      <c r="Y55" s="167"/>
      <c r="Z55" s="167"/>
    </row>
    <row r="56" spans="2:26" ht="10.199999999999999" customHeight="1">
      <c r="P56" s="167"/>
      <c r="Q56" s="167"/>
      <c r="R56" s="167"/>
      <c r="S56" s="167"/>
      <c r="T56" s="167"/>
      <c r="U56" s="167"/>
      <c r="V56" s="167"/>
      <c r="W56" s="167"/>
      <c r="X56" s="167"/>
      <c r="Y56" s="167"/>
      <c r="Z56" s="167"/>
    </row>
    <row r="57" spans="2:26" ht="10.199999999999999" customHeight="1">
      <c r="P57" s="169"/>
      <c r="Q57" s="169"/>
      <c r="R57" s="169"/>
      <c r="S57" s="169"/>
      <c r="T57" s="169"/>
      <c r="U57" s="169"/>
      <c r="V57" s="169"/>
      <c r="W57" s="169"/>
      <c r="X57" s="169"/>
      <c r="Y57" s="169"/>
      <c r="Z57" s="169"/>
    </row>
    <row r="58" spans="2:26" ht="10.199999999999999" customHeight="1">
      <c r="P58" s="167"/>
      <c r="Q58" s="167"/>
      <c r="R58" s="167"/>
      <c r="S58" s="167"/>
      <c r="T58" s="167"/>
      <c r="U58" s="167"/>
      <c r="V58" s="167"/>
      <c r="W58" s="167"/>
      <c r="X58" s="167"/>
      <c r="Y58" s="167"/>
      <c r="Z58" s="167"/>
    </row>
    <row r="59" spans="2:26" ht="10.199999999999999" customHeight="1">
      <c r="P59" s="167"/>
      <c r="Q59" s="167"/>
      <c r="R59" s="167"/>
      <c r="S59" s="167"/>
      <c r="T59" s="167"/>
      <c r="U59" s="167"/>
      <c r="V59" s="167"/>
      <c r="W59" s="167"/>
      <c r="X59" s="167"/>
      <c r="Y59" s="167"/>
      <c r="Z59" s="167"/>
    </row>
    <row r="60" spans="2:26" ht="10.199999999999999" customHeight="1">
      <c r="P60" s="169"/>
      <c r="Q60" s="169"/>
      <c r="R60" s="169"/>
      <c r="S60" s="169"/>
      <c r="T60" s="169"/>
      <c r="U60" s="169"/>
      <c r="V60" s="169"/>
      <c r="W60" s="169"/>
      <c r="X60" s="169"/>
      <c r="Y60" s="169"/>
      <c r="Z60" s="169"/>
    </row>
    <row r="61" spans="2:26" ht="10.199999999999999" customHeight="1">
      <c r="P61" s="167"/>
      <c r="Q61" s="167"/>
      <c r="R61" s="167"/>
      <c r="S61" s="167"/>
      <c r="T61" s="167"/>
      <c r="U61" s="167"/>
      <c r="V61" s="167"/>
      <c r="W61" s="167"/>
      <c r="X61" s="167"/>
      <c r="Y61" s="167"/>
      <c r="Z61" s="167"/>
    </row>
    <row r="62" spans="2:26" ht="10.199999999999999" customHeight="1">
      <c r="P62" s="167"/>
      <c r="Q62" s="167"/>
      <c r="R62" s="167"/>
      <c r="S62" s="167"/>
      <c r="T62" s="167"/>
      <c r="U62" s="167"/>
      <c r="V62" s="167"/>
      <c r="W62" s="167"/>
      <c r="X62" s="167"/>
      <c r="Y62" s="167"/>
      <c r="Z62" s="167"/>
    </row>
    <row r="63" spans="2:26" ht="10.199999999999999" customHeight="1">
      <c r="P63" s="169"/>
      <c r="Q63" s="169"/>
      <c r="R63" s="169"/>
      <c r="S63" s="169"/>
      <c r="T63" s="169"/>
      <c r="U63" s="169"/>
      <c r="V63" s="169"/>
      <c r="W63" s="169"/>
      <c r="X63" s="169"/>
      <c r="Y63" s="169"/>
      <c r="Z63" s="169"/>
    </row>
    <row r="64" spans="2:26" ht="10.199999999999999" customHeight="1">
      <c r="P64" s="167"/>
      <c r="Q64" s="167"/>
      <c r="R64" s="167"/>
      <c r="S64" s="167"/>
      <c r="T64" s="167"/>
      <c r="U64" s="167"/>
      <c r="V64" s="167"/>
      <c r="W64" s="167"/>
      <c r="X64" s="167"/>
      <c r="Y64" s="167"/>
      <c r="Z64" s="167"/>
    </row>
    <row r="65" spans="16:26" ht="10.199999999999999" customHeight="1">
      <c r="P65" s="167"/>
      <c r="Q65" s="167"/>
      <c r="R65" s="167"/>
      <c r="S65" s="167"/>
      <c r="T65" s="167"/>
      <c r="U65" s="167"/>
      <c r="V65" s="167"/>
      <c r="W65" s="167"/>
      <c r="X65" s="167"/>
      <c r="Y65" s="167"/>
      <c r="Z65" s="167"/>
    </row>
    <row r="66" spans="16:26" ht="10.199999999999999" customHeight="1">
      <c r="P66" s="169"/>
      <c r="Q66" s="169"/>
      <c r="R66" s="169"/>
      <c r="S66" s="169"/>
      <c r="T66" s="169"/>
      <c r="U66" s="169"/>
      <c r="V66" s="169"/>
      <c r="W66" s="169"/>
      <c r="X66" s="169"/>
      <c r="Y66" s="169"/>
      <c r="Z66" s="169"/>
    </row>
    <row r="67" spans="16:26" ht="10.199999999999999" customHeight="1">
      <c r="P67" s="167"/>
      <c r="Q67" s="167"/>
      <c r="R67" s="167"/>
      <c r="S67" s="167"/>
      <c r="T67" s="167"/>
      <c r="U67" s="167"/>
      <c r="V67" s="167"/>
      <c r="W67" s="167"/>
      <c r="X67" s="167"/>
      <c r="Y67" s="167"/>
      <c r="Z67" s="167"/>
    </row>
    <row r="68" spans="16:26" ht="10.199999999999999" customHeight="1">
      <c r="P68" s="167"/>
      <c r="Q68" s="167"/>
      <c r="R68" s="167"/>
      <c r="S68" s="167"/>
      <c r="T68" s="167"/>
      <c r="U68" s="167"/>
      <c r="V68" s="167"/>
      <c r="W68" s="167"/>
      <c r="X68" s="167"/>
      <c r="Y68" s="167"/>
      <c r="Z68" s="167"/>
    </row>
    <row r="69" spans="16:26" ht="10.199999999999999" customHeight="1">
      <c r="P69" s="169"/>
      <c r="Q69" s="169"/>
      <c r="R69" s="169"/>
      <c r="S69" s="169"/>
      <c r="T69" s="169"/>
      <c r="U69" s="169"/>
      <c r="V69" s="169"/>
      <c r="W69" s="169"/>
      <c r="X69" s="169"/>
      <c r="Y69" s="169"/>
      <c r="Z69" s="169"/>
    </row>
    <row r="70" spans="16:26" ht="10.199999999999999" customHeight="1">
      <c r="P70" s="167"/>
      <c r="Q70" s="167"/>
      <c r="R70" s="167"/>
      <c r="S70" s="167"/>
      <c r="T70" s="167"/>
      <c r="U70" s="167"/>
      <c r="V70" s="167"/>
      <c r="W70" s="167"/>
      <c r="X70" s="167"/>
      <c r="Y70" s="167"/>
      <c r="Z70" s="167"/>
    </row>
    <row r="71" spans="16:26" ht="10.199999999999999" customHeight="1">
      <c r="P71" s="167"/>
      <c r="Q71" s="167"/>
      <c r="R71" s="167"/>
      <c r="S71" s="167"/>
      <c r="T71" s="167"/>
      <c r="U71" s="167"/>
      <c r="V71" s="167"/>
      <c r="W71" s="167"/>
      <c r="X71" s="167"/>
      <c r="Y71" s="167"/>
      <c r="Z71" s="167"/>
    </row>
    <row r="72" spans="16:26" ht="10.199999999999999" customHeight="1">
      <c r="P72" s="169"/>
      <c r="Q72" s="169"/>
      <c r="R72" s="169"/>
      <c r="S72" s="169"/>
      <c r="T72" s="169"/>
      <c r="U72" s="169"/>
      <c r="V72" s="169"/>
      <c r="W72" s="169"/>
      <c r="X72" s="169"/>
      <c r="Y72" s="169"/>
      <c r="Z72" s="169"/>
    </row>
    <row r="73" spans="16:26" ht="10.199999999999999" customHeight="1">
      <c r="P73" s="167"/>
      <c r="Q73" s="167"/>
      <c r="R73" s="167"/>
      <c r="S73" s="167"/>
      <c r="T73" s="167"/>
      <c r="U73" s="167"/>
      <c r="V73" s="167"/>
      <c r="W73" s="167"/>
      <c r="X73" s="167"/>
      <c r="Y73" s="167"/>
      <c r="Z73" s="167"/>
    </row>
    <row r="74" spans="16:26" ht="10.199999999999999" customHeight="1">
      <c r="P74" s="167"/>
      <c r="Q74" s="167"/>
      <c r="R74" s="167"/>
      <c r="S74" s="167"/>
      <c r="T74" s="167"/>
      <c r="U74" s="167"/>
      <c r="V74" s="167"/>
      <c r="W74" s="167"/>
      <c r="X74" s="167"/>
      <c r="Y74" s="167"/>
      <c r="Z74" s="167"/>
    </row>
    <row r="75" spans="16:26" ht="10.199999999999999" customHeight="1">
      <c r="P75" s="169"/>
      <c r="Q75" s="169"/>
      <c r="R75" s="169"/>
      <c r="S75" s="169"/>
      <c r="T75" s="169"/>
      <c r="U75" s="169"/>
      <c r="V75" s="169"/>
      <c r="W75" s="169"/>
      <c r="X75" s="169"/>
      <c r="Y75" s="169"/>
      <c r="Z75" s="169"/>
    </row>
    <row r="76" spans="16:26" ht="10.199999999999999" customHeight="1">
      <c r="P76" s="167"/>
      <c r="Q76" s="167"/>
      <c r="R76" s="167"/>
      <c r="S76" s="167"/>
      <c r="T76" s="167"/>
      <c r="U76" s="167"/>
      <c r="V76" s="167"/>
      <c r="W76" s="167"/>
      <c r="X76" s="167"/>
      <c r="Y76" s="167"/>
      <c r="Z76" s="167"/>
    </row>
    <row r="77" spans="16:26" ht="10.199999999999999" customHeight="1">
      <c r="P77" s="167"/>
      <c r="Q77" s="167"/>
      <c r="R77" s="167"/>
      <c r="S77" s="167"/>
      <c r="T77" s="167"/>
      <c r="U77" s="167"/>
      <c r="V77" s="167"/>
      <c r="W77" s="167"/>
      <c r="X77" s="167"/>
      <c r="Y77" s="167"/>
      <c r="Z77" s="167"/>
    </row>
    <row r="78" spans="16:26" ht="10.199999999999999" customHeight="1">
      <c r="P78" s="169"/>
      <c r="Q78" s="169"/>
      <c r="R78" s="169"/>
      <c r="S78" s="169"/>
      <c r="T78" s="169"/>
      <c r="U78" s="169"/>
      <c r="V78" s="169"/>
      <c r="W78" s="169"/>
      <c r="X78" s="169"/>
      <c r="Y78" s="169"/>
      <c r="Z78" s="169"/>
    </row>
    <row r="79" spans="16:26" ht="10.199999999999999" customHeight="1">
      <c r="P79" s="167"/>
      <c r="Q79" s="167"/>
      <c r="R79" s="167"/>
      <c r="S79" s="167"/>
      <c r="T79" s="167"/>
      <c r="U79" s="167"/>
      <c r="V79" s="167"/>
      <c r="W79" s="167"/>
      <c r="X79" s="167"/>
      <c r="Y79" s="167"/>
      <c r="Z79" s="167"/>
    </row>
    <row r="80" spans="16:26" ht="10.199999999999999" customHeight="1">
      <c r="P80" s="167"/>
      <c r="Q80" s="167"/>
      <c r="R80" s="167"/>
      <c r="S80" s="167"/>
      <c r="T80" s="167"/>
      <c r="U80" s="167"/>
      <c r="V80" s="167"/>
      <c r="W80" s="167"/>
      <c r="X80" s="167"/>
      <c r="Y80" s="167"/>
      <c r="Z80" s="167"/>
    </row>
    <row r="81" spans="16:26" ht="10.199999999999999" customHeight="1">
      <c r="P81" s="169"/>
      <c r="Q81" s="169"/>
      <c r="R81" s="169"/>
      <c r="S81" s="169"/>
      <c r="T81" s="169"/>
      <c r="U81" s="169"/>
      <c r="V81" s="169"/>
      <c r="W81" s="169"/>
      <c r="X81" s="169"/>
      <c r="Y81" s="169"/>
      <c r="Z81" s="169"/>
    </row>
    <row r="82" spans="16:26" ht="10.199999999999999" customHeight="1">
      <c r="P82" s="167"/>
      <c r="Q82" s="167"/>
      <c r="R82" s="167"/>
      <c r="S82" s="167"/>
      <c r="T82" s="167"/>
      <c r="U82" s="167"/>
      <c r="V82" s="167"/>
      <c r="W82" s="167"/>
      <c r="X82" s="167"/>
      <c r="Y82" s="167"/>
      <c r="Z82" s="167"/>
    </row>
    <row r="83" spans="16:26" ht="10.199999999999999" customHeight="1">
      <c r="P83" s="167"/>
      <c r="Q83" s="167"/>
      <c r="R83" s="167"/>
      <c r="S83" s="167"/>
      <c r="T83" s="167"/>
      <c r="U83" s="167"/>
      <c r="V83" s="167"/>
      <c r="W83" s="167"/>
      <c r="X83" s="167"/>
      <c r="Y83" s="167"/>
      <c r="Z83" s="167"/>
    </row>
    <row r="84" spans="16:26" ht="10.199999999999999" customHeight="1">
      <c r="P84" s="169"/>
      <c r="Q84" s="169"/>
      <c r="R84" s="169"/>
      <c r="S84" s="169"/>
      <c r="T84" s="169"/>
      <c r="U84" s="169"/>
      <c r="V84" s="169"/>
      <c r="W84" s="169"/>
      <c r="X84" s="169"/>
      <c r="Y84" s="169"/>
      <c r="Z84" s="169"/>
    </row>
    <row r="85" spans="16:26" ht="10.199999999999999" customHeight="1">
      <c r="P85" s="167"/>
      <c r="Q85" s="167"/>
      <c r="R85" s="167"/>
      <c r="S85" s="167"/>
      <c r="T85" s="167"/>
      <c r="U85" s="167"/>
      <c r="V85" s="167"/>
      <c r="W85" s="167"/>
      <c r="X85" s="167"/>
      <c r="Y85" s="167"/>
      <c r="Z85" s="167"/>
    </row>
    <row r="86" spans="16:26" ht="10.199999999999999" customHeight="1">
      <c r="P86" s="167"/>
      <c r="Q86" s="167"/>
      <c r="R86" s="167"/>
      <c r="S86" s="167"/>
      <c r="T86" s="167"/>
      <c r="U86" s="167"/>
      <c r="V86" s="167"/>
      <c r="W86" s="167"/>
      <c r="X86" s="167"/>
      <c r="Y86" s="167"/>
      <c r="Z86" s="167"/>
    </row>
    <row r="87" spans="16:26" ht="10.199999999999999" customHeight="1">
      <c r="P87" s="169"/>
      <c r="Q87" s="169"/>
      <c r="R87" s="169"/>
      <c r="S87" s="169"/>
      <c r="T87" s="169"/>
      <c r="U87" s="169"/>
      <c r="V87" s="169"/>
      <c r="W87" s="169"/>
      <c r="X87" s="169"/>
      <c r="Y87" s="169"/>
      <c r="Z87" s="169"/>
    </row>
    <row r="88" spans="16:26" ht="10.199999999999999" customHeight="1">
      <c r="P88" s="167"/>
      <c r="Q88" s="167"/>
      <c r="R88" s="167"/>
      <c r="S88" s="167"/>
      <c r="T88" s="167"/>
      <c r="U88" s="167"/>
      <c r="V88" s="167"/>
      <c r="W88" s="167"/>
      <c r="X88" s="167"/>
      <c r="Y88" s="167"/>
      <c r="Z88" s="167"/>
    </row>
    <row r="89" spans="16:26" ht="10.199999999999999" customHeight="1">
      <c r="P89" s="167"/>
      <c r="Q89" s="167"/>
      <c r="R89" s="167"/>
      <c r="S89" s="167"/>
      <c r="T89" s="167"/>
      <c r="U89" s="167"/>
      <c r="V89" s="167"/>
      <c r="W89" s="167"/>
      <c r="X89" s="167"/>
      <c r="Y89" s="167"/>
      <c r="Z89" s="167"/>
    </row>
    <row r="90" spans="16:26" ht="10.199999999999999" customHeight="1">
      <c r="P90" s="169"/>
      <c r="Q90" s="169"/>
      <c r="R90" s="169"/>
      <c r="S90" s="169"/>
      <c r="T90" s="169"/>
      <c r="U90" s="169"/>
      <c r="V90" s="169"/>
      <c r="W90" s="169"/>
      <c r="X90" s="169"/>
      <c r="Y90" s="169"/>
      <c r="Z90" s="169"/>
    </row>
    <row r="91" spans="16:26" ht="10.199999999999999" customHeight="1">
      <c r="P91" s="167"/>
      <c r="Q91" s="167"/>
      <c r="R91" s="167"/>
      <c r="S91" s="167"/>
      <c r="T91" s="167"/>
      <c r="U91" s="167"/>
      <c r="V91" s="167"/>
      <c r="W91" s="167"/>
      <c r="X91" s="167"/>
      <c r="Y91" s="167"/>
      <c r="Z91" s="167"/>
    </row>
    <row r="92" spans="16:26" ht="10.199999999999999" customHeight="1">
      <c r="P92" s="167"/>
      <c r="Q92" s="167"/>
      <c r="R92" s="167"/>
      <c r="S92" s="167"/>
      <c r="T92" s="167"/>
      <c r="U92" s="167"/>
      <c r="V92" s="167"/>
      <c r="W92" s="167"/>
      <c r="X92" s="167"/>
      <c r="Y92" s="167"/>
      <c r="Z92" s="167"/>
    </row>
    <row r="93" spans="16:26" ht="10.199999999999999" customHeight="1">
      <c r="P93" s="169"/>
      <c r="Q93" s="169"/>
      <c r="R93" s="169"/>
      <c r="S93" s="169"/>
      <c r="T93" s="169"/>
      <c r="U93" s="169"/>
      <c r="V93" s="169"/>
      <c r="W93" s="169"/>
      <c r="X93" s="169"/>
      <c r="Y93" s="169"/>
      <c r="Z93" s="169"/>
    </row>
    <row r="94" spans="16:26" ht="10.199999999999999" customHeight="1">
      <c r="P94" s="167"/>
      <c r="Q94" s="167"/>
      <c r="R94" s="167"/>
      <c r="S94" s="167"/>
      <c r="T94" s="167"/>
      <c r="U94" s="167"/>
      <c r="V94" s="167"/>
      <c r="W94" s="167"/>
      <c r="X94" s="167"/>
      <c r="Y94" s="167"/>
      <c r="Z94" s="167"/>
    </row>
    <row r="95" spans="16:26" ht="10.199999999999999" customHeight="1">
      <c r="P95" s="167"/>
      <c r="Q95" s="167"/>
      <c r="R95" s="167"/>
      <c r="S95" s="167"/>
      <c r="T95" s="167"/>
      <c r="U95" s="167"/>
      <c r="V95" s="167"/>
      <c r="W95" s="167"/>
      <c r="X95" s="167"/>
      <c r="Y95" s="167"/>
      <c r="Z95" s="167"/>
    </row>
    <row r="96" spans="16:26" ht="10.199999999999999" customHeight="1">
      <c r="P96" s="169"/>
      <c r="Q96" s="169"/>
      <c r="R96" s="169"/>
      <c r="S96" s="169"/>
      <c r="T96" s="169"/>
      <c r="U96" s="169"/>
      <c r="V96" s="169"/>
      <c r="W96" s="169"/>
      <c r="X96" s="169"/>
      <c r="Y96" s="169"/>
      <c r="Z96" s="169"/>
    </row>
    <row r="97" spans="16:26" ht="10.199999999999999" customHeight="1">
      <c r="P97" s="167"/>
      <c r="Q97" s="167"/>
      <c r="R97" s="167"/>
      <c r="S97" s="167"/>
      <c r="T97" s="167"/>
      <c r="U97" s="167"/>
      <c r="V97" s="167"/>
      <c r="W97" s="167"/>
      <c r="X97" s="167"/>
      <c r="Y97" s="167"/>
      <c r="Z97" s="167"/>
    </row>
    <row r="98" spans="16:26" ht="10.199999999999999" customHeight="1">
      <c r="P98" s="167"/>
      <c r="Q98" s="167"/>
      <c r="R98" s="167"/>
      <c r="S98" s="167"/>
      <c r="T98" s="167"/>
      <c r="U98" s="167"/>
      <c r="V98" s="167"/>
      <c r="W98" s="167"/>
      <c r="X98" s="167"/>
      <c r="Y98" s="167"/>
      <c r="Z98" s="167"/>
    </row>
    <row r="99" spans="16:26" ht="10.199999999999999" customHeight="1">
      <c r="P99" s="169"/>
      <c r="Q99" s="169"/>
      <c r="R99" s="169"/>
      <c r="S99" s="169"/>
      <c r="T99" s="169"/>
      <c r="U99" s="169"/>
      <c r="V99" s="169"/>
      <c r="W99" s="169"/>
      <c r="X99" s="169"/>
      <c r="Y99" s="169"/>
      <c r="Z99" s="169"/>
    </row>
    <row r="100" spans="16:26" ht="10.199999999999999" customHeight="1">
      <c r="P100" s="167"/>
      <c r="Q100" s="167"/>
      <c r="R100" s="167"/>
      <c r="S100" s="167"/>
      <c r="T100" s="167"/>
      <c r="U100" s="167"/>
      <c r="V100" s="167"/>
      <c r="W100" s="167"/>
      <c r="X100" s="167"/>
      <c r="Y100" s="167"/>
      <c r="Z100" s="167"/>
    </row>
    <row r="101" spans="16:26" ht="10.199999999999999" customHeight="1">
      <c r="P101" s="167"/>
      <c r="Q101" s="167"/>
      <c r="R101" s="167"/>
      <c r="S101" s="167"/>
      <c r="T101" s="167"/>
      <c r="U101" s="167"/>
      <c r="V101" s="167"/>
      <c r="W101" s="167"/>
      <c r="X101" s="167"/>
      <c r="Y101" s="167"/>
      <c r="Z101" s="167"/>
    </row>
    <row r="102" spans="16:26" ht="10.199999999999999" customHeight="1">
      <c r="P102" s="169"/>
      <c r="Q102" s="169"/>
      <c r="R102" s="169"/>
      <c r="S102" s="169"/>
      <c r="T102" s="169"/>
      <c r="U102" s="169"/>
      <c r="V102" s="169"/>
      <c r="W102" s="169"/>
      <c r="X102" s="169"/>
      <c r="Y102" s="169"/>
      <c r="Z102" s="169"/>
    </row>
    <row r="103" spans="16:26" ht="10.199999999999999" customHeight="1">
      <c r="P103" s="167"/>
      <c r="Q103" s="167"/>
      <c r="R103" s="167"/>
      <c r="S103" s="167"/>
      <c r="T103" s="167"/>
      <c r="U103" s="167"/>
      <c r="V103" s="167"/>
      <c r="W103" s="167"/>
      <c r="X103" s="167"/>
      <c r="Y103" s="167"/>
      <c r="Z103" s="167"/>
    </row>
    <row r="104" spans="16:26" ht="10.199999999999999" customHeight="1">
      <c r="P104" s="167"/>
      <c r="Q104" s="167"/>
      <c r="R104" s="167"/>
      <c r="S104" s="167"/>
      <c r="T104" s="167"/>
      <c r="U104" s="167"/>
      <c r="V104" s="167"/>
      <c r="W104" s="167"/>
      <c r="X104" s="167"/>
      <c r="Y104" s="167"/>
      <c r="Z104" s="167"/>
    </row>
    <row r="105" spans="16:26" ht="10.199999999999999" customHeight="1">
      <c r="P105" s="169"/>
      <c r="Q105" s="169"/>
      <c r="R105" s="169"/>
      <c r="S105" s="169"/>
      <c r="T105" s="169"/>
      <c r="U105" s="169"/>
      <c r="V105" s="169"/>
      <c r="W105" s="169"/>
      <c r="X105" s="169"/>
      <c r="Y105" s="169"/>
      <c r="Z105" s="169"/>
    </row>
    <row r="106" spans="16:26" ht="10.199999999999999" customHeight="1">
      <c r="P106" s="167"/>
      <c r="Q106" s="167"/>
      <c r="R106" s="167"/>
      <c r="S106" s="167"/>
      <c r="T106" s="167"/>
      <c r="U106" s="167"/>
      <c r="V106" s="167"/>
      <c r="W106" s="167"/>
      <c r="X106" s="167"/>
      <c r="Y106" s="167"/>
      <c r="Z106" s="167"/>
    </row>
    <row r="107" spans="16:26" ht="10.199999999999999" customHeight="1">
      <c r="P107" s="167"/>
      <c r="Q107" s="167"/>
      <c r="R107" s="167"/>
      <c r="S107" s="167"/>
      <c r="T107" s="167"/>
      <c r="U107" s="167"/>
      <c r="V107" s="167"/>
      <c r="W107" s="167"/>
      <c r="X107" s="167"/>
      <c r="Y107" s="167"/>
      <c r="Z107" s="167"/>
    </row>
    <row r="108" spans="16:26" ht="10.199999999999999" customHeight="1">
      <c r="P108" s="169"/>
      <c r="Q108" s="169"/>
      <c r="R108" s="169"/>
      <c r="S108" s="169"/>
      <c r="T108" s="169"/>
      <c r="U108" s="169"/>
      <c r="V108" s="169"/>
      <c r="W108" s="169"/>
      <c r="X108" s="169"/>
      <c r="Y108" s="169"/>
      <c r="Z108" s="169"/>
    </row>
    <row r="109" spans="16:26" ht="10.199999999999999" customHeight="1">
      <c r="P109" s="167"/>
      <c r="Q109" s="167"/>
      <c r="R109" s="167"/>
      <c r="S109" s="167"/>
      <c r="T109" s="167"/>
      <c r="U109" s="167"/>
      <c r="V109" s="167"/>
      <c r="W109" s="167"/>
      <c r="X109" s="167"/>
      <c r="Y109" s="167"/>
      <c r="Z109" s="167"/>
    </row>
    <row r="110" spans="16:26" ht="10.199999999999999" customHeight="1">
      <c r="P110" s="167"/>
      <c r="Q110" s="167"/>
      <c r="R110" s="167"/>
      <c r="S110" s="167"/>
      <c r="T110" s="167"/>
      <c r="U110" s="167"/>
      <c r="V110" s="167"/>
      <c r="W110" s="167"/>
      <c r="X110" s="167"/>
      <c r="Y110" s="167"/>
      <c r="Z110" s="167"/>
    </row>
    <row r="111" spans="16:26" ht="10.199999999999999" customHeight="1">
      <c r="P111" s="169"/>
      <c r="Q111" s="169"/>
      <c r="R111" s="169"/>
      <c r="S111" s="169"/>
      <c r="T111" s="169"/>
      <c r="U111" s="169"/>
      <c r="V111" s="169"/>
      <c r="W111" s="169"/>
      <c r="X111" s="169"/>
      <c r="Y111" s="169"/>
      <c r="Z111" s="169"/>
    </row>
    <row r="112" spans="16:26" ht="10.199999999999999" customHeight="1">
      <c r="P112" s="167"/>
      <c r="Q112" s="167"/>
      <c r="R112" s="167"/>
      <c r="S112" s="167"/>
      <c r="T112" s="167"/>
      <c r="U112" s="167"/>
      <c r="V112" s="167"/>
      <c r="W112" s="167"/>
      <c r="X112" s="167"/>
      <c r="Y112" s="167"/>
      <c r="Z112" s="167"/>
    </row>
    <row r="113" spans="16:26" ht="10.199999999999999" customHeight="1">
      <c r="P113" s="167"/>
      <c r="Q113" s="167"/>
      <c r="R113" s="167"/>
      <c r="S113" s="167"/>
      <c r="T113" s="167"/>
      <c r="U113" s="167"/>
      <c r="V113" s="167"/>
      <c r="W113" s="167"/>
      <c r="X113" s="167"/>
      <c r="Y113" s="167"/>
      <c r="Z113" s="167"/>
    </row>
    <row r="114" spans="16:26" ht="10.199999999999999" customHeight="1">
      <c r="P114" s="169"/>
      <c r="Q114" s="169"/>
      <c r="R114" s="169"/>
      <c r="S114" s="169"/>
      <c r="T114" s="169"/>
      <c r="U114" s="169"/>
      <c r="V114" s="169"/>
      <c r="W114" s="169"/>
      <c r="X114" s="169"/>
      <c r="Y114" s="169"/>
      <c r="Z114" s="169"/>
    </row>
    <row r="115" spans="16:26" ht="10.199999999999999" customHeight="1">
      <c r="P115" s="167"/>
      <c r="Q115" s="167"/>
      <c r="R115" s="167"/>
      <c r="S115" s="167"/>
      <c r="T115" s="167"/>
      <c r="U115" s="167"/>
      <c r="V115" s="167"/>
      <c r="W115" s="167"/>
      <c r="X115" s="167"/>
      <c r="Y115" s="167"/>
      <c r="Z115" s="167"/>
    </row>
    <row r="116" spans="16:26" ht="10.199999999999999" customHeight="1">
      <c r="P116" s="167"/>
      <c r="Q116" s="167"/>
      <c r="R116" s="167"/>
      <c r="S116" s="167"/>
      <c r="T116" s="167"/>
      <c r="U116" s="167"/>
      <c r="V116" s="167"/>
      <c r="W116" s="167"/>
      <c r="X116" s="167"/>
      <c r="Y116" s="167"/>
      <c r="Z116" s="167"/>
    </row>
    <row r="117" spans="16:26" ht="10.199999999999999" customHeight="1">
      <c r="P117" s="169"/>
      <c r="Q117" s="169"/>
      <c r="R117" s="169"/>
      <c r="S117" s="169"/>
      <c r="T117" s="169"/>
      <c r="U117" s="169"/>
      <c r="V117" s="169"/>
      <c r="W117" s="169"/>
      <c r="X117" s="169"/>
      <c r="Y117" s="169"/>
      <c r="Z117" s="169"/>
    </row>
    <row r="118" spans="16:26" ht="10.199999999999999" customHeight="1">
      <c r="P118" s="167"/>
      <c r="Q118" s="167"/>
      <c r="R118" s="167"/>
      <c r="S118" s="167"/>
      <c r="T118" s="167"/>
      <c r="U118" s="167"/>
      <c r="V118" s="167"/>
      <c r="W118" s="167"/>
      <c r="X118" s="167"/>
      <c r="Y118" s="167"/>
      <c r="Z118" s="167"/>
    </row>
    <row r="119" spans="16:26" ht="10.199999999999999" customHeight="1">
      <c r="P119" s="167"/>
      <c r="Q119" s="167"/>
      <c r="R119" s="167"/>
      <c r="S119" s="167"/>
      <c r="T119" s="167"/>
      <c r="U119" s="167"/>
      <c r="V119" s="167"/>
      <c r="W119" s="167"/>
      <c r="X119" s="167"/>
      <c r="Y119" s="167"/>
      <c r="Z119" s="167"/>
    </row>
    <row r="120" spans="16:26" ht="10.199999999999999" customHeight="1">
      <c r="P120" s="169"/>
      <c r="Q120" s="169"/>
      <c r="R120" s="169"/>
      <c r="S120" s="169"/>
      <c r="T120" s="169"/>
      <c r="U120" s="169"/>
      <c r="V120" s="169"/>
      <c r="W120" s="169"/>
      <c r="X120" s="169"/>
      <c r="Y120" s="169"/>
      <c r="Z120" s="169"/>
    </row>
    <row r="121" spans="16:26" ht="10.199999999999999" customHeight="1">
      <c r="P121" s="167"/>
      <c r="Q121" s="167"/>
      <c r="R121" s="167"/>
      <c r="S121" s="167"/>
      <c r="T121" s="167"/>
      <c r="U121" s="167"/>
      <c r="V121" s="167"/>
      <c r="W121" s="167"/>
      <c r="X121" s="167"/>
      <c r="Y121" s="167"/>
      <c r="Z121" s="167"/>
    </row>
    <row r="122" spans="16:26" ht="10.199999999999999" customHeight="1">
      <c r="P122" s="167"/>
      <c r="Q122" s="167"/>
      <c r="R122" s="167"/>
      <c r="S122" s="167"/>
      <c r="T122" s="167"/>
      <c r="U122" s="167"/>
      <c r="V122" s="167"/>
      <c r="W122" s="167"/>
      <c r="X122" s="167"/>
      <c r="Y122" s="167"/>
      <c r="Z122" s="167"/>
    </row>
    <row r="123" spans="16:26" ht="10.199999999999999" customHeight="1">
      <c r="P123" s="169"/>
      <c r="Q123" s="169"/>
      <c r="R123" s="169"/>
      <c r="S123" s="169"/>
      <c r="T123" s="169"/>
      <c r="U123" s="169"/>
      <c r="V123" s="169"/>
      <c r="W123" s="169"/>
      <c r="X123" s="169"/>
      <c r="Y123" s="169"/>
      <c r="Z123" s="169"/>
    </row>
    <row r="124" spans="16:26" ht="10.199999999999999" customHeight="1">
      <c r="P124" s="167"/>
      <c r="Q124" s="167"/>
      <c r="R124" s="167"/>
      <c r="S124" s="167"/>
      <c r="T124" s="167"/>
      <c r="U124" s="167"/>
      <c r="V124" s="167"/>
      <c r="W124" s="167"/>
      <c r="X124" s="167"/>
      <c r="Y124" s="167"/>
      <c r="Z124" s="167"/>
    </row>
    <row r="125" spans="16:26" ht="10.199999999999999" customHeight="1">
      <c r="P125" s="167"/>
      <c r="Q125" s="167"/>
      <c r="R125" s="167"/>
      <c r="S125" s="167"/>
      <c r="T125" s="167"/>
      <c r="U125" s="167"/>
      <c r="V125" s="167"/>
      <c r="W125" s="167"/>
      <c r="X125" s="167"/>
      <c r="Y125" s="167"/>
      <c r="Z125" s="167"/>
    </row>
    <row r="126" spans="16:26" ht="10.199999999999999" customHeight="1">
      <c r="P126" s="169"/>
      <c r="Q126" s="169"/>
      <c r="R126" s="169"/>
      <c r="S126" s="169"/>
      <c r="T126" s="169"/>
      <c r="U126" s="169"/>
      <c r="V126" s="169"/>
      <c r="W126" s="169"/>
      <c r="X126" s="169"/>
      <c r="Y126" s="169"/>
      <c r="Z126" s="169"/>
    </row>
    <row r="127" spans="16:26" ht="10.199999999999999" customHeight="1">
      <c r="P127" s="167"/>
      <c r="Q127" s="167"/>
      <c r="R127" s="167"/>
      <c r="S127" s="167"/>
      <c r="T127" s="167"/>
      <c r="U127" s="167"/>
      <c r="V127" s="167"/>
      <c r="W127" s="167"/>
      <c r="X127" s="167"/>
      <c r="Y127" s="167"/>
      <c r="Z127" s="167"/>
    </row>
    <row r="128" spans="16:26" ht="10.199999999999999" customHeight="1">
      <c r="P128" s="167"/>
      <c r="Q128" s="167"/>
      <c r="R128" s="167"/>
      <c r="S128" s="167"/>
      <c r="T128" s="167"/>
      <c r="U128" s="167"/>
      <c r="V128" s="167"/>
      <c r="W128" s="167"/>
      <c r="X128" s="167"/>
      <c r="Y128" s="167"/>
      <c r="Z128" s="167"/>
    </row>
    <row r="129" spans="16:26" ht="10.199999999999999" customHeight="1">
      <c r="P129" s="169"/>
      <c r="Q129" s="169"/>
      <c r="R129" s="169"/>
      <c r="S129" s="169"/>
      <c r="T129" s="169"/>
      <c r="U129" s="169"/>
      <c r="V129" s="169"/>
      <c r="W129" s="169"/>
      <c r="X129" s="169"/>
      <c r="Y129" s="169"/>
      <c r="Z129" s="169"/>
    </row>
    <row r="130" spans="16:26" ht="10.199999999999999" customHeight="1">
      <c r="P130" s="167"/>
      <c r="Q130" s="167"/>
      <c r="R130" s="167"/>
      <c r="S130" s="167"/>
      <c r="T130" s="167"/>
      <c r="U130" s="167"/>
      <c r="V130" s="167"/>
      <c r="W130" s="167"/>
      <c r="X130" s="167"/>
      <c r="Y130" s="167"/>
      <c r="Z130" s="167"/>
    </row>
    <row r="131" spans="16:26" ht="10.199999999999999" customHeight="1">
      <c r="P131" s="167"/>
      <c r="Q131" s="167"/>
      <c r="R131" s="167"/>
      <c r="S131" s="167"/>
      <c r="T131" s="167"/>
      <c r="U131" s="167"/>
      <c r="V131" s="167"/>
      <c r="W131" s="167"/>
      <c r="X131" s="167"/>
      <c r="Y131" s="167"/>
      <c r="Z131" s="167"/>
    </row>
    <row r="132" spans="16:26" ht="10.199999999999999" customHeight="1">
      <c r="P132" s="169"/>
      <c r="Q132" s="169"/>
      <c r="R132" s="169"/>
      <c r="S132" s="169"/>
      <c r="T132" s="169"/>
      <c r="U132" s="169"/>
      <c r="V132" s="169"/>
      <c r="W132" s="169"/>
      <c r="X132" s="169"/>
      <c r="Y132" s="169"/>
      <c r="Z132" s="169"/>
    </row>
    <row r="133" spans="16:26" ht="10.199999999999999" customHeight="1">
      <c r="P133" s="167"/>
      <c r="Q133" s="167"/>
      <c r="R133" s="167"/>
      <c r="S133" s="167"/>
      <c r="T133" s="167"/>
      <c r="U133" s="167"/>
      <c r="V133" s="167"/>
      <c r="W133" s="167"/>
      <c r="X133" s="167"/>
      <c r="Y133" s="167"/>
      <c r="Z133" s="167"/>
    </row>
    <row r="134" spans="16:26" ht="10.199999999999999" customHeight="1">
      <c r="P134" s="167"/>
      <c r="Q134" s="167"/>
      <c r="R134" s="167"/>
      <c r="S134" s="167"/>
      <c r="T134" s="167"/>
      <c r="U134" s="167"/>
      <c r="V134" s="167"/>
      <c r="W134" s="167"/>
      <c r="X134" s="167"/>
      <c r="Y134" s="167"/>
      <c r="Z134" s="167"/>
    </row>
    <row r="135" spans="16:26" ht="10.199999999999999" customHeight="1">
      <c r="P135" s="169"/>
      <c r="Q135" s="169"/>
      <c r="R135" s="169"/>
      <c r="S135" s="169"/>
      <c r="T135" s="169"/>
      <c r="U135" s="169"/>
      <c r="V135" s="169"/>
      <c r="W135" s="169"/>
      <c r="X135" s="169"/>
      <c r="Y135" s="169"/>
      <c r="Z135" s="169"/>
    </row>
    <row r="136" spans="16:26" ht="10.199999999999999" customHeight="1">
      <c r="P136" s="167"/>
      <c r="Q136" s="167"/>
      <c r="R136" s="167"/>
      <c r="S136" s="167"/>
      <c r="T136" s="167"/>
      <c r="U136" s="167"/>
      <c r="V136" s="167"/>
      <c r="W136" s="167"/>
      <c r="X136" s="167"/>
      <c r="Y136" s="167"/>
      <c r="Z136" s="167"/>
    </row>
    <row r="137" spans="16:26" ht="10.199999999999999" customHeight="1">
      <c r="P137" s="167"/>
      <c r="Q137" s="167"/>
      <c r="R137" s="167"/>
      <c r="S137" s="167"/>
      <c r="T137" s="167"/>
      <c r="U137" s="167"/>
      <c r="V137" s="167"/>
      <c r="W137" s="167"/>
      <c r="X137" s="167"/>
      <c r="Y137" s="167"/>
      <c r="Z137" s="167"/>
    </row>
    <row r="138" spans="16:26" ht="10.199999999999999" customHeight="1">
      <c r="P138" s="169"/>
      <c r="Q138" s="169"/>
      <c r="R138" s="169"/>
      <c r="S138" s="169"/>
      <c r="T138" s="169"/>
      <c r="U138" s="169"/>
      <c r="V138" s="169"/>
      <c r="W138" s="169"/>
      <c r="X138" s="169"/>
      <c r="Y138" s="169"/>
      <c r="Z138" s="169"/>
    </row>
    <row r="139" spans="16:26" ht="10.199999999999999" customHeight="1">
      <c r="P139" s="167"/>
      <c r="Q139" s="167"/>
      <c r="R139" s="167"/>
      <c r="S139" s="167"/>
      <c r="T139" s="167"/>
      <c r="U139" s="167"/>
      <c r="V139" s="167"/>
      <c r="W139" s="167"/>
      <c r="X139" s="167"/>
      <c r="Y139" s="167"/>
      <c r="Z139" s="167"/>
    </row>
    <row r="140" spans="16:26" ht="10.199999999999999" customHeight="1">
      <c r="P140" s="167"/>
      <c r="Q140" s="167"/>
      <c r="R140" s="167"/>
      <c r="S140" s="167"/>
      <c r="T140" s="167"/>
      <c r="U140" s="167"/>
      <c r="V140" s="167"/>
      <c r="W140" s="167"/>
      <c r="X140" s="167"/>
      <c r="Y140" s="167"/>
      <c r="Z140" s="167"/>
    </row>
    <row r="141" spans="16:26" ht="10.199999999999999" customHeight="1">
      <c r="P141" s="169"/>
      <c r="Q141" s="169"/>
      <c r="R141" s="169"/>
      <c r="S141" s="169"/>
      <c r="T141" s="169"/>
      <c r="U141" s="169"/>
      <c r="V141" s="169"/>
      <c r="W141" s="169"/>
      <c r="X141" s="169"/>
      <c r="Y141" s="169"/>
      <c r="Z141" s="169"/>
    </row>
    <row r="142" spans="16:26" ht="10.199999999999999" customHeight="1">
      <c r="P142" s="167"/>
      <c r="Q142" s="167"/>
      <c r="R142" s="167"/>
      <c r="S142" s="167"/>
      <c r="T142" s="167"/>
      <c r="U142" s="167"/>
      <c r="V142" s="167"/>
      <c r="W142" s="167"/>
      <c r="X142" s="167"/>
      <c r="Y142" s="167"/>
      <c r="Z142" s="167"/>
    </row>
    <row r="143" spans="16:26" ht="10.199999999999999" customHeight="1">
      <c r="P143" s="167"/>
      <c r="Q143" s="167"/>
      <c r="R143" s="167"/>
      <c r="S143" s="167"/>
      <c r="T143" s="167"/>
      <c r="U143" s="167"/>
      <c r="V143" s="167"/>
      <c r="W143" s="167"/>
      <c r="X143" s="167"/>
      <c r="Y143" s="167"/>
      <c r="Z143" s="167"/>
    </row>
    <row r="144" spans="16:26" ht="10.199999999999999" customHeight="1">
      <c r="P144" s="169"/>
      <c r="Q144" s="169"/>
      <c r="R144" s="169"/>
      <c r="S144" s="169"/>
      <c r="T144" s="169"/>
      <c r="U144" s="169"/>
      <c r="V144" s="169"/>
      <c r="W144" s="169"/>
      <c r="X144" s="169"/>
      <c r="Y144" s="169"/>
      <c r="Z144" s="169"/>
    </row>
    <row r="145" spans="16:26" ht="10.199999999999999" customHeight="1">
      <c r="P145" s="167"/>
      <c r="Q145" s="167"/>
      <c r="R145" s="167"/>
      <c r="S145" s="167"/>
      <c r="T145" s="167"/>
      <c r="U145" s="167"/>
      <c r="V145" s="167"/>
      <c r="W145" s="167"/>
      <c r="X145" s="167"/>
      <c r="Y145" s="167"/>
      <c r="Z145" s="167"/>
    </row>
    <row r="146" spans="16:26" ht="10.199999999999999" customHeight="1">
      <c r="P146" s="167"/>
      <c r="Q146" s="167"/>
      <c r="R146" s="167"/>
      <c r="S146" s="167"/>
      <c r="T146" s="167"/>
      <c r="U146" s="167"/>
      <c r="V146" s="167"/>
      <c r="W146" s="167"/>
      <c r="X146" s="167"/>
      <c r="Y146" s="167"/>
      <c r="Z146" s="167"/>
    </row>
    <row r="147" spans="16:26" ht="10.199999999999999" customHeight="1">
      <c r="P147" s="169"/>
      <c r="Q147" s="169"/>
      <c r="R147" s="169"/>
      <c r="S147" s="169"/>
      <c r="T147" s="169"/>
      <c r="U147" s="169"/>
      <c r="V147" s="169"/>
      <c r="W147" s="169"/>
      <c r="X147" s="169"/>
      <c r="Y147" s="169"/>
      <c r="Z147" s="169"/>
    </row>
    <row r="148" spans="16:26" ht="10.199999999999999" customHeight="1">
      <c r="P148" s="167"/>
      <c r="Q148" s="167"/>
      <c r="R148" s="167"/>
      <c r="S148" s="167"/>
      <c r="T148" s="167"/>
      <c r="U148" s="167"/>
      <c r="V148" s="167"/>
      <c r="W148" s="167"/>
      <c r="X148" s="167"/>
      <c r="Y148" s="167"/>
      <c r="Z148" s="167"/>
    </row>
    <row r="149" spans="16:26" ht="10.199999999999999" customHeight="1">
      <c r="P149" s="167"/>
      <c r="Q149" s="167"/>
      <c r="R149" s="167"/>
      <c r="S149" s="167"/>
      <c r="T149" s="167"/>
      <c r="U149" s="167"/>
      <c r="V149" s="167"/>
      <c r="W149" s="167"/>
      <c r="X149" s="167"/>
      <c r="Y149" s="167"/>
      <c r="Z149" s="167"/>
    </row>
    <row r="150" spans="16:26" ht="10.199999999999999" customHeight="1">
      <c r="P150" s="169"/>
      <c r="Q150" s="169"/>
      <c r="R150" s="169"/>
      <c r="S150" s="169"/>
      <c r="T150" s="169"/>
      <c r="U150" s="169"/>
      <c r="V150" s="169"/>
      <c r="W150" s="169"/>
      <c r="X150" s="169"/>
      <c r="Y150" s="169"/>
      <c r="Z150" s="169"/>
    </row>
    <row r="151" spans="16:26" ht="10.199999999999999" customHeight="1">
      <c r="P151" s="167"/>
      <c r="Q151" s="167"/>
      <c r="R151" s="167"/>
      <c r="S151" s="167"/>
      <c r="T151" s="167"/>
      <c r="U151" s="167"/>
      <c r="V151" s="167"/>
      <c r="W151" s="167"/>
      <c r="X151" s="167"/>
      <c r="Y151" s="167"/>
      <c r="Z151" s="167"/>
    </row>
    <row r="152" spans="16:26" ht="10.199999999999999" customHeight="1">
      <c r="P152" s="167"/>
      <c r="Q152" s="167"/>
      <c r="R152" s="167"/>
      <c r="S152" s="167"/>
      <c r="T152" s="167"/>
      <c r="U152" s="167"/>
      <c r="V152" s="167"/>
      <c r="W152" s="167"/>
      <c r="X152" s="167"/>
      <c r="Y152" s="167"/>
      <c r="Z152" s="167"/>
    </row>
    <row r="153" spans="16:26" ht="10.199999999999999" customHeight="1">
      <c r="P153" s="169"/>
      <c r="Q153" s="169"/>
      <c r="R153" s="169"/>
      <c r="S153" s="169"/>
      <c r="T153" s="169"/>
      <c r="U153" s="169"/>
      <c r="V153" s="169"/>
      <c r="W153" s="169"/>
      <c r="X153" s="169"/>
      <c r="Y153" s="169"/>
      <c r="Z153" s="169"/>
    </row>
    <row r="154" spans="16:26" ht="10.199999999999999" customHeight="1">
      <c r="P154" s="167"/>
      <c r="Q154" s="167"/>
      <c r="R154" s="167"/>
      <c r="S154" s="167"/>
      <c r="T154" s="167"/>
      <c r="U154" s="167"/>
      <c r="V154" s="167"/>
      <c r="W154" s="167"/>
      <c r="X154" s="167"/>
      <c r="Y154" s="167"/>
      <c r="Z154" s="167"/>
    </row>
    <row r="155" spans="16:26" ht="10.199999999999999" customHeight="1">
      <c r="P155" s="167"/>
      <c r="Q155" s="167"/>
      <c r="R155" s="167"/>
      <c r="S155" s="167"/>
      <c r="T155" s="167"/>
      <c r="U155" s="167"/>
      <c r="V155" s="167"/>
      <c r="W155" s="167"/>
      <c r="X155" s="167"/>
      <c r="Y155" s="167"/>
      <c r="Z155" s="167"/>
    </row>
    <row r="156" spans="16:26" ht="10.199999999999999" customHeight="1">
      <c r="P156" s="169"/>
      <c r="Q156" s="169"/>
      <c r="R156" s="169"/>
      <c r="S156" s="169"/>
      <c r="T156" s="169"/>
      <c r="U156" s="169"/>
      <c r="V156" s="169"/>
      <c r="W156" s="169"/>
      <c r="X156" s="169"/>
      <c r="Y156" s="169"/>
      <c r="Z156" s="169"/>
    </row>
    <row r="157" spans="16:26" ht="10.199999999999999" customHeight="1">
      <c r="P157" s="167"/>
      <c r="Q157" s="167"/>
      <c r="R157" s="167"/>
      <c r="S157" s="167"/>
      <c r="T157" s="167"/>
      <c r="U157" s="167"/>
      <c r="V157" s="167"/>
      <c r="W157" s="167"/>
      <c r="X157" s="167"/>
      <c r="Y157" s="167"/>
      <c r="Z157" s="167"/>
    </row>
    <row r="158" spans="16:26" ht="10.199999999999999" customHeight="1">
      <c r="P158" s="167"/>
      <c r="Q158" s="167"/>
      <c r="R158" s="167"/>
      <c r="S158" s="167"/>
      <c r="T158" s="167"/>
      <c r="U158" s="167"/>
      <c r="V158" s="167"/>
      <c r="W158" s="167"/>
      <c r="X158" s="167"/>
      <c r="Y158" s="167"/>
      <c r="Z158" s="167"/>
    </row>
    <row r="159" spans="16:26" ht="10.199999999999999" customHeight="1">
      <c r="P159" s="169"/>
      <c r="Q159" s="169"/>
      <c r="R159" s="169"/>
      <c r="S159" s="169"/>
      <c r="T159" s="169"/>
      <c r="U159" s="169"/>
      <c r="V159" s="169"/>
      <c r="W159" s="169"/>
      <c r="X159" s="169"/>
      <c r="Y159" s="169"/>
      <c r="Z159" s="169"/>
    </row>
    <row r="160" spans="16:26" ht="10.199999999999999" customHeight="1">
      <c r="P160" s="167"/>
      <c r="Q160" s="167"/>
      <c r="R160" s="167"/>
      <c r="S160" s="167"/>
      <c r="T160" s="167"/>
      <c r="U160" s="167"/>
      <c r="V160" s="167"/>
      <c r="W160" s="167"/>
      <c r="X160" s="167"/>
      <c r="Y160" s="167"/>
      <c r="Z160" s="167"/>
    </row>
    <row r="161" spans="16:26" ht="10.199999999999999" customHeight="1">
      <c r="P161" s="167"/>
      <c r="Q161" s="167"/>
      <c r="R161" s="167"/>
      <c r="S161" s="167"/>
      <c r="T161" s="167"/>
      <c r="U161" s="167"/>
      <c r="V161" s="167"/>
      <c r="W161" s="167"/>
      <c r="X161" s="167"/>
      <c r="Y161" s="167"/>
      <c r="Z161" s="167"/>
    </row>
    <row r="162" spans="16:26" ht="10.199999999999999" customHeight="1">
      <c r="P162" s="169"/>
      <c r="Q162" s="169"/>
      <c r="R162" s="169"/>
      <c r="S162" s="169"/>
      <c r="T162" s="169"/>
      <c r="U162" s="169"/>
      <c r="V162" s="169"/>
      <c r="W162" s="169"/>
      <c r="X162" s="169"/>
      <c r="Y162" s="169"/>
      <c r="Z162" s="169"/>
    </row>
    <row r="163" spans="16:26" ht="10.199999999999999" customHeight="1">
      <c r="P163" s="167"/>
      <c r="Q163" s="167"/>
      <c r="R163" s="167"/>
      <c r="S163" s="167"/>
      <c r="T163" s="167"/>
      <c r="U163" s="167"/>
      <c r="V163" s="167"/>
      <c r="W163" s="167"/>
      <c r="X163" s="167"/>
      <c r="Y163" s="167"/>
      <c r="Z163" s="167"/>
    </row>
    <row r="164" spans="16:26" ht="10.199999999999999" customHeight="1">
      <c r="P164" s="167"/>
      <c r="Q164" s="167"/>
      <c r="R164" s="167"/>
      <c r="S164" s="167"/>
      <c r="T164" s="167"/>
      <c r="U164" s="167"/>
      <c r="V164" s="167"/>
      <c r="W164" s="167"/>
      <c r="X164" s="167"/>
      <c r="Y164" s="167"/>
      <c r="Z164" s="167"/>
    </row>
    <row r="165" spans="16:26" ht="10.199999999999999" customHeight="1">
      <c r="P165" s="169"/>
      <c r="Q165" s="169"/>
      <c r="R165" s="169"/>
      <c r="S165" s="169"/>
      <c r="T165" s="169"/>
      <c r="U165" s="169"/>
      <c r="V165" s="169"/>
      <c r="W165" s="169"/>
      <c r="X165" s="169"/>
      <c r="Y165" s="169"/>
      <c r="Z165" s="169"/>
    </row>
    <row r="166" spans="16:26" ht="10.199999999999999" customHeight="1">
      <c r="P166" s="167"/>
      <c r="Q166" s="167"/>
      <c r="R166" s="167"/>
      <c r="S166" s="167"/>
      <c r="T166" s="167"/>
      <c r="U166" s="167"/>
      <c r="V166" s="167"/>
      <c r="W166" s="167"/>
      <c r="X166" s="167"/>
      <c r="Y166" s="167"/>
      <c r="Z166" s="167"/>
    </row>
    <row r="167" spans="16:26" ht="10.199999999999999" customHeight="1">
      <c r="P167" s="167"/>
      <c r="Q167" s="167"/>
      <c r="R167" s="167"/>
      <c r="S167" s="167"/>
      <c r="T167" s="167"/>
      <c r="U167" s="167"/>
      <c r="V167" s="167"/>
      <c r="W167" s="167"/>
      <c r="X167" s="167"/>
      <c r="Y167" s="167"/>
      <c r="Z167" s="167"/>
    </row>
    <row r="168" spans="16:26" ht="10.199999999999999" customHeight="1">
      <c r="P168" s="169"/>
      <c r="Q168" s="169"/>
      <c r="R168" s="169"/>
      <c r="S168" s="169"/>
      <c r="T168" s="169"/>
      <c r="U168" s="169"/>
      <c r="V168" s="169"/>
      <c r="W168" s="169"/>
      <c r="X168" s="169"/>
      <c r="Y168" s="169"/>
      <c r="Z168" s="169"/>
    </row>
    <row r="169" spans="16:26" ht="10.199999999999999" customHeight="1">
      <c r="P169" s="167"/>
      <c r="Q169" s="167"/>
      <c r="R169" s="167"/>
      <c r="S169" s="167"/>
      <c r="T169" s="167"/>
      <c r="U169" s="167"/>
      <c r="V169" s="167"/>
      <c r="W169" s="167"/>
      <c r="X169" s="167"/>
      <c r="Y169" s="167"/>
      <c r="Z169" s="167"/>
    </row>
    <row r="170" spans="16:26" ht="10.199999999999999" customHeight="1">
      <c r="P170" s="167"/>
      <c r="Q170" s="167"/>
      <c r="R170" s="167"/>
      <c r="S170" s="167"/>
      <c r="T170" s="167"/>
      <c r="U170" s="167"/>
      <c r="V170" s="167"/>
      <c r="W170" s="167"/>
      <c r="X170" s="167"/>
      <c r="Y170" s="167"/>
      <c r="Z170" s="167"/>
    </row>
    <row r="171" spans="16:26" ht="10.199999999999999" customHeight="1">
      <c r="P171" s="169"/>
      <c r="Q171" s="169"/>
      <c r="R171" s="169"/>
      <c r="S171" s="169"/>
      <c r="T171" s="169"/>
      <c r="U171" s="169"/>
      <c r="V171" s="169"/>
      <c r="W171" s="169"/>
      <c r="X171" s="169"/>
      <c r="Y171" s="169"/>
      <c r="Z171" s="169"/>
    </row>
    <row r="172" spans="16:26" ht="10.199999999999999" customHeight="1">
      <c r="P172" s="167"/>
      <c r="Q172" s="167"/>
      <c r="R172" s="167"/>
      <c r="S172" s="167"/>
      <c r="T172" s="167"/>
      <c r="U172" s="167"/>
      <c r="V172" s="167"/>
      <c r="W172" s="167"/>
      <c r="X172" s="167"/>
      <c r="Y172" s="167"/>
      <c r="Z172" s="167"/>
    </row>
    <row r="173" spans="16:26" ht="10.199999999999999" customHeight="1">
      <c r="P173" s="167"/>
      <c r="Q173" s="167"/>
      <c r="R173" s="167"/>
      <c r="S173" s="167"/>
      <c r="T173" s="167"/>
      <c r="U173" s="167"/>
      <c r="V173" s="167"/>
      <c r="W173" s="167"/>
      <c r="X173" s="167"/>
      <c r="Y173" s="167"/>
      <c r="Z173" s="167"/>
    </row>
    <row r="174" spans="16:26" ht="10.199999999999999" customHeight="1">
      <c r="P174" s="169"/>
      <c r="Q174" s="169"/>
      <c r="R174" s="169"/>
      <c r="S174" s="169"/>
      <c r="T174" s="169"/>
      <c r="U174" s="169"/>
      <c r="V174" s="169"/>
      <c r="W174" s="169"/>
      <c r="X174" s="169"/>
      <c r="Y174" s="169"/>
      <c r="Z174" s="169"/>
    </row>
    <row r="175" spans="16:26" ht="10.199999999999999" customHeight="1">
      <c r="P175" s="167"/>
      <c r="Q175" s="167"/>
      <c r="R175" s="167"/>
      <c r="S175" s="167"/>
      <c r="T175" s="167"/>
      <c r="U175" s="167"/>
      <c r="V175" s="167"/>
      <c r="W175" s="167"/>
      <c r="X175" s="167"/>
      <c r="Y175" s="167"/>
      <c r="Z175" s="167"/>
    </row>
    <row r="176" spans="16:26" ht="10.199999999999999" customHeight="1">
      <c r="P176" s="167"/>
      <c r="Q176" s="167"/>
      <c r="R176" s="167"/>
      <c r="S176" s="167"/>
      <c r="T176" s="167"/>
      <c r="U176" s="167"/>
      <c r="V176" s="167"/>
      <c r="W176" s="167"/>
      <c r="X176" s="167"/>
      <c r="Y176" s="167"/>
      <c r="Z176" s="167"/>
    </row>
    <row r="177" spans="16:26" ht="10.199999999999999" customHeight="1">
      <c r="P177" s="169"/>
      <c r="Q177" s="169"/>
      <c r="R177" s="169"/>
      <c r="S177" s="169"/>
      <c r="T177" s="169"/>
      <c r="U177" s="169"/>
      <c r="V177" s="169"/>
      <c r="W177" s="169"/>
      <c r="X177" s="169"/>
      <c r="Y177" s="169"/>
      <c r="Z177" s="169"/>
    </row>
    <row r="178" spans="16:26" ht="10.199999999999999" customHeight="1">
      <c r="P178" s="167"/>
      <c r="Q178" s="167"/>
      <c r="R178" s="167"/>
      <c r="S178" s="167"/>
      <c r="T178" s="167"/>
      <c r="U178" s="167"/>
      <c r="V178" s="167"/>
      <c r="W178" s="167"/>
      <c r="X178" s="167"/>
      <c r="Y178" s="167"/>
      <c r="Z178" s="167"/>
    </row>
    <row r="179" spans="16:26" ht="10.199999999999999" customHeight="1">
      <c r="P179" s="167"/>
      <c r="Q179" s="167"/>
      <c r="R179" s="167"/>
      <c r="S179" s="167"/>
      <c r="T179" s="167"/>
      <c r="U179" s="167"/>
      <c r="V179" s="167"/>
      <c r="W179" s="167"/>
      <c r="X179" s="167"/>
      <c r="Y179" s="167"/>
      <c r="Z179" s="167"/>
    </row>
    <row r="180" spans="16:26" ht="10.199999999999999" customHeight="1">
      <c r="P180" s="169"/>
      <c r="Q180" s="169"/>
      <c r="R180" s="169"/>
      <c r="S180" s="169"/>
      <c r="T180" s="169"/>
      <c r="U180" s="169"/>
      <c r="V180" s="169"/>
      <c r="W180" s="169"/>
      <c r="X180" s="169"/>
      <c r="Y180" s="169"/>
      <c r="Z180" s="169"/>
    </row>
    <row r="181" spans="16:26" ht="10.199999999999999" customHeight="1">
      <c r="P181" s="167"/>
      <c r="Q181" s="167"/>
      <c r="R181" s="167"/>
      <c r="S181" s="167"/>
      <c r="T181" s="167"/>
      <c r="U181" s="167"/>
      <c r="V181" s="167"/>
      <c r="W181" s="167"/>
      <c r="X181" s="167"/>
      <c r="Y181" s="167"/>
      <c r="Z181" s="167"/>
    </row>
    <row r="182" spans="16:26" ht="10.199999999999999" customHeight="1">
      <c r="P182" s="167"/>
      <c r="Q182" s="167"/>
      <c r="R182" s="167"/>
      <c r="S182" s="167"/>
      <c r="T182" s="167"/>
      <c r="U182" s="167"/>
      <c r="V182" s="167"/>
      <c r="W182" s="167"/>
      <c r="X182" s="167"/>
      <c r="Y182" s="167"/>
      <c r="Z182" s="167"/>
    </row>
    <row r="183" spans="16:26" ht="10.199999999999999" customHeight="1">
      <c r="P183" s="169"/>
      <c r="Q183" s="169"/>
      <c r="R183" s="169"/>
      <c r="S183" s="169"/>
      <c r="T183" s="169"/>
      <c r="U183" s="169"/>
      <c r="V183" s="169"/>
      <c r="W183" s="169"/>
      <c r="X183" s="169"/>
      <c r="Y183" s="169"/>
      <c r="Z183" s="169"/>
    </row>
    <row r="184" spans="16:26" ht="10.199999999999999" customHeight="1">
      <c r="P184" s="167"/>
      <c r="Q184" s="167"/>
      <c r="R184" s="167"/>
      <c r="S184" s="167"/>
      <c r="T184" s="167"/>
      <c r="U184" s="167"/>
      <c r="V184" s="167"/>
      <c r="W184" s="167"/>
      <c r="X184" s="167"/>
      <c r="Y184" s="167"/>
      <c r="Z184" s="167"/>
    </row>
    <row r="185" spans="16:26" ht="10.199999999999999" customHeight="1">
      <c r="P185" s="167"/>
      <c r="Q185" s="167"/>
      <c r="R185" s="167"/>
      <c r="S185" s="167"/>
      <c r="T185" s="167"/>
      <c r="U185" s="167"/>
      <c r="V185" s="167"/>
      <c r="W185" s="167"/>
      <c r="X185" s="167"/>
      <c r="Y185" s="167"/>
      <c r="Z185" s="167"/>
    </row>
    <row r="186" spans="16:26" ht="10.199999999999999" customHeight="1">
      <c r="P186" s="169"/>
      <c r="Q186" s="169"/>
      <c r="R186" s="169"/>
      <c r="S186" s="169"/>
      <c r="T186" s="169"/>
      <c r="U186" s="169"/>
      <c r="V186" s="169"/>
      <c r="W186" s="169"/>
      <c r="X186" s="169"/>
      <c r="Y186" s="169"/>
      <c r="Z186" s="169"/>
    </row>
    <row r="187" spans="16:26" ht="10.199999999999999" customHeight="1">
      <c r="P187" s="167"/>
      <c r="Q187" s="167"/>
      <c r="R187" s="167"/>
      <c r="S187" s="167"/>
      <c r="T187" s="167"/>
      <c r="U187" s="167"/>
      <c r="V187" s="167"/>
      <c r="W187" s="167"/>
      <c r="X187" s="167"/>
      <c r="Y187" s="167"/>
      <c r="Z187" s="167"/>
    </row>
    <row r="188" spans="16:26" ht="10.199999999999999" customHeight="1">
      <c r="P188" s="167"/>
      <c r="Q188" s="167"/>
      <c r="R188" s="167"/>
      <c r="S188" s="167"/>
      <c r="T188" s="167"/>
      <c r="U188" s="167"/>
      <c r="V188" s="167"/>
      <c r="W188" s="167"/>
      <c r="X188" s="167"/>
      <c r="Y188" s="167"/>
      <c r="Z188" s="167"/>
    </row>
    <row r="189" spans="16:26" ht="10.199999999999999" customHeight="1">
      <c r="P189" s="169"/>
      <c r="Q189" s="169"/>
      <c r="R189" s="169"/>
      <c r="S189" s="169"/>
      <c r="T189" s="169"/>
      <c r="U189" s="169"/>
      <c r="V189" s="169"/>
      <c r="W189" s="169"/>
      <c r="X189" s="169"/>
      <c r="Y189" s="169"/>
      <c r="Z189" s="169"/>
    </row>
    <row r="190" spans="16:26" ht="10.199999999999999" customHeight="1">
      <c r="P190" s="167"/>
      <c r="Q190" s="167"/>
      <c r="R190" s="167"/>
      <c r="S190" s="167"/>
      <c r="T190" s="167"/>
      <c r="U190" s="167"/>
      <c r="V190" s="167"/>
      <c r="W190" s="167"/>
      <c r="X190" s="167"/>
      <c r="Y190" s="167"/>
      <c r="Z190" s="167"/>
    </row>
    <row r="191" spans="16:26" ht="10.199999999999999" customHeight="1">
      <c r="P191" s="167"/>
      <c r="Q191" s="167"/>
      <c r="R191" s="167"/>
      <c r="S191" s="167"/>
      <c r="T191" s="167"/>
      <c r="U191" s="167"/>
      <c r="V191" s="167"/>
      <c r="W191" s="167"/>
      <c r="X191" s="167"/>
      <c r="Y191" s="167"/>
      <c r="Z191" s="167"/>
    </row>
    <row r="192" spans="16:26" ht="10.199999999999999" customHeight="1">
      <c r="P192" s="169"/>
      <c r="Q192" s="169"/>
      <c r="R192" s="169"/>
      <c r="S192" s="169"/>
      <c r="T192" s="169"/>
      <c r="U192" s="169"/>
      <c r="V192" s="169"/>
      <c r="W192" s="169"/>
      <c r="X192" s="169"/>
      <c r="Y192" s="169"/>
      <c r="Z192" s="169"/>
    </row>
    <row r="193" spans="16:26" ht="10.199999999999999" customHeight="1">
      <c r="P193" s="167"/>
      <c r="Q193" s="167"/>
      <c r="R193" s="167"/>
      <c r="S193" s="167"/>
      <c r="T193" s="167"/>
      <c r="U193" s="167"/>
      <c r="V193" s="167"/>
      <c r="W193" s="167"/>
      <c r="X193" s="167"/>
      <c r="Y193" s="167"/>
      <c r="Z193" s="167"/>
    </row>
    <row r="194" spans="16:26" ht="10.199999999999999" customHeight="1">
      <c r="P194" s="167"/>
      <c r="Q194" s="167"/>
      <c r="R194" s="167"/>
      <c r="S194" s="167"/>
      <c r="T194" s="167"/>
      <c r="U194" s="167"/>
      <c r="V194" s="167"/>
      <c r="W194" s="167"/>
      <c r="X194" s="167"/>
      <c r="Y194" s="167"/>
      <c r="Z194" s="167"/>
    </row>
    <row r="195" spans="16:26" ht="10.199999999999999" customHeight="1">
      <c r="P195" s="169"/>
      <c r="Q195" s="169"/>
      <c r="R195" s="169"/>
      <c r="S195" s="169"/>
      <c r="T195" s="169"/>
      <c r="U195" s="169"/>
      <c r="V195" s="169"/>
      <c r="W195" s="169"/>
      <c r="X195" s="169"/>
      <c r="Y195" s="169"/>
      <c r="Z195" s="169"/>
    </row>
    <row r="196" spans="16:26" ht="10.199999999999999" customHeight="1">
      <c r="P196" s="167"/>
      <c r="Q196" s="167"/>
      <c r="R196" s="167"/>
      <c r="S196" s="167"/>
      <c r="T196" s="167"/>
      <c r="U196" s="167"/>
      <c r="V196" s="167"/>
      <c r="W196" s="167"/>
      <c r="X196" s="167"/>
      <c r="Y196" s="167"/>
      <c r="Z196" s="167"/>
    </row>
    <row r="197" spans="16:26" ht="10.199999999999999" customHeight="1">
      <c r="P197" s="167"/>
      <c r="Q197" s="167"/>
      <c r="R197" s="167"/>
      <c r="S197" s="167"/>
      <c r="T197" s="167"/>
      <c r="U197" s="167"/>
      <c r="V197" s="167"/>
      <c r="W197" s="167"/>
      <c r="X197" s="167"/>
      <c r="Y197" s="167"/>
      <c r="Z197" s="167"/>
    </row>
    <row r="198" spans="16:26" ht="10.199999999999999" customHeight="1">
      <c r="P198" s="169"/>
      <c r="Q198" s="169"/>
      <c r="R198" s="169"/>
      <c r="S198" s="169"/>
      <c r="T198" s="169"/>
      <c r="U198" s="169"/>
      <c r="V198" s="169"/>
      <c r="W198" s="169"/>
      <c r="X198" s="169"/>
      <c r="Y198" s="169"/>
      <c r="Z198" s="169"/>
    </row>
    <row r="199" spans="16:26" ht="10.199999999999999" customHeight="1">
      <c r="P199" s="167"/>
      <c r="Q199" s="167"/>
      <c r="R199" s="167"/>
      <c r="S199" s="167"/>
      <c r="T199" s="167"/>
      <c r="U199" s="167"/>
      <c r="V199" s="167"/>
      <c r="W199" s="167"/>
      <c r="X199" s="167"/>
      <c r="Y199" s="167"/>
      <c r="Z199" s="167"/>
    </row>
    <row r="200" spans="16:26" ht="10.199999999999999" customHeight="1">
      <c r="P200" s="167"/>
      <c r="Q200" s="167"/>
      <c r="R200" s="167"/>
      <c r="S200" s="167"/>
      <c r="T200" s="167"/>
      <c r="U200" s="167"/>
      <c r="V200" s="167"/>
      <c r="W200" s="167"/>
      <c r="X200" s="167"/>
      <c r="Y200" s="167"/>
      <c r="Z200" s="167"/>
    </row>
    <row r="201" spans="16:26" ht="10.199999999999999" customHeight="1">
      <c r="P201" s="169"/>
      <c r="Q201" s="169"/>
      <c r="R201" s="169"/>
      <c r="S201" s="169"/>
      <c r="T201" s="169"/>
      <c r="U201" s="169"/>
      <c r="V201" s="169"/>
      <c r="W201" s="169"/>
      <c r="X201" s="169"/>
      <c r="Y201" s="169"/>
      <c r="Z201" s="169"/>
    </row>
    <row r="202" spans="16:26" ht="10.199999999999999" customHeight="1">
      <c r="P202" s="167"/>
      <c r="Q202" s="167"/>
      <c r="R202" s="167"/>
      <c r="S202" s="167"/>
      <c r="T202" s="167"/>
      <c r="U202" s="167"/>
      <c r="V202" s="167"/>
      <c r="W202" s="167"/>
      <c r="X202" s="167"/>
      <c r="Y202" s="167"/>
      <c r="Z202" s="167"/>
    </row>
    <row r="203" spans="16:26" ht="10.199999999999999" customHeight="1">
      <c r="P203" s="167"/>
      <c r="Q203" s="167"/>
      <c r="R203" s="167"/>
      <c r="S203" s="167"/>
      <c r="T203" s="167"/>
      <c r="U203" s="167"/>
      <c r="V203" s="167"/>
      <c r="W203" s="167"/>
      <c r="X203" s="167"/>
      <c r="Y203" s="167"/>
      <c r="Z203" s="167"/>
    </row>
    <row r="204" spans="16:26" ht="10.199999999999999" customHeight="1">
      <c r="P204" s="169"/>
      <c r="Q204" s="169"/>
      <c r="R204" s="169"/>
      <c r="S204" s="169"/>
      <c r="T204" s="169"/>
      <c r="U204" s="169"/>
      <c r="V204" s="169"/>
      <c r="W204" s="169"/>
      <c r="X204" s="169"/>
      <c r="Y204" s="169"/>
      <c r="Z204" s="169"/>
    </row>
    <row r="205" spans="16:26" ht="10.199999999999999" customHeight="1">
      <c r="P205" s="167"/>
      <c r="Q205" s="167"/>
      <c r="R205" s="167"/>
      <c r="S205" s="167"/>
      <c r="T205" s="167"/>
      <c r="U205" s="167"/>
      <c r="V205" s="167"/>
      <c r="W205" s="167"/>
      <c r="X205" s="167"/>
      <c r="Y205" s="167"/>
      <c r="Z205" s="167"/>
    </row>
    <row r="206" spans="16:26" ht="10.199999999999999" customHeight="1">
      <c r="P206" s="167"/>
      <c r="Q206" s="167"/>
      <c r="R206" s="167"/>
      <c r="S206" s="167"/>
      <c r="T206" s="167"/>
      <c r="U206" s="167"/>
      <c r="V206" s="167"/>
      <c r="W206" s="167"/>
      <c r="X206" s="167"/>
      <c r="Y206" s="167"/>
      <c r="Z206" s="167"/>
    </row>
    <row r="207" spans="16:26" ht="10.199999999999999" customHeight="1">
      <c r="P207" s="169"/>
      <c r="Q207" s="169"/>
      <c r="R207" s="169"/>
      <c r="S207" s="169"/>
      <c r="T207" s="169"/>
      <c r="U207" s="169"/>
      <c r="V207" s="169"/>
      <c r="W207" s="169"/>
      <c r="X207" s="169"/>
      <c r="Y207" s="169"/>
      <c r="Z207" s="169"/>
    </row>
    <row r="208" spans="16:26" ht="10.199999999999999" customHeight="1">
      <c r="P208" s="167"/>
      <c r="Q208" s="167"/>
      <c r="R208" s="167"/>
      <c r="S208" s="167"/>
      <c r="T208" s="167"/>
      <c r="U208" s="167"/>
      <c r="V208" s="167"/>
      <c r="W208" s="167"/>
      <c r="X208" s="167"/>
      <c r="Y208" s="167"/>
      <c r="Z208" s="167"/>
    </row>
    <row r="209" spans="16:26" ht="10.199999999999999" customHeight="1">
      <c r="P209" s="167"/>
      <c r="Q209" s="167"/>
      <c r="R209" s="167"/>
      <c r="S209" s="167"/>
      <c r="T209" s="167"/>
      <c r="U209" s="167"/>
      <c r="V209" s="167"/>
      <c r="W209" s="167"/>
      <c r="X209" s="167"/>
      <c r="Y209" s="167"/>
      <c r="Z209" s="167"/>
    </row>
    <row r="210" spans="16:26" ht="10.199999999999999" customHeight="1">
      <c r="P210" s="169"/>
      <c r="Q210" s="169"/>
      <c r="R210" s="169"/>
      <c r="S210" s="169"/>
      <c r="T210" s="169"/>
      <c r="U210" s="169"/>
      <c r="V210" s="169"/>
      <c r="W210" s="169"/>
      <c r="X210" s="169"/>
      <c r="Y210" s="169"/>
      <c r="Z210" s="169"/>
    </row>
    <row r="211" spans="16:26" ht="10.199999999999999" customHeight="1">
      <c r="P211" s="167"/>
      <c r="Q211" s="167"/>
      <c r="R211" s="167"/>
      <c r="S211" s="167"/>
      <c r="T211" s="167"/>
      <c r="U211" s="167"/>
      <c r="V211" s="167"/>
      <c r="W211" s="167"/>
      <c r="X211" s="167"/>
      <c r="Y211" s="167"/>
      <c r="Z211" s="167"/>
    </row>
    <row r="212" spans="16:26" ht="10.199999999999999" customHeight="1">
      <c r="P212" s="167"/>
      <c r="Q212" s="167"/>
      <c r="R212" s="167"/>
      <c r="S212" s="167"/>
      <c r="T212" s="167"/>
      <c r="U212" s="167"/>
      <c r="V212" s="167"/>
      <c r="W212" s="167"/>
      <c r="X212" s="167"/>
      <c r="Y212" s="167"/>
      <c r="Z212" s="167"/>
    </row>
    <row r="213" spans="16:26" ht="10.199999999999999" customHeight="1">
      <c r="P213" s="169"/>
      <c r="Q213" s="169"/>
      <c r="R213" s="169"/>
      <c r="S213" s="169"/>
      <c r="T213" s="169"/>
      <c r="U213" s="169"/>
      <c r="V213" s="169"/>
      <c r="W213" s="169"/>
      <c r="X213" s="169"/>
      <c r="Y213" s="169"/>
      <c r="Z213" s="169"/>
    </row>
    <row r="214" spans="16:26" ht="10.199999999999999" customHeight="1">
      <c r="P214" s="167"/>
      <c r="Q214" s="167"/>
      <c r="R214" s="167"/>
      <c r="S214" s="167"/>
      <c r="T214" s="167"/>
      <c r="U214" s="167"/>
      <c r="V214" s="167"/>
      <c r="W214" s="167"/>
      <c r="X214" s="167"/>
      <c r="Y214" s="167"/>
      <c r="Z214" s="167"/>
    </row>
    <row r="215" spans="16:26" ht="10.199999999999999" customHeight="1">
      <c r="P215" s="167"/>
      <c r="Q215" s="167"/>
      <c r="R215" s="167"/>
      <c r="S215" s="167"/>
      <c r="T215" s="167"/>
      <c r="U215" s="167"/>
      <c r="V215" s="167"/>
      <c r="W215" s="167"/>
      <c r="X215" s="167"/>
      <c r="Y215" s="167"/>
      <c r="Z215" s="167"/>
    </row>
    <row r="216" spans="16:26" ht="10.199999999999999" customHeight="1">
      <c r="P216" s="169"/>
      <c r="Q216" s="169"/>
      <c r="R216" s="169"/>
      <c r="S216" s="169"/>
      <c r="T216" s="169"/>
      <c r="U216" s="169"/>
      <c r="V216" s="169"/>
      <c r="W216" s="169"/>
      <c r="X216" s="169"/>
      <c r="Y216" s="169"/>
      <c r="Z216" s="169"/>
    </row>
    <row r="217" spans="16:26" ht="10.199999999999999" customHeight="1">
      <c r="P217" s="167"/>
      <c r="Q217" s="167"/>
      <c r="R217" s="167"/>
      <c r="S217" s="167"/>
      <c r="T217" s="167"/>
      <c r="U217" s="167"/>
      <c r="V217" s="167"/>
      <c r="W217" s="167"/>
      <c r="X217" s="167"/>
      <c r="Y217" s="167"/>
      <c r="Z217" s="167"/>
    </row>
    <row r="218" spans="16:26" ht="10.199999999999999" customHeight="1">
      <c r="P218" s="167"/>
      <c r="Q218" s="167"/>
      <c r="R218" s="167"/>
      <c r="S218" s="167"/>
      <c r="T218" s="167"/>
      <c r="U218" s="167"/>
      <c r="V218" s="167"/>
      <c r="W218" s="167"/>
      <c r="X218" s="167"/>
      <c r="Y218" s="167"/>
      <c r="Z218" s="167"/>
    </row>
    <row r="219" spans="16:26" ht="10.199999999999999" customHeight="1">
      <c r="P219" s="169"/>
      <c r="Q219" s="169"/>
      <c r="R219" s="169"/>
      <c r="S219" s="169"/>
      <c r="T219" s="169"/>
      <c r="U219" s="169"/>
      <c r="V219" s="169"/>
      <c r="W219" s="169"/>
      <c r="X219" s="169"/>
      <c r="Y219" s="169"/>
      <c r="Z219" s="169"/>
    </row>
    <row r="220" spans="16:26" ht="10.199999999999999" customHeight="1">
      <c r="P220" s="167"/>
      <c r="Q220" s="167"/>
      <c r="R220" s="167"/>
      <c r="S220" s="167"/>
      <c r="T220" s="167"/>
      <c r="U220" s="167"/>
      <c r="V220" s="167"/>
      <c r="W220" s="167"/>
      <c r="X220" s="167"/>
      <c r="Y220" s="167"/>
      <c r="Z220" s="167"/>
    </row>
    <row r="221" spans="16:26" ht="10.199999999999999" customHeight="1">
      <c r="P221" s="167"/>
      <c r="Q221" s="167"/>
      <c r="R221" s="167"/>
      <c r="S221" s="167"/>
      <c r="T221" s="167"/>
      <c r="U221" s="167"/>
      <c r="V221" s="167"/>
      <c r="W221" s="167"/>
      <c r="X221" s="167"/>
      <c r="Y221" s="167"/>
      <c r="Z221" s="167"/>
    </row>
    <row r="222" spans="16:26" ht="10.199999999999999" customHeight="1">
      <c r="P222" s="169"/>
      <c r="Q222" s="169"/>
      <c r="R222" s="169"/>
      <c r="S222" s="169"/>
      <c r="T222" s="169"/>
      <c r="U222" s="169"/>
      <c r="V222" s="169"/>
      <c r="W222" s="169"/>
      <c r="X222" s="169"/>
      <c r="Y222" s="169"/>
      <c r="Z222" s="169"/>
    </row>
    <row r="223" spans="16:26" ht="10.199999999999999" customHeight="1">
      <c r="P223" s="167"/>
      <c r="Q223" s="167"/>
      <c r="R223" s="167"/>
      <c r="S223" s="167"/>
      <c r="T223" s="167"/>
      <c r="U223" s="167"/>
      <c r="V223" s="167"/>
      <c r="W223" s="167"/>
      <c r="X223" s="167"/>
      <c r="Y223" s="167"/>
      <c r="Z223" s="167"/>
    </row>
    <row r="224" spans="16:26" ht="10.199999999999999" customHeight="1">
      <c r="P224" s="167"/>
      <c r="Q224" s="167"/>
      <c r="R224" s="167"/>
      <c r="S224" s="167"/>
      <c r="T224" s="167"/>
      <c r="U224" s="167"/>
      <c r="V224" s="167"/>
      <c r="W224" s="167"/>
      <c r="X224" s="167"/>
      <c r="Y224" s="167"/>
      <c r="Z224" s="167"/>
    </row>
    <row r="225" spans="16:26" ht="10.199999999999999" customHeight="1">
      <c r="P225" s="169"/>
      <c r="Q225" s="169"/>
      <c r="R225" s="169"/>
      <c r="S225" s="169"/>
      <c r="T225" s="169"/>
      <c r="U225" s="169"/>
      <c r="V225" s="169"/>
      <c r="W225" s="169"/>
      <c r="X225" s="169"/>
      <c r="Y225" s="169"/>
      <c r="Z225" s="169"/>
    </row>
    <row r="226" spans="16:26" ht="10.199999999999999" customHeight="1">
      <c r="P226" s="167"/>
      <c r="Q226" s="167"/>
      <c r="R226" s="167"/>
      <c r="S226" s="167"/>
      <c r="T226" s="167"/>
      <c r="U226" s="167"/>
      <c r="V226" s="167"/>
      <c r="W226" s="167"/>
      <c r="X226" s="167"/>
      <c r="Y226" s="167"/>
      <c r="Z226" s="167"/>
    </row>
    <row r="227" spans="16:26" ht="10.199999999999999" customHeight="1">
      <c r="P227" s="167"/>
      <c r="Q227" s="167"/>
      <c r="R227" s="167"/>
      <c r="S227" s="167"/>
      <c r="T227" s="167"/>
      <c r="U227" s="167"/>
      <c r="V227" s="167"/>
      <c r="W227" s="167"/>
      <c r="X227" s="167"/>
      <c r="Y227" s="167"/>
      <c r="Z227" s="167"/>
    </row>
    <row r="228" spans="16:26" ht="10.199999999999999" customHeight="1">
      <c r="P228" s="169"/>
      <c r="Q228" s="169"/>
      <c r="R228" s="169"/>
      <c r="S228" s="169"/>
      <c r="T228" s="169"/>
      <c r="U228" s="169"/>
      <c r="V228" s="169"/>
      <c r="W228" s="169"/>
      <c r="X228" s="169"/>
      <c r="Y228" s="169"/>
      <c r="Z228" s="169"/>
    </row>
    <row r="229" spans="16:26" ht="10.199999999999999" customHeight="1">
      <c r="P229" s="167"/>
      <c r="Q229" s="167"/>
      <c r="R229" s="167"/>
      <c r="S229" s="167"/>
      <c r="T229" s="167"/>
      <c r="U229" s="167"/>
      <c r="V229" s="167"/>
      <c r="W229" s="167"/>
      <c r="X229" s="167"/>
      <c r="Y229" s="167"/>
      <c r="Z229" s="167"/>
    </row>
    <row r="230" spans="16:26" ht="10.199999999999999" customHeight="1">
      <c r="P230" s="167"/>
      <c r="Q230" s="167"/>
      <c r="R230" s="167"/>
      <c r="S230" s="167"/>
      <c r="T230" s="167"/>
      <c r="U230" s="167"/>
      <c r="V230" s="167"/>
      <c r="W230" s="167"/>
      <c r="X230" s="167"/>
      <c r="Y230" s="167"/>
      <c r="Z230" s="167"/>
    </row>
    <row r="231" spans="16:26" ht="10.199999999999999" customHeight="1">
      <c r="P231" s="169"/>
      <c r="Q231" s="169"/>
      <c r="R231" s="169"/>
      <c r="S231" s="169"/>
      <c r="T231" s="169"/>
      <c r="U231" s="169"/>
      <c r="V231" s="169"/>
      <c r="W231" s="169"/>
      <c r="X231" s="169"/>
      <c r="Y231" s="169"/>
      <c r="Z231" s="169"/>
    </row>
    <row r="232" spans="16:26" ht="10.199999999999999" customHeight="1">
      <c r="P232" s="167"/>
      <c r="Q232" s="167"/>
      <c r="R232" s="167"/>
      <c r="S232" s="167"/>
      <c r="T232" s="167"/>
      <c r="U232" s="167"/>
      <c r="V232" s="167"/>
      <c r="W232" s="167"/>
      <c r="X232" s="167"/>
      <c r="Y232" s="167"/>
      <c r="Z232" s="167"/>
    </row>
    <row r="233" spans="16:26" ht="10.199999999999999" customHeight="1">
      <c r="P233" s="167"/>
      <c r="Q233" s="167"/>
      <c r="R233" s="167"/>
      <c r="S233" s="167"/>
      <c r="T233" s="167"/>
      <c r="U233" s="167"/>
      <c r="V233" s="167"/>
      <c r="W233" s="167"/>
      <c r="X233" s="167"/>
      <c r="Y233" s="167"/>
      <c r="Z233" s="167"/>
    </row>
    <row r="234" spans="16:26" ht="10.199999999999999" customHeight="1">
      <c r="P234" s="169"/>
      <c r="Q234" s="169"/>
      <c r="R234" s="169"/>
      <c r="S234" s="169"/>
      <c r="T234" s="169"/>
      <c r="U234" s="169"/>
      <c r="V234" s="169"/>
      <c r="W234" s="169"/>
      <c r="X234" s="169"/>
      <c r="Y234" s="169"/>
      <c r="Z234" s="169"/>
    </row>
    <row r="235" spans="16:26" ht="10.199999999999999" customHeight="1">
      <c r="P235" s="167"/>
      <c r="Q235" s="167"/>
      <c r="R235" s="167"/>
      <c r="S235" s="167"/>
      <c r="T235" s="167"/>
      <c r="U235" s="167"/>
      <c r="V235" s="167"/>
      <c r="W235" s="167"/>
      <c r="X235" s="167"/>
      <c r="Y235" s="167"/>
      <c r="Z235" s="167"/>
    </row>
    <row r="236" spans="16:26" ht="10.199999999999999" customHeight="1">
      <c r="P236" s="167"/>
      <c r="Q236" s="167"/>
      <c r="R236" s="167"/>
      <c r="S236" s="167"/>
      <c r="T236" s="167"/>
      <c r="U236" s="167"/>
      <c r="V236" s="167"/>
      <c r="W236" s="167"/>
      <c r="X236" s="167"/>
      <c r="Y236" s="167"/>
      <c r="Z236" s="167"/>
    </row>
    <row r="237" spans="16:26" ht="10.199999999999999" customHeight="1">
      <c r="P237" s="169"/>
      <c r="Q237" s="169"/>
      <c r="R237" s="169"/>
      <c r="S237" s="169"/>
      <c r="T237" s="169"/>
      <c r="U237" s="169"/>
      <c r="V237" s="169"/>
      <c r="W237" s="169"/>
      <c r="X237" s="169"/>
      <c r="Y237" s="169"/>
      <c r="Z237" s="169"/>
    </row>
    <row r="238" spans="16:26" ht="10.199999999999999" customHeight="1">
      <c r="P238" s="167"/>
      <c r="Q238" s="167"/>
      <c r="R238" s="167"/>
      <c r="S238" s="167"/>
      <c r="T238" s="167"/>
      <c r="U238" s="167"/>
      <c r="V238" s="167"/>
      <c r="W238" s="167"/>
      <c r="X238" s="167"/>
      <c r="Y238" s="167"/>
      <c r="Z238" s="167"/>
    </row>
    <row r="239" spans="16:26" ht="10.199999999999999" customHeight="1">
      <c r="P239" s="167"/>
      <c r="Q239" s="167"/>
      <c r="R239" s="167"/>
      <c r="S239" s="167"/>
      <c r="T239" s="167"/>
      <c r="U239" s="167"/>
      <c r="V239" s="167"/>
      <c r="W239" s="167"/>
      <c r="X239" s="167"/>
      <c r="Y239" s="167"/>
      <c r="Z239" s="167"/>
    </row>
    <row r="240" spans="16:26" ht="10.199999999999999" customHeight="1">
      <c r="P240" s="169"/>
      <c r="Q240" s="169"/>
      <c r="R240" s="169"/>
      <c r="S240" s="169"/>
      <c r="T240" s="169"/>
      <c r="U240" s="169"/>
      <c r="V240" s="169"/>
      <c r="W240" s="169"/>
      <c r="X240" s="169"/>
      <c r="Y240" s="169"/>
      <c r="Z240" s="169"/>
    </row>
    <row r="241" spans="16:26" ht="10.199999999999999" customHeight="1">
      <c r="P241" s="167"/>
      <c r="Q241" s="167"/>
      <c r="R241" s="167"/>
      <c r="S241" s="167"/>
      <c r="T241" s="167"/>
      <c r="U241" s="167"/>
      <c r="V241" s="167"/>
      <c r="W241" s="167"/>
      <c r="X241" s="167"/>
      <c r="Y241" s="167"/>
      <c r="Z241" s="167"/>
    </row>
    <row r="242" spans="16:26" ht="10.199999999999999" customHeight="1">
      <c r="P242" s="167"/>
      <c r="Q242" s="167"/>
      <c r="R242" s="167"/>
      <c r="S242" s="167"/>
      <c r="T242" s="167"/>
      <c r="U242" s="167"/>
      <c r="V242" s="167"/>
      <c r="W242" s="167"/>
      <c r="X242" s="167"/>
      <c r="Y242" s="167"/>
      <c r="Z242" s="167"/>
    </row>
    <row r="243" spans="16:26" ht="10.199999999999999" customHeight="1">
      <c r="P243" s="169"/>
      <c r="Q243" s="169"/>
      <c r="R243" s="169"/>
      <c r="S243" s="169"/>
      <c r="T243" s="169"/>
      <c r="U243" s="169"/>
      <c r="V243" s="169"/>
      <c r="W243" s="169"/>
      <c r="X243" s="169"/>
      <c r="Y243" s="169"/>
      <c r="Z243" s="169"/>
    </row>
    <row r="244" spans="16:26" ht="10.199999999999999" customHeight="1">
      <c r="P244" s="167"/>
      <c r="Q244" s="167"/>
      <c r="R244" s="167"/>
      <c r="S244" s="167"/>
      <c r="T244" s="167"/>
      <c r="U244" s="167"/>
      <c r="V244" s="167"/>
      <c r="W244" s="167"/>
      <c r="X244" s="167"/>
      <c r="Y244" s="167"/>
      <c r="Z244" s="167"/>
    </row>
    <row r="245" spans="16:26" ht="10.199999999999999" customHeight="1">
      <c r="P245" s="167"/>
      <c r="Q245" s="167"/>
      <c r="R245" s="167"/>
      <c r="S245" s="167"/>
      <c r="T245" s="167"/>
      <c r="U245" s="167"/>
      <c r="V245" s="167"/>
      <c r="W245" s="167"/>
      <c r="X245" s="167"/>
      <c r="Y245" s="167"/>
      <c r="Z245" s="167"/>
    </row>
    <row r="246" spans="16:26" ht="10.199999999999999" customHeight="1">
      <c r="P246" s="169"/>
      <c r="Q246" s="169"/>
      <c r="R246" s="169"/>
      <c r="S246" s="169"/>
      <c r="T246" s="169"/>
      <c r="U246" s="169"/>
      <c r="V246" s="169"/>
      <c r="W246" s="169"/>
      <c r="X246" s="169"/>
      <c r="Y246" s="169"/>
      <c r="Z246" s="169"/>
    </row>
    <row r="247" spans="16:26" ht="10.199999999999999" customHeight="1">
      <c r="P247" s="167"/>
      <c r="Q247" s="167"/>
      <c r="R247" s="167"/>
      <c r="S247" s="167"/>
      <c r="T247" s="167"/>
      <c r="U247" s="167"/>
      <c r="V247" s="167"/>
      <c r="W247" s="167"/>
      <c r="X247" s="167"/>
      <c r="Y247" s="167"/>
      <c r="Z247" s="167"/>
    </row>
    <row r="248" spans="16:26" ht="10.199999999999999" customHeight="1">
      <c r="P248" s="167"/>
      <c r="Q248" s="167"/>
      <c r="R248" s="167"/>
      <c r="S248" s="167"/>
      <c r="T248" s="167"/>
      <c r="U248" s="167"/>
      <c r="V248" s="167"/>
      <c r="W248" s="167"/>
      <c r="X248" s="167"/>
      <c r="Y248" s="167"/>
      <c r="Z248" s="167"/>
    </row>
    <row r="249" spans="16:26" ht="10.199999999999999" customHeight="1">
      <c r="P249" s="169"/>
      <c r="Q249" s="169"/>
      <c r="R249" s="169"/>
      <c r="S249" s="169"/>
      <c r="T249" s="169"/>
      <c r="U249" s="169"/>
      <c r="V249" s="169"/>
      <c r="W249" s="169"/>
      <c r="X249" s="169"/>
      <c r="Y249" s="169"/>
      <c r="Z249" s="169"/>
    </row>
    <row r="250" spans="16:26" ht="10.199999999999999" customHeight="1">
      <c r="P250" s="167"/>
      <c r="Q250" s="167"/>
      <c r="R250" s="167"/>
      <c r="S250" s="167"/>
      <c r="T250" s="167"/>
      <c r="U250" s="167"/>
      <c r="V250" s="167"/>
      <c r="W250" s="167"/>
      <c r="X250" s="167"/>
      <c r="Y250" s="167"/>
      <c r="Z250" s="167"/>
    </row>
    <row r="251" spans="16:26" ht="10.199999999999999" customHeight="1">
      <c r="P251" s="167"/>
      <c r="Q251" s="167"/>
      <c r="R251" s="167"/>
      <c r="S251" s="167"/>
      <c r="T251" s="167"/>
      <c r="U251" s="167"/>
      <c r="V251" s="167"/>
      <c r="W251" s="167"/>
      <c r="X251" s="167"/>
      <c r="Y251" s="167"/>
      <c r="Z251" s="167"/>
    </row>
    <row r="252" spans="16:26" ht="10.199999999999999" customHeight="1">
      <c r="P252" s="169"/>
      <c r="Q252" s="169"/>
      <c r="R252" s="169"/>
      <c r="S252" s="169"/>
      <c r="T252" s="169"/>
      <c r="U252" s="169"/>
      <c r="V252" s="169"/>
      <c r="W252" s="169"/>
      <c r="X252" s="169"/>
      <c r="Y252" s="169"/>
      <c r="Z252" s="169"/>
    </row>
    <row r="253" spans="16:26" ht="10.199999999999999" customHeight="1">
      <c r="P253" s="167"/>
      <c r="Q253" s="167"/>
      <c r="R253" s="167"/>
      <c r="S253" s="167"/>
      <c r="T253" s="167"/>
      <c r="U253" s="167"/>
      <c r="V253" s="167"/>
      <c r="W253" s="167"/>
      <c r="X253" s="167"/>
      <c r="Y253" s="167"/>
      <c r="Z253" s="167"/>
    </row>
    <row r="254" spans="16:26" ht="10.199999999999999" customHeight="1">
      <c r="P254" s="167"/>
      <c r="Q254" s="167"/>
      <c r="R254" s="167"/>
      <c r="S254" s="167"/>
      <c r="T254" s="167"/>
      <c r="U254" s="167"/>
      <c r="V254" s="167"/>
      <c r="W254" s="167"/>
      <c r="X254" s="167"/>
      <c r="Y254" s="167"/>
      <c r="Z254" s="167"/>
    </row>
    <row r="255" spans="16:26" ht="10.199999999999999" customHeight="1">
      <c r="P255" s="169"/>
      <c r="Q255" s="169"/>
      <c r="R255" s="169"/>
      <c r="S255" s="169"/>
      <c r="T255" s="169"/>
      <c r="U255" s="169"/>
      <c r="V255" s="169"/>
      <c r="W255" s="169"/>
      <c r="X255" s="169"/>
      <c r="Y255" s="169"/>
      <c r="Z255" s="169"/>
    </row>
    <row r="256" spans="16:26" ht="10.199999999999999" customHeight="1">
      <c r="P256" s="167"/>
      <c r="Q256" s="167"/>
      <c r="R256" s="167"/>
      <c r="S256" s="167"/>
      <c r="T256" s="167"/>
      <c r="U256" s="167"/>
      <c r="V256" s="167"/>
      <c r="W256" s="167"/>
      <c r="X256" s="167"/>
      <c r="Y256" s="167"/>
      <c r="Z256" s="167"/>
    </row>
    <row r="257" spans="16:26" ht="10.199999999999999" customHeight="1">
      <c r="P257" s="167"/>
      <c r="Q257" s="167"/>
      <c r="R257" s="167"/>
      <c r="S257" s="167"/>
      <c r="T257" s="167"/>
      <c r="U257" s="167"/>
      <c r="V257" s="167"/>
      <c r="W257" s="167"/>
      <c r="X257" s="167"/>
      <c r="Y257" s="167"/>
      <c r="Z257" s="167"/>
    </row>
    <row r="258" spans="16:26" ht="10.199999999999999" customHeight="1">
      <c r="P258" s="169"/>
      <c r="Q258" s="169"/>
      <c r="R258" s="169"/>
      <c r="S258" s="169"/>
      <c r="T258" s="169"/>
      <c r="U258" s="169"/>
      <c r="V258" s="169"/>
      <c r="W258" s="169"/>
      <c r="X258" s="169"/>
      <c r="Y258" s="169"/>
      <c r="Z258" s="169"/>
    </row>
    <row r="259" spans="16:26" ht="10.199999999999999" customHeight="1">
      <c r="P259" s="167"/>
      <c r="Q259" s="167"/>
      <c r="R259" s="167"/>
      <c r="S259" s="167"/>
      <c r="T259" s="167"/>
      <c r="U259" s="167"/>
      <c r="V259" s="167"/>
      <c r="W259" s="167"/>
      <c r="X259" s="167"/>
      <c r="Y259" s="167"/>
      <c r="Z259" s="167"/>
    </row>
    <row r="260" spans="16:26" ht="10.199999999999999" customHeight="1">
      <c r="P260" s="167"/>
      <c r="Q260" s="167"/>
      <c r="R260" s="167"/>
      <c r="S260" s="167"/>
      <c r="T260" s="167"/>
      <c r="U260" s="167"/>
      <c r="V260" s="167"/>
      <c r="W260" s="167"/>
      <c r="X260" s="167"/>
      <c r="Y260" s="167"/>
      <c r="Z260" s="167"/>
    </row>
    <row r="261" spans="16:26" ht="10.199999999999999" customHeight="1">
      <c r="P261" s="169"/>
      <c r="Q261" s="169"/>
      <c r="R261" s="169"/>
      <c r="S261" s="169"/>
      <c r="T261" s="169"/>
      <c r="U261" s="169"/>
      <c r="V261" s="169"/>
      <c r="W261" s="169"/>
      <c r="X261" s="169"/>
      <c r="Y261" s="169"/>
      <c r="Z261" s="169"/>
    </row>
    <row r="262" spans="16:26" ht="10.199999999999999" customHeight="1">
      <c r="P262" s="167"/>
      <c r="Q262" s="167"/>
      <c r="R262" s="167"/>
      <c r="S262" s="167"/>
      <c r="T262" s="167"/>
      <c r="U262" s="167"/>
      <c r="V262" s="167"/>
      <c r="W262" s="167"/>
      <c r="X262" s="167"/>
      <c r="Y262" s="167"/>
      <c r="Z262" s="167"/>
    </row>
    <row r="263" spans="16:26" ht="10.199999999999999" customHeight="1">
      <c r="P263" s="167"/>
      <c r="Q263" s="167"/>
      <c r="R263" s="167"/>
      <c r="S263" s="167"/>
      <c r="T263" s="167"/>
      <c r="U263" s="167"/>
      <c r="V263" s="167"/>
      <c r="W263" s="167"/>
      <c r="X263" s="167"/>
      <c r="Y263" s="167"/>
      <c r="Z263" s="167"/>
    </row>
    <row r="264" spans="16:26" ht="10.199999999999999" customHeight="1">
      <c r="P264" s="169"/>
      <c r="Q264" s="169"/>
      <c r="R264" s="169"/>
      <c r="S264" s="169"/>
      <c r="T264" s="169"/>
      <c r="U264" s="169"/>
      <c r="V264" s="169"/>
      <c r="W264" s="169"/>
      <c r="X264" s="169"/>
      <c r="Y264" s="169"/>
      <c r="Z264" s="169"/>
    </row>
    <row r="265" spans="16:26" ht="10.199999999999999" customHeight="1">
      <c r="P265" s="167"/>
      <c r="Q265" s="167"/>
      <c r="R265" s="167"/>
      <c r="S265" s="167"/>
      <c r="T265" s="167"/>
      <c r="U265" s="167"/>
      <c r="V265" s="167"/>
      <c r="W265" s="167"/>
      <c r="X265" s="167"/>
      <c r="Y265" s="167"/>
      <c r="Z265" s="167"/>
    </row>
    <row r="266" spans="16:26" ht="10.199999999999999" customHeight="1">
      <c r="P266" s="167"/>
      <c r="Q266" s="167"/>
      <c r="R266" s="167"/>
      <c r="S266" s="167"/>
      <c r="T266" s="167"/>
      <c r="U266" s="167"/>
      <c r="V266" s="167"/>
      <c r="W266" s="167"/>
      <c r="X266" s="167"/>
      <c r="Y266" s="167"/>
      <c r="Z266" s="167"/>
    </row>
    <row r="267" spans="16:26" ht="10.199999999999999" customHeight="1">
      <c r="P267" s="165"/>
      <c r="Q267" s="165"/>
      <c r="R267" s="165"/>
      <c r="S267" s="165"/>
      <c r="T267" s="165"/>
      <c r="U267" s="165"/>
      <c r="V267" s="165"/>
      <c r="W267" s="165"/>
      <c r="X267" s="165"/>
      <c r="Y267" s="165"/>
      <c r="Z267" s="165"/>
    </row>
    <row r="268" spans="16:26" ht="10.199999999999999" customHeight="1">
      <c r="P268" s="165"/>
      <c r="Q268" s="165"/>
      <c r="R268" s="165"/>
      <c r="S268" s="165"/>
      <c r="T268" s="165"/>
      <c r="U268" s="165"/>
      <c r="V268" s="165"/>
      <c r="W268" s="165"/>
      <c r="X268" s="165"/>
      <c r="Y268" s="165"/>
      <c r="Z268" s="165"/>
    </row>
    <row r="269" spans="16:26" ht="10.199999999999999" customHeight="1">
      <c r="P269" s="165"/>
      <c r="Q269" s="165"/>
      <c r="R269" s="165"/>
      <c r="S269" s="165"/>
      <c r="T269" s="165"/>
      <c r="U269" s="165"/>
      <c r="V269" s="165"/>
      <c r="W269" s="165"/>
      <c r="X269" s="165"/>
      <c r="Y269" s="165"/>
      <c r="Z269" s="165"/>
    </row>
    <row r="270" spans="16:26" ht="10.199999999999999" customHeight="1">
      <c r="P270" s="165"/>
      <c r="Q270" s="165"/>
      <c r="R270" s="165"/>
      <c r="S270" s="165"/>
      <c r="T270" s="165"/>
      <c r="U270" s="165"/>
      <c r="V270" s="165"/>
      <c r="W270" s="165"/>
      <c r="X270" s="165"/>
      <c r="Y270" s="165"/>
      <c r="Z270" s="165"/>
    </row>
    <row r="271" spans="16:26" ht="10.199999999999999" customHeight="1">
      <c r="P271" s="165"/>
      <c r="Q271" s="165"/>
      <c r="R271" s="165"/>
      <c r="S271" s="165"/>
      <c r="T271" s="165"/>
      <c r="U271" s="165"/>
      <c r="V271" s="165"/>
      <c r="W271" s="165"/>
      <c r="X271" s="165"/>
      <c r="Y271" s="165"/>
      <c r="Z271" s="165"/>
    </row>
    <row r="272" spans="16:26" ht="10.199999999999999" customHeight="1">
      <c r="P272" s="165"/>
      <c r="Q272" s="165"/>
      <c r="R272" s="165"/>
      <c r="S272" s="165"/>
      <c r="T272" s="165"/>
      <c r="U272" s="165"/>
      <c r="V272" s="165"/>
      <c r="W272" s="165"/>
      <c r="X272" s="165"/>
      <c r="Y272" s="165"/>
      <c r="Z272" s="165"/>
    </row>
    <row r="273" spans="16:26" ht="10.199999999999999" customHeight="1">
      <c r="P273" s="165"/>
      <c r="Q273" s="165"/>
      <c r="R273" s="165"/>
      <c r="S273" s="165"/>
      <c r="T273" s="165"/>
      <c r="U273" s="165"/>
      <c r="V273" s="165"/>
      <c r="W273" s="165"/>
      <c r="X273" s="165"/>
      <c r="Y273" s="165"/>
      <c r="Z273" s="165"/>
    </row>
    <row r="274" spans="16:26" ht="10.199999999999999" customHeight="1">
      <c r="P274" s="165"/>
      <c r="Q274" s="165"/>
      <c r="R274" s="165"/>
      <c r="S274" s="165"/>
      <c r="T274" s="165"/>
      <c r="U274" s="165"/>
      <c r="V274" s="165"/>
      <c r="W274" s="165"/>
      <c r="X274" s="165"/>
      <c r="Y274" s="165"/>
      <c r="Z274" s="165"/>
    </row>
    <row r="275" spans="16:26" ht="10.199999999999999" customHeight="1">
      <c r="P275" s="165"/>
      <c r="Q275" s="165"/>
      <c r="R275" s="165"/>
      <c r="S275" s="165"/>
      <c r="T275" s="165"/>
      <c r="U275" s="165"/>
      <c r="V275" s="165"/>
      <c r="W275" s="165"/>
      <c r="X275" s="165"/>
      <c r="Y275" s="165"/>
      <c r="Z275" s="165"/>
    </row>
    <row r="276" spans="16:26" ht="10.199999999999999" customHeight="1">
      <c r="P276" s="165"/>
      <c r="Q276" s="165"/>
      <c r="R276" s="165"/>
      <c r="S276" s="165"/>
      <c r="T276" s="165"/>
      <c r="U276" s="165"/>
      <c r="V276" s="165"/>
      <c r="W276" s="165"/>
      <c r="X276" s="165"/>
      <c r="Y276" s="165"/>
      <c r="Z276" s="165"/>
    </row>
    <row r="277" spans="16:26" ht="10.199999999999999" customHeight="1">
      <c r="P277" s="165"/>
      <c r="Q277" s="165"/>
      <c r="R277" s="165"/>
      <c r="S277" s="165"/>
      <c r="T277" s="165"/>
      <c r="U277" s="165"/>
      <c r="V277" s="165"/>
      <c r="W277" s="165"/>
      <c r="X277" s="165"/>
      <c r="Y277" s="165"/>
      <c r="Z277" s="165"/>
    </row>
    <row r="278" spans="16:26" ht="10.199999999999999" customHeight="1">
      <c r="P278" s="165"/>
      <c r="Q278" s="165"/>
      <c r="R278" s="165"/>
      <c r="S278" s="165"/>
      <c r="T278" s="165"/>
      <c r="U278" s="165"/>
      <c r="V278" s="165"/>
      <c r="W278" s="165"/>
      <c r="X278" s="165"/>
      <c r="Y278" s="165"/>
      <c r="Z278" s="165"/>
    </row>
    <row r="279" spans="16:26" ht="10.199999999999999" customHeight="1">
      <c r="P279" s="165"/>
      <c r="Q279" s="165"/>
      <c r="R279" s="165"/>
      <c r="S279" s="165"/>
      <c r="T279" s="165"/>
      <c r="U279" s="165"/>
      <c r="V279" s="165"/>
      <c r="W279" s="165"/>
      <c r="X279" s="165"/>
      <c r="Y279" s="165"/>
      <c r="Z279" s="165"/>
    </row>
    <row r="280" spans="16:26" ht="10.199999999999999" customHeight="1">
      <c r="P280" s="165"/>
      <c r="Q280" s="165"/>
      <c r="R280" s="165"/>
      <c r="S280" s="165"/>
      <c r="T280" s="165"/>
      <c r="U280" s="165"/>
      <c r="V280" s="165"/>
      <c r="W280" s="165"/>
      <c r="X280" s="165"/>
      <c r="Y280" s="165"/>
      <c r="Z280" s="165"/>
    </row>
    <row r="281" spans="16:26" ht="10.199999999999999" customHeight="1">
      <c r="P281" s="165"/>
      <c r="Q281" s="165"/>
      <c r="R281" s="165"/>
      <c r="S281" s="165"/>
      <c r="T281" s="165"/>
      <c r="U281" s="165"/>
      <c r="V281" s="165"/>
      <c r="W281" s="165"/>
      <c r="X281" s="165"/>
      <c r="Y281" s="165"/>
      <c r="Z281" s="165"/>
    </row>
    <row r="282" spans="16:26" ht="10.199999999999999" customHeight="1">
      <c r="P282" s="165"/>
      <c r="Q282" s="165"/>
      <c r="R282" s="165"/>
      <c r="S282" s="165"/>
      <c r="T282" s="165"/>
      <c r="U282" s="165"/>
      <c r="V282" s="165"/>
      <c r="W282" s="165"/>
      <c r="X282" s="165"/>
      <c r="Y282" s="165"/>
      <c r="Z282" s="165"/>
    </row>
    <row r="283" spans="16:26" ht="10.199999999999999" customHeight="1">
      <c r="P283" s="165"/>
      <c r="Q283" s="165"/>
      <c r="R283" s="165"/>
      <c r="S283" s="165"/>
      <c r="T283" s="165"/>
      <c r="U283" s="165"/>
      <c r="V283" s="165"/>
      <c r="W283" s="165"/>
      <c r="X283" s="165"/>
      <c r="Y283" s="165"/>
      <c r="Z283" s="165"/>
    </row>
    <row r="284" spans="16:26" ht="10.199999999999999" customHeight="1">
      <c r="P284" s="165"/>
      <c r="Q284" s="165"/>
      <c r="R284" s="165"/>
      <c r="S284" s="165"/>
      <c r="T284" s="165"/>
      <c r="U284" s="165"/>
      <c r="V284" s="165"/>
      <c r="W284" s="165"/>
      <c r="X284" s="165"/>
      <c r="Y284" s="165"/>
      <c r="Z284" s="165"/>
    </row>
    <row r="285" spans="16:26" ht="10.199999999999999" customHeight="1">
      <c r="P285" s="165"/>
      <c r="Q285" s="165"/>
      <c r="R285" s="165"/>
      <c r="S285" s="165"/>
      <c r="T285" s="165"/>
      <c r="U285" s="165"/>
      <c r="V285" s="165"/>
      <c r="W285" s="165"/>
      <c r="X285" s="165"/>
      <c r="Y285" s="165"/>
      <c r="Z285" s="165"/>
    </row>
    <row r="286" spans="16:26" ht="10.199999999999999" customHeight="1">
      <c r="P286" s="165"/>
      <c r="Q286" s="165"/>
      <c r="R286" s="165"/>
      <c r="S286" s="165"/>
      <c r="T286" s="165"/>
      <c r="U286" s="165"/>
      <c r="V286" s="165"/>
      <c r="W286" s="165"/>
      <c r="X286" s="165"/>
      <c r="Y286" s="165"/>
      <c r="Z286" s="165"/>
    </row>
    <row r="287" spans="16:26" ht="10.199999999999999" customHeight="1">
      <c r="P287" s="165"/>
      <c r="Q287" s="165"/>
      <c r="R287" s="165"/>
      <c r="S287" s="165"/>
      <c r="T287" s="165"/>
      <c r="U287" s="165"/>
      <c r="V287" s="165"/>
      <c r="W287" s="165"/>
      <c r="X287" s="165"/>
      <c r="Y287" s="165"/>
      <c r="Z287" s="165"/>
    </row>
    <row r="288" spans="16:26" ht="10.199999999999999" customHeight="1">
      <c r="P288" s="165"/>
      <c r="Q288" s="165"/>
      <c r="R288" s="165"/>
      <c r="S288" s="165"/>
      <c r="T288" s="165"/>
      <c r="U288" s="165"/>
      <c r="V288" s="165"/>
      <c r="W288" s="165"/>
      <c r="X288" s="165"/>
      <c r="Y288" s="165"/>
      <c r="Z288" s="165"/>
    </row>
    <row r="289" spans="16:26" ht="10.199999999999999" customHeight="1">
      <c r="P289" s="165"/>
      <c r="Q289" s="165"/>
      <c r="R289" s="165"/>
      <c r="S289" s="165"/>
      <c r="T289" s="165"/>
      <c r="U289" s="165"/>
      <c r="V289" s="165"/>
      <c r="W289" s="165"/>
      <c r="X289" s="165"/>
      <c r="Y289" s="165"/>
      <c r="Z289" s="165"/>
    </row>
    <row r="290" spans="16:26" ht="10.199999999999999" customHeight="1">
      <c r="P290" s="165"/>
      <c r="Q290" s="165"/>
      <c r="R290" s="165"/>
      <c r="S290" s="165"/>
      <c r="T290" s="165"/>
      <c r="U290" s="165"/>
      <c r="V290" s="165"/>
      <c r="W290" s="165"/>
      <c r="X290" s="165"/>
      <c r="Y290" s="165"/>
      <c r="Z290" s="165"/>
    </row>
    <row r="291" spans="16:26" ht="10.199999999999999" customHeight="1">
      <c r="P291" s="165"/>
      <c r="Q291" s="165"/>
      <c r="R291" s="165"/>
      <c r="S291" s="165"/>
      <c r="T291" s="165"/>
      <c r="U291" s="165"/>
      <c r="V291" s="165"/>
      <c r="W291" s="165"/>
      <c r="X291" s="165"/>
      <c r="Y291" s="165"/>
      <c r="Z291" s="165"/>
    </row>
    <row r="292" spans="16:26" ht="10.199999999999999" customHeight="1">
      <c r="P292" s="165"/>
      <c r="Q292" s="165"/>
      <c r="R292" s="165"/>
      <c r="S292" s="165"/>
      <c r="T292" s="165"/>
      <c r="U292" s="165"/>
      <c r="V292" s="165"/>
      <c r="W292" s="165"/>
      <c r="X292" s="165"/>
      <c r="Y292" s="165"/>
      <c r="Z292" s="165"/>
    </row>
    <row r="293" spans="16:26" ht="10.199999999999999" customHeight="1">
      <c r="P293" s="165"/>
      <c r="Q293" s="165"/>
      <c r="R293" s="165"/>
      <c r="S293" s="165"/>
      <c r="T293" s="165"/>
      <c r="U293" s="165"/>
      <c r="V293" s="165"/>
      <c r="W293" s="165"/>
      <c r="X293" s="165"/>
      <c r="Y293" s="165"/>
      <c r="Z293" s="165"/>
    </row>
    <row r="294" spans="16:26" ht="10.199999999999999" customHeight="1">
      <c r="P294" s="165"/>
      <c r="Q294" s="165"/>
      <c r="R294" s="165"/>
      <c r="S294" s="165"/>
      <c r="T294" s="165"/>
      <c r="U294" s="165"/>
      <c r="V294" s="165"/>
      <c r="W294" s="165"/>
      <c r="X294" s="165"/>
      <c r="Y294" s="165"/>
      <c r="Z294" s="165"/>
    </row>
    <row r="295" spans="16:26" ht="10.199999999999999" customHeight="1">
      <c r="P295" s="165"/>
      <c r="Q295" s="165"/>
      <c r="R295" s="165"/>
      <c r="S295" s="165"/>
      <c r="T295" s="165"/>
      <c r="U295" s="165"/>
      <c r="V295" s="165"/>
      <c r="W295" s="165"/>
      <c r="X295" s="165"/>
      <c r="Y295" s="165"/>
      <c r="Z295" s="165"/>
    </row>
    <row r="296" spans="16:26" ht="10.199999999999999" customHeight="1">
      <c r="P296" s="165"/>
      <c r="Q296" s="165"/>
      <c r="R296" s="165"/>
      <c r="S296" s="165"/>
      <c r="T296" s="165"/>
      <c r="U296" s="165"/>
      <c r="V296" s="165"/>
      <c r="W296" s="165"/>
      <c r="X296" s="165"/>
      <c r="Y296" s="165"/>
      <c r="Z296" s="165"/>
    </row>
    <row r="297" spans="16:26" ht="10.199999999999999" customHeight="1">
      <c r="P297" s="165"/>
      <c r="Q297" s="165"/>
      <c r="R297" s="165"/>
      <c r="S297" s="165"/>
      <c r="T297" s="165"/>
      <c r="U297" s="165"/>
      <c r="V297" s="165"/>
      <c r="W297" s="165"/>
      <c r="X297" s="165"/>
      <c r="Y297" s="165"/>
      <c r="Z297" s="165"/>
    </row>
    <row r="298" spans="16:26" ht="10.199999999999999" customHeight="1">
      <c r="P298" s="165"/>
      <c r="Q298" s="165"/>
      <c r="R298" s="165"/>
      <c r="S298" s="165"/>
      <c r="T298" s="165"/>
      <c r="U298" s="165"/>
      <c r="V298" s="165"/>
      <c r="W298" s="165"/>
      <c r="X298" s="165"/>
      <c r="Y298" s="165"/>
      <c r="Z298" s="165"/>
    </row>
    <row r="299" spans="16:26" ht="10.199999999999999" customHeight="1">
      <c r="P299" s="165"/>
      <c r="Q299" s="165"/>
      <c r="R299" s="165"/>
      <c r="S299" s="165"/>
      <c r="T299" s="165"/>
      <c r="U299" s="165"/>
      <c r="V299" s="165"/>
      <c r="W299" s="165"/>
      <c r="X299" s="165"/>
      <c r="Y299" s="165"/>
      <c r="Z299" s="165"/>
    </row>
    <row r="300" spans="16:26" ht="10.199999999999999" customHeight="1">
      <c r="P300" s="165"/>
      <c r="Q300" s="165"/>
      <c r="R300" s="165"/>
      <c r="S300" s="165"/>
      <c r="T300" s="165"/>
      <c r="U300" s="165"/>
      <c r="V300" s="165"/>
      <c r="W300" s="165"/>
      <c r="X300" s="165"/>
      <c r="Y300" s="165"/>
      <c r="Z300" s="165"/>
    </row>
    <row r="301" spans="16:26" ht="10.199999999999999" customHeight="1">
      <c r="P301" s="165"/>
      <c r="Q301" s="165"/>
      <c r="R301" s="165"/>
      <c r="S301" s="165"/>
      <c r="T301" s="165"/>
      <c r="U301" s="165"/>
      <c r="V301" s="165"/>
      <c r="W301" s="165"/>
      <c r="X301" s="165"/>
      <c r="Y301" s="165"/>
      <c r="Z301" s="165"/>
    </row>
    <row r="302" spans="16:26" ht="10.199999999999999" customHeight="1">
      <c r="P302" s="165"/>
      <c r="Q302" s="165"/>
      <c r="R302" s="165"/>
      <c r="S302" s="165"/>
      <c r="T302" s="165"/>
      <c r="U302" s="165"/>
      <c r="V302" s="165"/>
      <c r="W302" s="165"/>
      <c r="X302" s="165"/>
      <c r="Y302" s="165"/>
      <c r="Z302" s="165"/>
    </row>
    <row r="303" spans="16:26" ht="10.199999999999999" customHeight="1">
      <c r="P303" s="165"/>
      <c r="Q303" s="165"/>
      <c r="R303" s="165"/>
      <c r="S303" s="165"/>
      <c r="T303" s="165"/>
      <c r="U303" s="165"/>
      <c r="V303" s="165"/>
      <c r="W303" s="165"/>
      <c r="X303" s="165"/>
      <c r="Y303" s="165"/>
      <c r="Z303" s="165"/>
    </row>
    <row r="304" spans="16:26" ht="10.199999999999999" customHeight="1">
      <c r="P304" s="165"/>
      <c r="Q304" s="165"/>
      <c r="R304" s="165"/>
      <c r="S304" s="165"/>
      <c r="T304" s="165"/>
      <c r="U304" s="165"/>
      <c r="V304" s="165"/>
      <c r="W304" s="165"/>
      <c r="X304" s="165"/>
      <c r="Y304" s="165"/>
      <c r="Z304" s="165"/>
    </row>
    <row r="305" spans="16:26" ht="10.199999999999999" customHeight="1">
      <c r="P305" s="165"/>
      <c r="Q305" s="165"/>
      <c r="R305" s="165"/>
      <c r="S305" s="165"/>
      <c r="T305" s="165"/>
      <c r="U305" s="165"/>
      <c r="V305" s="165"/>
      <c r="W305" s="165"/>
      <c r="X305" s="165"/>
      <c r="Y305" s="165"/>
      <c r="Z305" s="165"/>
    </row>
    <row r="306" spans="16:26" ht="10.199999999999999" customHeight="1">
      <c r="P306" s="165"/>
      <c r="Q306" s="165"/>
      <c r="R306" s="165"/>
      <c r="S306" s="165"/>
      <c r="T306" s="165"/>
      <c r="U306" s="165"/>
      <c r="V306" s="165"/>
      <c r="W306" s="165"/>
      <c r="X306" s="165"/>
      <c r="Y306" s="165"/>
      <c r="Z306" s="165"/>
    </row>
    <row r="307" spans="16:26" ht="10.199999999999999" customHeight="1">
      <c r="P307" s="165"/>
      <c r="Q307" s="165"/>
      <c r="R307" s="165"/>
      <c r="S307" s="165"/>
      <c r="T307" s="165"/>
      <c r="U307" s="165"/>
      <c r="V307" s="165"/>
      <c r="W307" s="165"/>
      <c r="X307" s="165"/>
      <c r="Y307" s="165"/>
      <c r="Z307" s="165"/>
    </row>
    <row r="308" spans="16:26" ht="10.199999999999999" customHeight="1">
      <c r="P308" s="165"/>
      <c r="Q308" s="165"/>
      <c r="R308" s="165"/>
      <c r="S308" s="165"/>
      <c r="T308" s="165"/>
      <c r="U308" s="165"/>
      <c r="V308" s="165"/>
      <c r="W308" s="165"/>
      <c r="X308" s="165"/>
      <c r="Y308" s="165"/>
      <c r="Z308" s="165"/>
    </row>
    <row r="309" spans="16:26" ht="10.199999999999999" customHeight="1">
      <c r="P309" s="165"/>
      <c r="Q309" s="165"/>
      <c r="R309" s="165"/>
      <c r="S309" s="165"/>
      <c r="T309" s="165"/>
      <c r="U309" s="165"/>
      <c r="V309" s="165"/>
      <c r="W309" s="165"/>
      <c r="X309" s="165"/>
      <c r="Y309" s="165"/>
      <c r="Z309" s="165"/>
    </row>
    <row r="310" spans="16:26" ht="10.199999999999999" customHeight="1">
      <c r="P310" s="165"/>
      <c r="Q310" s="165"/>
      <c r="R310" s="165"/>
      <c r="S310" s="165"/>
      <c r="T310" s="165"/>
      <c r="U310" s="165"/>
      <c r="V310" s="165"/>
      <c r="W310" s="165"/>
      <c r="X310" s="165"/>
      <c r="Y310" s="165"/>
      <c r="Z310" s="165"/>
    </row>
    <row r="311" spans="16:26" ht="10.199999999999999" customHeight="1">
      <c r="P311" s="165"/>
      <c r="Q311" s="165"/>
      <c r="R311" s="165"/>
      <c r="S311" s="165"/>
      <c r="T311" s="165"/>
      <c r="U311" s="165"/>
      <c r="V311" s="165"/>
      <c r="W311" s="165"/>
      <c r="X311" s="165"/>
      <c r="Y311" s="165"/>
      <c r="Z311" s="165"/>
    </row>
    <row r="312" spans="16:26" ht="10.199999999999999" customHeight="1">
      <c r="P312" s="165"/>
      <c r="Q312" s="165"/>
      <c r="R312" s="165"/>
      <c r="S312" s="165"/>
      <c r="T312" s="165"/>
      <c r="U312" s="165"/>
      <c r="V312" s="165"/>
      <c r="W312" s="165"/>
      <c r="X312" s="165"/>
      <c r="Y312" s="165"/>
      <c r="Z312" s="165"/>
    </row>
    <row r="313" spans="16:26" ht="10.199999999999999" customHeight="1">
      <c r="P313" s="165"/>
      <c r="Q313" s="165"/>
      <c r="R313" s="165"/>
      <c r="S313" s="165"/>
      <c r="T313" s="165"/>
      <c r="U313" s="165"/>
      <c r="V313" s="165"/>
      <c r="W313" s="165"/>
      <c r="X313" s="165"/>
      <c r="Y313" s="165"/>
      <c r="Z313" s="165"/>
    </row>
    <row r="314" spans="16:26" ht="10.199999999999999" customHeight="1">
      <c r="P314" s="165"/>
      <c r="Q314" s="165"/>
      <c r="R314" s="165"/>
      <c r="S314" s="165"/>
      <c r="T314" s="165"/>
      <c r="U314" s="165"/>
      <c r="V314" s="165"/>
      <c r="W314" s="165"/>
      <c r="X314" s="165"/>
      <c r="Y314" s="165"/>
      <c r="Z314" s="165"/>
    </row>
    <row r="315" spans="16:26" ht="10.199999999999999" customHeight="1">
      <c r="P315" s="165"/>
      <c r="Q315" s="165"/>
      <c r="R315" s="165"/>
      <c r="S315" s="165"/>
      <c r="T315" s="165"/>
      <c r="U315" s="165"/>
      <c r="V315" s="165"/>
      <c r="W315" s="165"/>
      <c r="X315" s="165"/>
      <c r="Y315" s="165"/>
      <c r="Z315" s="165"/>
    </row>
    <row r="316" spans="16:26" ht="10.199999999999999" customHeight="1">
      <c r="P316" s="165"/>
      <c r="Q316" s="165"/>
      <c r="R316" s="165"/>
      <c r="S316" s="165"/>
      <c r="T316" s="165"/>
      <c r="U316" s="165"/>
      <c r="V316" s="165"/>
      <c r="W316" s="165"/>
      <c r="X316" s="165"/>
      <c r="Y316" s="165"/>
      <c r="Z316" s="165"/>
    </row>
    <row r="317" spans="16:26" ht="10.199999999999999" customHeight="1">
      <c r="P317" s="165"/>
      <c r="Q317" s="165"/>
      <c r="R317" s="165"/>
      <c r="S317" s="165"/>
      <c r="T317" s="165"/>
      <c r="U317" s="165"/>
      <c r="V317" s="165"/>
      <c r="W317" s="165"/>
      <c r="X317" s="165"/>
      <c r="Y317" s="165"/>
      <c r="Z317" s="165"/>
    </row>
    <row r="318" spans="16:26" ht="10.199999999999999" customHeight="1">
      <c r="P318" s="165"/>
      <c r="Q318" s="165"/>
      <c r="R318" s="165"/>
      <c r="S318" s="165"/>
      <c r="T318" s="165"/>
      <c r="U318" s="165"/>
      <c r="V318" s="165"/>
      <c r="W318" s="165"/>
      <c r="X318" s="165"/>
      <c r="Y318" s="165"/>
      <c r="Z318" s="165"/>
    </row>
    <row r="319" spans="16:26" ht="10.199999999999999" customHeight="1">
      <c r="P319" s="165"/>
      <c r="Q319" s="165"/>
      <c r="R319" s="165"/>
      <c r="S319" s="165"/>
      <c r="T319" s="165"/>
      <c r="U319" s="165"/>
      <c r="V319" s="165"/>
      <c r="W319" s="165"/>
      <c r="X319" s="165"/>
      <c r="Y319" s="165"/>
      <c r="Z319" s="165"/>
    </row>
    <row r="320" spans="16:26" ht="10.199999999999999" customHeight="1">
      <c r="P320" s="165"/>
      <c r="Q320" s="165"/>
      <c r="R320" s="165"/>
      <c r="S320" s="165"/>
      <c r="T320" s="165"/>
      <c r="U320" s="165"/>
      <c r="V320" s="165"/>
      <c r="W320" s="165"/>
      <c r="X320" s="165"/>
      <c r="Y320" s="165"/>
      <c r="Z320" s="165"/>
    </row>
    <row r="321" spans="16:26" ht="10.199999999999999" customHeight="1">
      <c r="P321" s="165"/>
      <c r="Q321" s="165"/>
      <c r="R321" s="165"/>
      <c r="S321" s="165"/>
      <c r="T321" s="165"/>
      <c r="U321" s="165"/>
      <c r="V321" s="165"/>
      <c r="W321" s="165"/>
      <c r="X321" s="165"/>
      <c r="Y321" s="165"/>
      <c r="Z321" s="165"/>
    </row>
    <row r="322" spans="16:26" ht="10.199999999999999" customHeight="1">
      <c r="P322" s="165"/>
      <c r="Q322" s="165"/>
      <c r="R322" s="165"/>
      <c r="S322" s="165"/>
      <c r="T322" s="165"/>
      <c r="U322" s="165"/>
      <c r="V322" s="165"/>
      <c r="W322" s="165"/>
      <c r="X322" s="165"/>
      <c r="Y322" s="165"/>
      <c r="Z322" s="165"/>
    </row>
    <row r="323" spans="16:26" ht="10.199999999999999" customHeight="1">
      <c r="P323" s="165"/>
      <c r="Q323" s="165"/>
      <c r="R323" s="165"/>
      <c r="S323" s="165"/>
      <c r="T323" s="165"/>
      <c r="U323" s="165"/>
      <c r="V323" s="165"/>
      <c r="W323" s="165"/>
      <c r="X323" s="165"/>
      <c r="Y323" s="165"/>
      <c r="Z323" s="165"/>
    </row>
    <row r="324" spans="16:26" ht="10.199999999999999" customHeight="1">
      <c r="P324" s="165"/>
      <c r="Q324" s="165"/>
      <c r="R324" s="165"/>
      <c r="S324" s="165"/>
      <c r="T324" s="165"/>
      <c r="U324" s="165"/>
      <c r="V324" s="165"/>
      <c r="W324" s="165"/>
      <c r="X324" s="165"/>
      <c r="Y324" s="165"/>
      <c r="Z324" s="165"/>
    </row>
    <row r="325" spans="16:26" ht="10.199999999999999" customHeight="1">
      <c r="P325" s="165"/>
      <c r="Q325" s="165"/>
      <c r="R325" s="165"/>
      <c r="S325" s="165"/>
      <c r="T325" s="165"/>
      <c r="U325" s="165"/>
      <c r="V325" s="165"/>
      <c r="W325" s="165"/>
      <c r="X325" s="165"/>
      <c r="Y325" s="165"/>
      <c r="Z325" s="165"/>
    </row>
    <row r="326" spans="16:26" ht="10.199999999999999" customHeight="1">
      <c r="P326" s="165"/>
      <c r="Q326" s="165"/>
      <c r="R326" s="165"/>
      <c r="S326" s="165"/>
      <c r="T326" s="165"/>
      <c r="U326" s="165"/>
      <c r="V326" s="165"/>
      <c r="W326" s="165"/>
      <c r="X326" s="165"/>
      <c r="Y326" s="165"/>
      <c r="Z326" s="165"/>
    </row>
    <row r="327" spans="16:26" ht="10.199999999999999" customHeight="1">
      <c r="P327" s="165"/>
      <c r="Q327" s="165"/>
      <c r="R327" s="165"/>
      <c r="S327" s="165"/>
      <c r="T327" s="165"/>
      <c r="U327" s="165"/>
      <c r="V327" s="165"/>
      <c r="W327" s="165"/>
      <c r="X327" s="165"/>
      <c r="Y327" s="165"/>
      <c r="Z327" s="165"/>
    </row>
    <row r="328" spans="16:26" ht="10.199999999999999" customHeight="1">
      <c r="P328" s="165"/>
      <c r="Q328" s="165"/>
      <c r="R328" s="165"/>
      <c r="S328" s="165"/>
      <c r="T328" s="165"/>
      <c r="U328" s="165"/>
      <c r="V328" s="165"/>
      <c r="W328" s="165"/>
      <c r="X328" s="165"/>
      <c r="Y328" s="165"/>
      <c r="Z328" s="165"/>
    </row>
    <row r="329" spans="16:26" ht="10.199999999999999" customHeight="1">
      <c r="P329" s="165"/>
      <c r="Q329" s="165"/>
      <c r="R329" s="165"/>
      <c r="S329" s="165"/>
      <c r="T329" s="165"/>
      <c r="U329" s="165"/>
      <c r="V329" s="165"/>
      <c r="W329" s="165"/>
      <c r="X329" s="165"/>
      <c r="Y329" s="165"/>
      <c r="Z329" s="165"/>
    </row>
    <row r="330" spans="16:26" ht="10.199999999999999" customHeight="1">
      <c r="P330" s="165"/>
      <c r="Q330" s="165"/>
      <c r="R330" s="165"/>
      <c r="S330" s="165"/>
      <c r="T330" s="165"/>
      <c r="U330" s="165"/>
      <c r="V330" s="165"/>
      <c r="W330" s="165"/>
      <c r="X330" s="165"/>
      <c r="Y330" s="165"/>
      <c r="Z330" s="165"/>
    </row>
    <row r="331" spans="16:26" ht="10.199999999999999" customHeight="1">
      <c r="P331" s="165"/>
      <c r="Q331" s="165"/>
      <c r="R331" s="165"/>
      <c r="S331" s="165"/>
      <c r="T331" s="165"/>
      <c r="U331" s="165"/>
      <c r="V331" s="165"/>
      <c r="W331" s="165"/>
      <c r="X331" s="165"/>
      <c r="Y331" s="165"/>
      <c r="Z331" s="165"/>
    </row>
    <row r="332" spans="16:26" ht="10.199999999999999" customHeight="1">
      <c r="P332" s="165"/>
      <c r="Q332" s="165"/>
      <c r="R332" s="165"/>
      <c r="S332" s="165"/>
      <c r="T332" s="165"/>
      <c r="U332" s="165"/>
      <c r="V332" s="165"/>
      <c r="W332" s="165"/>
      <c r="X332" s="165"/>
      <c r="Y332" s="165"/>
      <c r="Z332" s="165"/>
    </row>
    <row r="333" spans="16:26" ht="10.199999999999999" customHeight="1">
      <c r="P333" s="165"/>
      <c r="Q333" s="165"/>
      <c r="R333" s="165"/>
      <c r="S333" s="165"/>
      <c r="T333" s="165"/>
      <c r="U333" s="165"/>
      <c r="V333" s="165"/>
      <c r="W333" s="165"/>
      <c r="X333" s="165"/>
      <c r="Y333" s="165"/>
      <c r="Z333" s="165"/>
    </row>
    <row r="334" spans="16:26" ht="10.199999999999999" customHeight="1">
      <c r="P334" s="165"/>
      <c r="Q334" s="165"/>
      <c r="R334" s="165"/>
      <c r="S334" s="165"/>
      <c r="T334" s="165"/>
      <c r="U334" s="165"/>
      <c r="V334" s="165"/>
      <c r="W334" s="165"/>
      <c r="X334" s="165"/>
      <c r="Y334" s="165"/>
      <c r="Z334" s="165"/>
    </row>
    <row r="335" spans="16:26" ht="10.199999999999999" customHeight="1">
      <c r="P335" s="165"/>
      <c r="Q335" s="165"/>
      <c r="R335" s="165"/>
      <c r="S335" s="165"/>
      <c r="T335" s="165"/>
      <c r="U335" s="165"/>
      <c r="V335" s="165"/>
      <c r="W335" s="165"/>
      <c r="X335" s="165"/>
      <c r="Y335" s="165"/>
      <c r="Z335" s="165"/>
    </row>
    <row r="336" spans="16:26" ht="10.199999999999999" customHeight="1">
      <c r="P336" s="165"/>
      <c r="Q336" s="165"/>
      <c r="R336" s="165"/>
      <c r="S336" s="165"/>
      <c r="T336" s="165"/>
      <c r="U336" s="165"/>
      <c r="V336" s="165"/>
      <c r="W336" s="165"/>
      <c r="X336" s="165"/>
      <c r="Y336" s="165"/>
      <c r="Z336" s="165"/>
    </row>
    <row r="337" spans="16:26" ht="10.199999999999999" customHeight="1">
      <c r="P337" s="165"/>
      <c r="Q337" s="165"/>
      <c r="R337" s="165"/>
      <c r="S337" s="165"/>
      <c r="T337" s="165"/>
      <c r="U337" s="165"/>
      <c r="V337" s="165"/>
      <c r="W337" s="165"/>
      <c r="X337" s="165"/>
      <c r="Y337" s="165"/>
      <c r="Z337" s="165"/>
    </row>
    <row r="338" spans="16:26" ht="10.199999999999999" customHeight="1">
      <c r="P338" s="165"/>
      <c r="Q338" s="165"/>
      <c r="R338" s="165"/>
      <c r="S338" s="165"/>
      <c r="T338" s="165"/>
      <c r="U338" s="165"/>
      <c r="V338" s="165"/>
      <c r="W338" s="165"/>
      <c r="X338" s="165"/>
      <c r="Y338" s="165"/>
      <c r="Z338" s="165"/>
    </row>
    <row r="339" spans="16:26" ht="10.199999999999999" customHeight="1">
      <c r="P339" s="165"/>
      <c r="Q339" s="165"/>
      <c r="R339" s="165"/>
      <c r="S339" s="165"/>
      <c r="T339" s="165"/>
      <c r="U339" s="165"/>
      <c r="V339" s="165"/>
      <c r="W339" s="165"/>
      <c r="X339" s="165"/>
      <c r="Y339" s="165"/>
      <c r="Z339" s="165"/>
    </row>
    <row r="340" spans="16:26" ht="10.199999999999999" customHeight="1">
      <c r="P340" s="165"/>
      <c r="Q340" s="165"/>
      <c r="R340" s="165"/>
      <c r="S340" s="165"/>
      <c r="T340" s="165"/>
      <c r="U340" s="165"/>
      <c r="V340" s="165"/>
      <c r="W340" s="165"/>
      <c r="X340" s="165"/>
      <c r="Y340" s="165"/>
      <c r="Z340" s="165"/>
    </row>
    <row r="341" spans="16:26" ht="10.199999999999999" customHeight="1">
      <c r="P341" s="165"/>
      <c r="Q341" s="165"/>
      <c r="R341" s="165"/>
      <c r="S341" s="165"/>
      <c r="T341" s="165"/>
      <c r="U341" s="165"/>
      <c r="V341" s="165"/>
      <c r="W341" s="165"/>
      <c r="X341" s="165"/>
      <c r="Y341" s="165"/>
      <c r="Z341" s="165"/>
    </row>
    <row r="342" spans="16:26" ht="10.199999999999999" customHeight="1">
      <c r="P342" s="165"/>
      <c r="Q342" s="165"/>
      <c r="R342" s="165"/>
      <c r="S342" s="165"/>
      <c r="T342" s="165"/>
      <c r="U342" s="165"/>
      <c r="V342" s="165"/>
      <c r="W342" s="165"/>
      <c r="X342" s="165"/>
      <c r="Y342" s="165"/>
      <c r="Z342" s="165"/>
    </row>
    <row r="343" spans="16:26" ht="10.199999999999999" customHeight="1">
      <c r="P343" s="165"/>
      <c r="Q343" s="165"/>
      <c r="R343" s="165"/>
      <c r="S343" s="165"/>
      <c r="T343" s="165"/>
      <c r="U343" s="165"/>
      <c r="V343" s="165"/>
      <c r="W343" s="165"/>
      <c r="X343" s="165"/>
      <c r="Y343" s="165"/>
      <c r="Z343" s="165"/>
    </row>
    <row r="344" spans="16:26" ht="10.199999999999999" customHeight="1">
      <c r="P344" s="165"/>
      <c r="Q344" s="165"/>
      <c r="R344" s="165"/>
      <c r="S344" s="165"/>
      <c r="T344" s="165"/>
      <c r="U344" s="165"/>
      <c r="V344" s="165"/>
      <c r="W344" s="165"/>
      <c r="X344" s="165"/>
      <c r="Y344" s="165"/>
      <c r="Z344" s="165"/>
    </row>
    <row r="345" spans="16:26" ht="10.199999999999999" customHeight="1">
      <c r="P345" s="165"/>
      <c r="Q345" s="165"/>
      <c r="R345" s="165"/>
      <c r="S345" s="165"/>
      <c r="T345" s="165"/>
      <c r="U345" s="165"/>
      <c r="V345" s="165"/>
      <c r="W345" s="165"/>
      <c r="X345" s="165"/>
      <c r="Y345" s="165"/>
      <c r="Z345" s="165"/>
    </row>
    <row r="346" spans="16:26" ht="10.199999999999999" customHeight="1">
      <c r="P346" s="165"/>
      <c r="Q346" s="165"/>
      <c r="R346" s="165"/>
      <c r="S346" s="165"/>
      <c r="T346" s="165"/>
      <c r="U346" s="165"/>
      <c r="V346" s="165"/>
      <c r="W346" s="165"/>
      <c r="X346" s="165"/>
      <c r="Y346" s="165"/>
      <c r="Z346" s="165"/>
    </row>
    <row r="347" spans="16:26" ht="10.199999999999999" customHeight="1">
      <c r="P347" s="165"/>
      <c r="Q347" s="165"/>
      <c r="R347" s="165"/>
      <c r="S347" s="165"/>
      <c r="T347" s="165"/>
      <c r="U347" s="165"/>
      <c r="V347" s="165"/>
      <c r="W347" s="165"/>
      <c r="X347" s="165"/>
      <c r="Y347" s="165"/>
      <c r="Z347" s="165"/>
    </row>
    <row r="348" spans="16:26" ht="10.199999999999999" customHeight="1">
      <c r="P348" s="165"/>
      <c r="Q348" s="165"/>
      <c r="R348" s="165"/>
      <c r="S348" s="165"/>
      <c r="T348" s="165"/>
      <c r="U348" s="165"/>
      <c r="V348" s="165"/>
      <c r="W348" s="165"/>
      <c r="X348" s="165"/>
      <c r="Y348" s="165"/>
      <c r="Z348" s="165"/>
    </row>
    <row r="349" spans="16:26" ht="10.199999999999999" customHeight="1">
      <c r="P349" s="165"/>
      <c r="Q349" s="165"/>
      <c r="R349" s="165"/>
      <c r="S349" s="165"/>
      <c r="T349" s="165"/>
      <c r="U349" s="165"/>
      <c r="V349" s="165"/>
      <c r="W349" s="165"/>
      <c r="X349" s="165"/>
      <c r="Y349" s="165"/>
      <c r="Z349" s="165"/>
    </row>
    <row r="350" spans="16:26" ht="10.199999999999999" customHeight="1">
      <c r="P350" s="165"/>
      <c r="Q350" s="165"/>
      <c r="R350" s="165"/>
      <c r="S350" s="165"/>
      <c r="T350" s="165"/>
      <c r="U350" s="165"/>
      <c r="V350" s="165"/>
      <c r="W350" s="165"/>
      <c r="X350" s="165"/>
      <c r="Y350" s="165"/>
      <c r="Z350" s="165"/>
    </row>
    <row r="351" spans="16:26" ht="10.199999999999999" customHeight="1">
      <c r="P351" s="165"/>
      <c r="Q351" s="165"/>
      <c r="R351" s="165"/>
      <c r="S351" s="165"/>
      <c r="T351" s="165"/>
      <c r="U351" s="165"/>
      <c r="V351" s="165"/>
      <c r="W351" s="165"/>
      <c r="X351" s="165"/>
      <c r="Y351" s="165"/>
      <c r="Z351" s="165"/>
    </row>
    <row r="352" spans="16:26" ht="10.199999999999999" customHeight="1">
      <c r="P352" s="165"/>
      <c r="Q352" s="165"/>
      <c r="R352" s="165"/>
      <c r="S352" s="165"/>
      <c r="T352" s="165"/>
      <c r="U352" s="165"/>
      <c r="V352" s="165"/>
      <c r="W352" s="165"/>
      <c r="X352" s="165"/>
      <c r="Y352" s="165"/>
      <c r="Z352" s="165"/>
    </row>
    <row r="353" spans="16:26" ht="10.199999999999999" customHeight="1">
      <c r="P353" s="165"/>
      <c r="Q353" s="165"/>
      <c r="R353" s="165"/>
      <c r="S353" s="165"/>
      <c r="T353" s="165"/>
      <c r="U353" s="165"/>
      <c r="V353" s="165"/>
      <c r="W353" s="165"/>
      <c r="X353" s="165"/>
      <c r="Y353" s="165"/>
      <c r="Z353" s="165"/>
    </row>
    <row r="354" spans="16:26" ht="10.199999999999999" customHeight="1">
      <c r="P354" s="165"/>
      <c r="Q354" s="165"/>
      <c r="R354" s="165"/>
      <c r="S354" s="165"/>
      <c r="T354" s="165"/>
      <c r="U354" s="165"/>
      <c r="V354" s="165"/>
      <c r="W354" s="165"/>
      <c r="X354" s="165"/>
      <c r="Y354" s="165"/>
      <c r="Z354" s="165"/>
    </row>
    <row r="355" spans="16:26" ht="10.199999999999999" customHeight="1">
      <c r="P355" s="165"/>
      <c r="Q355" s="165"/>
      <c r="R355" s="165"/>
      <c r="S355" s="165"/>
      <c r="T355" s="165"/>
      <c r="U355" s="165"/>
      <c r="V355" s="165"/>
      <c r="W355" s="165"/>
      <c r="X355" s="165"/>
      <c r="Y355" s="165"/>
      <c r="Z355" s="165"/>
    </row>
    <row r="356" spans="16:26" ht="10.199999999999999" customHeight="1">
      <c r="P356" s="165"/>
      <c r="Q356" s="165"/>
      <c r="R356" s="165"/>
      <c r="S356" s="165"/>
      <c r="T356" s="165"/>
      <c r="U356" s="165"/>
      <c r="V356" s="165"/>
      <c r="W356" s="165"/>
      <c r="X356" s="165"/>
      <c r="Y356" s="165"/>
      <c r="Z356" s="165"/>
    </row>
    <row r="357" spans="16:26" ht="10.199999999999999" customHeight="1">
      <c r="P357" s="165"/>
      <c r="Q357" s="165"/>
      <c r="R357" s="165"/>
      <c r="S357" s="165"/>
      <c r="T357" s="165"/>
      <c r="U357" s="165"/>
      <c r="V357" s="165"/>
      <c r="W357" s="165"/>
      <c r="X357" s="165"/>
      <c r="Y357" s="165"/>
      <c r="Z357" s="165"/>
    </row>
    <row r="358" spans="16:26" ht="10.199999999999999" customHeight="1">
      <c r="P358" s="165"/>
      <c r="Q358" s="165"/>
      <c r="R358" s="165"/>
      <c r="S358" s="165"/>
      <c r="T358" s="165"/>
      <c r="U358" s="165"/>
      <c r="V358" s="165"/>
      <c r="W358" s="165"/>
      <c r="X358" s="165"/>
      <c r="Y358" s="165"/>
      <c r="Z358" s="165"/>
    </row>
    <row r="359" spans="16:26" ht="10.199999999999999" customHeight="1">
      <c r="P359" s="165"/>
      <c r="Q359" s="165"/>
      <c r="R359" s="165"/>
      <c r="S359" s="165"/>
      <c r="T359" s="165"/>
      <c r="U359" s="165"/>
      <c r="V359" s="165"/>
      <c r="W359" s="165"/>
      <c r="X359" s="165"/>
      <c r="Y359" s="165"/>
      <c r="Z359" s="165"/>
    </row>
    <row r="360" spans="16:26" ht="10.199999999999999" customHeight="1">
      <c r="P360" s="165"/>
      <c r="Q360" s="165"/>
      <c r="R360" s="165"/>
      <c r="S360" s="165"/>
      <c r="T360" s="165"/>
      <c r="U360" s="165"/>
      <c r="V360" s="165"/>
      <c r="W360" s="165"/>
      <c r="X360" s="165"/>
      <c r="Y360" s="165"/>
      <c r="Z360" s="165"/>
    </row>
    <row r="361" spans="16:26" ht="10.199999999999999" customHeight="1">
      <c r="P361" s="165"/>
      <c r="Q361" s="165"/>
      <c r="R361" s="165"/>
      <c r="S361" s="165"/>
      <c r="T361" s="165"/>
      <c r="U361" s="165"/>
      <c r="V361" s="165"/>
      <c r="W361" s="165"/>
      <c r="X361" s="165"/>
      <c r="Y361" s="165"/>
      <c r="Z361" s="165"/>
    </row>
    <row r="362" spans="16:26" ht="10.199999999999999" customHeight="1">
      <c r="P362" s="165"/>
      <c r="Q362" s="165"/>
      <c r="R362" s="165"/>
      <c r="S362" s="165"/>
      <c r="T362" s="165"/>
      <c r="U362" s="165"/>
      <c r="V362" s="165"/>
      <c r="W362" s="165"/>
      <c r="X362" s="165"/>
      <c r="Y362" s="165"/>
      <c r="Z362" s="165"/>
    </row>
    <row r="363" spans="16:26" ht="10.199999999999999" customHeight="1">
      <c r="P363" s="165"/>
      <c r="Q363" s="165"/>
      <c r="R363" s="165"/>
      <c r="S363" s="165"/>
      <c r="T363" s="165"/>
      <c r="U363" s="165"/>
      <c r="V363" s="165"/>
      <c r="W363" s="165"/>
      <c r="X363" s="165"/>
      <c r="Y363" s="165"/>
      <c r="Z363" s="165"/>
    </row>
    <row r="364" spans="16:26" ht="10.199999999999999" customHeight="1">
      <c r="P364" s="165"/>
      <c r="Q364" s="165"/>
      <c r="R364" s="165"/>
      <c r="S364" s="165"/>
      <c r="T364" s="165"/>
      <c r="U364" s="165"/>
      <c r="V364" s="165"/>
      <c r="W364" s="165"/>
      <c r="X364" s="165"/>
      <c r="Y364" s="165"/>
      <c r="Z364" s="165"/>
    </row>
    <row r="365" spans="16:26" ht="10.199999999999999" customHeight="1">
      <c r="P365" s="165"/>
      <c r="Q365" s="165"/>
      <c r="R365" s="165"/>
      <c r="S365" s="165"/>
      <c r="T365" s="165"/>
      <c r="U365" s="165"/>
      <c r="V365" s="165"/>
      <c r="W365" s="165"/>
      <c r="X365" s="165"/>
      <c r="Y365" s="165"/>
      <c r="Z365" s="165"/>
    </row>
    <row r="366" spans="16:26" ht="10.199999999999999" customHeight="1">
      <c r="P366" s="165"/>
      <c r="Q366" s="165"/>
      <c r="R366" s="165"/>
      <c r="S366" s="165"/>
      <c r="T366" s="165"/>
      <c r="U366" s="165"/>
      <c r="V366" s="165"/>
      <c r="W366" s="165"/>
      <c r="X366" s="165"/>
      <c r="Y366" s="165"/>
      <c r="Z366" s="165"/>
    </row>
    <row r="367" spans="16:26" ht="10.199999999999999" customHeight="1">
      <c r="P367" s="165"/>
      <c r="Q367" s="165"/>
      <c r="R367" s="165"/>
      <c r="S367" s="165"/>
      <c r="T367" s="165"/>
      <c r="U367" s="165"/>
      <c r="V367" s="165"/>
      <c r="W367" s="165"/>
      <c r="X367" s="165"/>
      <c r="Y367" s="165"/>
      <c r="Z367" s="165"/>
    </row>
    <row r="368" spans="16:26" ht="10.199999999999999" customHeight="1">
      <c r="P368" s="165"/>
      <c r="Q368" s="165"/>
      <c r="R368" s="165"/>
      <c r="S368" s="165"/>
      <c r="T368" s="165"/>
      <c r="U368" s="165"/>
      <c r="V368" s="165"/>
      <c r="W368" s="165"/>
      <c r="X368" s="165"/>
      <c r="Y368" s="165"/>
      <c r="Z368" s="165"/>
    </row>
    <row r="369" spans="16:26" ht="10.199999999999999" customHeight="1">
      <c r="P369" s="165"/>
      <c r="Q369" s="165"/>
      <c r="R369" s="165"/>
      <c r="S369" s="165"/>
      <c r="T369" s="165"/>
      <c r="U369" s="165"/>
      <c r="V369" s="165"/>
      <c r="W369" s="165"/>
      <c r="X369" s="165"/>
      <c r="Y369" s="165"/>
      <c r="Z369" s="165"/>
    </row>
    <row r="370" spans="16:26" ht="10.199999999999999" customHeight="1">
      <c r="P370" s="165"/>
      <c r="Q370" s="165"/>
      <c r="R370" s="165"/>
      <c r="S370" s="165"/>
      <c r="T370" s="165"/>
      <c r="U370" s="165"/>
      <c r="V370" s="165"/>
      <c r="W370" s="165"/>
      <c r="X370" s="165"/>
      <c r="Y370" s="165"/>
      <c r="Z370" s="165"/>
    </row>
    <row r="371" spans="16:26" ht="10.199999999999999" customHeight="1">
      <c r="P371" s="165"/>
      <c r="Q371" s="165"/>
      <c r="R371" s="165"/>
      <c r="S371" s="165"/>
      <c r="T371" s="165"/>
      <c r="U371" s="165"/>
      <c r="V371" s="165"/>
      <c r="W371" s="165"/>
      <c r="X371" s="165"/>
      <c r="Y371" s="165"/>
      <c r="Z371" s="165"/>
    </row>
    <row r="372" spans="16:26" ht="10.199999999999999" customHeight="1">
      <c r="P372" s="165"/>
      <c r="Q372" s="165"/>
      <c r="R372" s="165"/>
      <c r="S372" s="165"/>
      <c r="T372" s="165"/>
      <c r="U372" s="165"/>
      <c r="V372" s="165"/>
      <c r="W372" s="165"/>
      <c r="X372" s="165"/>
      <c r="Y372" s="165"/>
      <c r="Z372" s="165"/>
    </row>
    <row r="373" spans="16:26" ht="10.199999999999999" customHeight="1">
      <c r="P373" s="165"/>
      <c r="Q373" s="165"/>
      <c r="R373" s="165"/>
      <c r="S373" s="165"/>
      <c r="T373" s="165"/>
      <c r="U373" s="165"/>
      <c r="V373" s="165"/>
      <c r="W373" s="165"/>
      <c r="X373" s="165"/>
      <c r="Y373" s="165"/>
      <c r="Z373" s="165"/>
    </row>
    <row r="374" spans="16:26" ht="10.199999999999999" customHeight="1">
      <c r="P374" s="165"/>
      <c r="Q374" s="165"/>
      <c r="R374" s="165"/>
      <c r="S374" s="165"/>
      <c r="T374" s="165"/>
      <c r="U374" s="165"/>
      <c r="V374" s="165"/>
      <c r="W374" s="165"/>
      <c r="X374" s="165"/>
      <c r="Y374" s="165"/>
      <c r="Z374" s="165"/>
    </row>
    <row r="375" spans="16:26" ht="10.199999999999999" customHeight="1">
      <c r="P375" s="165"/>
      <c r="Q375" s="165"/>
      <c r="R375" s="165"/>
      <c r="S375" s="165"/>
      <c r="T375" s="165"/>
      <c r="U375" s="165"/>
      <c r="V375" s="165"/>
      <c r="W375" s="165"/>
      <c r="X375" s="165"/>
      <c r="Y375" s="165"/>
      <c r="Z375" s="165"/>
    </row>
    <row r="376" spans="16:26" ht="10.199999999999999" customHeight="1">
      <c r="P376" s="165"/>
      <c r="Q376" s="165"/>
      <c r="R376" s="165"/>
      <c r="S376" s="165"/>
      <c r="T376" s="165"/>
      <c r="U376" s="165"/>
      <c r="V376" s="165"/>
      <c r="W376" s="165"/>
      <c r="X376" s="165"/>
      <c r="Y376" s="165"/>
      <c r="Z376" s="165"/>
    </row>
    <row r="377" spans="16:26" ht="10.199999999999999" customHeight="1">
      <c r="P377" s="165"/>
      <c r="Q377" s="165"/>
      <c r="R377" s="165"/>
      <c r="S377" s="165"/>
      <c r="T377" s="165"/>
      <c r="U377" s="165"/>
      <c r="V377" s="165"/>
      <c r="W377" s="165"/>
      <c r="X377" s="165"/>
      <c r="Y377" s="165"/>
      <c r="Z377" s="165"/>
    </row>
    <row r="378" spans="16:26" ht="10.199999999999999" customHeight="1">
      <c r="P378" s="165"/>
      <c r="Q378" s="165"/>
      <c r="R378" s="165"/>
      <c r="S378" s="165"/>
      <c r="T378" s="165"/>
      <c r="U378" s="165"/>
      <c r="V378" s="165"/>
      <c r="W378" s="165"/>
      <c r="X378" s="165"/>
      <c r="Y378" s="165"/>
      <c r="Z378" s="165"/>
    </row>
    <row r="379" spans="16:26" ht="10.199999999999999" customHeight="1">
      <c r="P379" s="165"/>
      <c r="Q379" s="165"/>
      <c r="R379" s="165"/>
      <c r="S379" s="165"/>
      <c r="T379" s="165"/>
      <c r="U379" s="165"/>
      <c r="V379" s="165"/>
      <c r="W379" s="165"/>
      <c r="X379" s="165"/>
      <c r="Y379" s="165"/>
      <c r="Z379" s="165"/>
    </row>
    <row r="380" spans="16:26" ht="10.199999999999999" customHeight="1">
      <c r="P380" s="165"/>
      <c r="Q380" s="165"/>
      <c r="R380" s="165"/>
      <c r="S380" s="165"/>
      <c r="T380" s="165"/>
      <c r="U380" s="165"/>
      <c r="V380" s="165"/>
      <c r="W380" s="165"/>
      <c r="X380" s="165"/>
      <c r="Y380" s="165"/>
      <c r="Z380" s="165"/>
    </row>
    <row r="381" spans="16:26" ht="10.199999999999999" customHeight="1">
      <c r="P381" s="165"/>
      <c r="Q381" s="165"/>
      <c r="R381" s="165"/>
      <c r="S381" s="165"/>
      <c r="T381" s="165"/>
      <c r="U381" s="165"/>
      <c r="V381" s="165"/>
      <c r="W381" s="165"/>
      <c r="X381" s="165"/>
      <c r="Y381" s="165"/>
      <c r="Z381" s="165"/>
    </row>
    <row r="382" spans="16:26" ht="10.199999999999999" customHeight="1">
      <c r="P382" s="165"/>
      <c r="Q382" s="165"/>
      <c r="R382" s="165"/>
      <c r="S382" s="165"/>
      <c r="T382" s="165"/>
      <c r="U382" s="165"/>
      <c r="V382" s="165"/>
      <c r="W382" s="165"/>
      <c r="X382" s="165"/>
      <c r="Y382" s="165"/>
      <c r="Z382" s="165"/>
    </row>
    <row r="383" spans="16:26" ht="10.199999999999999" customHeight="1">
      <c r="P383" s="165"/>
      <c r="Q383" s="165"/>
      <c r="R383" s="165"/>
      <c r="S383" s="165"/>
      <c r="T383" s="165"/>
      <c r="U383" s="165"/>
      <c r="V383" s="165"/>
      <c r="W383" s="165"/>
      <c r="X383" s="165"/>
      <c r="Y383" s="165"/>
      <c r="Z383" s="165"/>
    </row>
    <row r="384" spans="16:26" ht="10.199999999999999" customHeight="1">
      <c r="P384" s="165"/>
      <c r="Q384" s="165"/>
      <c r="R384" s="165"/>
      <c r="S384" s="165"/>
      <c r="T384" s="165"/>
      <c r="U384" s="165"/>
      <c r="V384" s="165"/>
      <c r="W384" s="165"/>
      <c r="X384" s="165"/>
      <c r="Y384" s="165"/>
      <c r="Z384" s="165"/>
    </row>
    <row r="385" spans="16:26" ht="10.199999999999999" customHeight="1">
      <c r="P385" s="165"/>
      <c r="Q385" s="165"/>
      <c r="R385" s="165"/>
      <c r="S385" s="165"/>
      <c r="T385" s="165"/>
      <c r="U385" s="165"/>
      <c r="V385" s="165"/>
      <c r="W385" s="165"/>
      <c r="X385" s="165"/>
      <c r="Y385" s="165"/>
      <c r="Z385" s="165"/>
    </row>
    <row r="386" spans="16:26" ht="10.199999999999999" customHeight="1">
      <c r="P386" s="165"/>
      <c r="Q386" s="165"/>
      <c r="R386" s="165"/>
      <c r="S386" s="165"/>
      <c r="T386" s="165"/>
      <c r="U386" s="165"/>
      <c r="V386" s="165"/>
      <c r="W386" s="165"/>
      <c r="X386" s="165"/>
      <c r="Y386" s="165"/>
      <c r="Z386" s="165"/>
    </row>
    <row r="387" spans="16:26" ht="10.199999999999999" customHeight="1">
      <c r="P387" s="165"/>
      <c r="Q387" s="165"/>
      <c r="R387" s="165"/>
      <c r="S387" s="165"/>
      <c r="T387" s="165"/>
      <c r="U387" s="165"/>
      <c r="V387" s="165"/>
      <c r="W387" s="165"/>
      <c r="X387" s="165"/>
      <c r="Y387" s="165"/>
      <c r="Z387" s="165"/>
    </row>
    <row r="388" spans="16:26" ht="10.199999999999999" customHeight="1">
      <c r="P388" s="165"/>
      <c r="Q388" s="165"/>
      <c r="R388" s="165"/>
      <c r="S388" s="165"/>
      <c r="T388" s="165"/>
      <c r="U388" s="165"/>
      <c r="V388" s="165"/>
      <c r="W388" s="165"/>
      <c r="X388" s="165"/>
      <c r="Y388" s="165"/>
      <c r="Z388" s="165"/>
    </row>
    <row r="389" spans="16:26" ht="10.199999999999999" customHeight="1">
      <c r="P389" s="165"/>
      <c r="Q389" s="165"/>
      <c r="R389" s="165"/>
      <c r="S389" s="165"/>
      <c r="T389" s="165"/>
      <c r="U389" s="165"/>
      <c r="V389" s="165"/>
      <c r="W389" s="165"/>
      <c r="X389" s="165"/>
      <c r="Y389" s="165"/>
      <c r="Z389" s="165"/>
    </row>
    <row r="390" spans="16:26" ht="10.199999999999999" customHeight="1">
      <c r="P390" s="165"/>
      <c r="Q390" s="165"/>
      <c r="R390" s="165"/>
      <c r="S390" s="165"/>
      <c r="T390" s="165"/>
      <c r="U390" s="165"/>
      <c r="V390" s="165"/>
      <c r="W390" s="165"/>
      <c r="X390" s="165"/>
      <c r="Y390" s="165"/>
      <c r="Z390" s="165"/>
    </row>
    <row r="391" spans="16:26" ht="10.199999999999999" customHeight="1">
      <c r="P391" s="165"/>
      <c r="Q391" s="165"/>
      <c r="R391" s="165"/>
      <c r="S391" s="165"/>
      <c r="T391" s="165"/>
      <c r="U391" s="165"/>
      <c r="V391" s="165"/>
      <c r="W391" s="165"/>
      <c r="X391" s="165"/>
      <c r="Y391" s="165"/>
      <c r="Z391" s="165"/>
    </row>
    <row r="392" spans="16:26" ht="10.199999999999999" customHeight="1">
      <c r="P392" s="165"/>
      <c r="Q392" s="165"/>
      <c r="R392" s="165"/>
      <c r="S392" s="165"/>
      <c r="T392" s="165"/>
      <c r="U392" s="165"/>
      <c r="V392" s="165"/>
      <c r="W392" s="165"/>
      <c r="X392" s="165"/>
      <c r="Y392" s="165"/>
      <c r="Z392" s="165"/>
    </row>
    <row r="393" spans="16:26" ht="10.199999999999999" customHeight="1">
      <c r="P393" s="165"/>
      <c r="Q393" s="165"/>
      <c r="R393" s="165"/>
      <c r="S393" s="165"/>
      <c r="T393" s="165"/>
      <c r="U393" s="165"/>
      <c r="V393" s="165"/>
      <c r="W393" s="165"/>
      <c r="X393" s="165"/>
      <c r="Y393" s="165"/>
      <c r="Z393" s="165"/>
    </row>
    <row r="394" spans="16:26" ht="10.199999999999999" customHeight="1">
      <c r="P394" s="165"/>
      <c r="Q394" s="165"/>
      <c r="R394" s="165"/>
      <c r="S394" s="165"/>
      <c r="T394" s="165"/>
      <c r="U394" s="165"/>
      <c r="V394" s="165"/>
      <c r="W394" s="165"/>
      <c r="X394" s="165"/>
      <c r="Y394" s="165"/>
      <c r="Z394" s="165"/>
    </row>
    <row r="395" spans="16:26" ht="10.199999999999999" customHeight="1">
      <c r="P395" s="165"/>
      <c r="Q395" s="165"/>
      <c r="R395" s="165"/>
      <c r="S395" s="165"/>
      <c r="T395" s="165"/>
      <c r="U395" s="165"/>
      <c r="V395" s="165"/>
      <c r="W395" s="165"/>
      <c r="X395" s="165"/>
      <c r="Y395" s="165"/>
      <c r="Z395" s="165"/>
    </row>
    <row r="396" spans="16:26" ht="10.199999999999999" customHeight="1">
      <c r="P396" s="165"/>
      <c r="Q396" s="165"/>
      <c r="R396" s="165"/>
      <c r="S396" s="165"/>
      <c r="T396" s="165"/>
      <c r="U396" s="165"/>
      <c r="V396" s="165"/>
      <c r="W396" s="165"/>
      <c r="X396" s="165"/>
      <c r="Y396" s="165"/>
      <c r="Z396" s="165"/>
    </row>
    <row r="397" spans="16:26" ht="10.199999999999999" customHeight="1">
      <c r="P397" s="165"/>
      <c r="Q397" s="165"/>
      <c r="R397" s="165"/>
      <c r="S397" s="165"/>
      <c r="T397" s="165"/>
      <c r="U397" s="165"/>
      <c r="V397" s="165"/>
      <c r="W397" s="165"/>
      <c r="X397" s="165"/>
      <c r="Y397" s="165"/>
      <c r="Z397" s="165"/>
    </row>
    <row r="398" spans="16:26" ht="10.199999999999999" customHeight="1">
      <c r="P398" s="165"/>
      <c r="Q398" s="165"/>
      <c r="R398" s="165"/>
      <c r="S398" s="165"/>
      <c r="T398" s="165"/>
      <c r="U398" s="165"/>
      <c r="V398" s="165"/>
      <c r="W398" s="165"/>
      <c r="X398" s="165"/>
      <c r="Y398" s="165"/>
      <c r="Z398" s="165"/>
    </row>
    <row r="399" spans="16:26" ht="10.199999999999999" customHeight="1">
      <c r="P399" s="165"/>
      <c r="Q399" s="165"/>
      <c r="R399" s="165"/>
      <c r="S399" s="165"/>
      <c r="T399" s="165"/>
      <c r="U399" s="165"/>
      <c r="V399" s="165"/>
      <c r="W399" s="165"/>
      <c r="X399" s="165"/>
      <c r="Y399" s="165"/>
      <c r="Z399" s="165"/>
    </row>
    <row r="400" spans="16:26" ht="10.199999999999999" customHeight="1">
      <c r="P400" s="165"/>
      <c r="Q400" s="165"/>
      <c r="R400" s="165"/>
      <c r="S400" s="165"/>
      <c r="T400" s="165"/>
      <c r="U400" s="165"/>
      <c r="V400" s="165"/>
      <c r="W400" s="165"/>
      <c r="X400" s="165"/>
      <c r="Y400" s="165"/>
      <c r="Z400" s="165"/>
    </row>
    <row r="401" spans="16:26" ht="10.199999999999999" customHeight="1">
      <c r="P401" s="165"/>
      <c r="Q401" s="165"/>
      <c r="R401" s="165"/>
      <c r="S401" s="165"/>
      <c r="T401" s="165"/>
      <c r="U401" s="165"/>
      <c r="V401" s="165"/>
      <c r="W401" s="165"/>
      <c r="X401" s="165"/>
      <c r="Y401" s="165"/>
      <c r="Z401" s="165"/>
    </row>
    <row r="402" spans="16:26" ht="10.199999999999999" customHeight="1">
      <c r="P402" s="165"/>
      <c r="Q402" s="165"/>
      <c r="R402" s="165"/>
      <c r="S402" s="165"/>
      <c r="T402" s="165"/>
      <c r="U402" s="165"/>
      <c r="V402" s="165"/>
      <c r="W402" s="165"/>
      <c r="X402" s="165"/>
      <c r="Y402" s="165"/>
      <c r="Z402" s="165"/>
    </row>
    <row r="403" spans="16:26" ht="10.199999999999999" customHeight="1">
      <c r="P403" s="165"/>
      <c r="Q403" s="165"/>
      <c r="R403" s="165"/>
      <c r="S403" s="165"/>
      <c r="T403" s="165"/>
      <c r="U403" s="165"/>
      <c r="V403" s="165"/>
      <c r="W403" s="165"/>
      <c r="X403" s="165"/>
      <c r="Y403" s="165"/>
      <c r="Z403" s="165"/>
    </row>
    <row r="404" spans="16:26" ht="10.199999999999999" customHeight="1">
      <c r="P404" s="165"/>
      <c r="Q404" s="165"/>
      <c r="R404" s="165"/>
      <c r="S404" s="165"/>
      <c r="T404" s="165"/>
      <c r="U404" s="165"/>
      <c r="V404" s="165"/>
      <c r="W404" s="165"/>
      <c r="X404" s="165"/>
      <c r="Y404" s="165"/>
      <c r="Z404" s="165"/>
    </row>
    <row r="405" spans="16:26" ht="10.199999999999999" customHeight="1">
      <c r="P405" s="165"/>
      <c r="Q405" s="165"/>
      <c r="R405" s="165"/>
      <c r="S405" s="165"/>
      <c r="T405" s="165"/>
      <c r="U405" s="165"/>
      <c r="V405" s="165"/>
      <c r="W405" s="165"/>
      <c r="X405" s="165"/>
      <c r="Y405" s="165"/>
      <c r="Z405" s="165"/>
    </row>
    <row r="406" spans="16:26" ht="10.199999999999999" customHeight="1">
      <c r="P406" s="165"/>
      <c r="Q406" s="165"/>
      <c r="R406" s="165"/>
      <c r="S406" s="165"/>
      <c r="T406" s="165"/>
      <c r="U406" s="165"/>
      <c r="V406" s="165"/>
      <c r="W406" s="165"/>
      <c r="X406" s="165"/>
      <c r="Y406" s="165"/>
      <c r="Z406" s="165"/>
    </row>
    <row r="407" spans="16:26" ht="10.199999999999999" customHeight="1">
      <c r="P407" s="165"/>
      <c r="Q407" s="165"/>
      <c r="R407" s="165"/>
      <c r="S407" s="165"/>
      <c r="T407" s="165"/>
      <c r="U407" s="165"/>
      <c r="V407" s="165"/>
      <c r="W407" s="165"/>
      <c r="X407" s="165"/>
      <c r="Y407" s="165"/>
      <c r="Z407" s="165"/>
    </row>
    <row r="408" spans="16:26" ht="10.199999999999999" customHeight="1">
      <c r="P408" s="165"/>
      <c r="Q408" s="165"/>
      <c r="R408" s="165"/>
      <c r="S408" s="165"/>
      <c r="T408" s="165"/>
      <c r="U408" s="165"/>
      <c r="V408" s="165"/>
      <c r="W408" s="165"/>
      <c r="X408" s="165"/>
      <c r="Y408" s="165"/>
      <c r="Z408" s="165"/>
    </row>
    <row r="409" spans="16:26" ht="10.199999999999999" customHeight="1">
      <c r="P409" s="165"/>
      <c r="Q409" s="165"/>
      <c r="R409" s="165"/>
      <c r="S409" s="165"/>
      <c r="T409" s="165"/>
      <c r="U409" s="165"/>
      <c r="V409" s="165"/>
      <c r="W409" s="165"/>
      <c r="X409" s="165"/>
      <c r="Y409" s="165"/>
      <c r="Z409" s="165"/>
    </row>
    <row r="410" spans="16:26" ht="10.199999999999999" customHeight="1">
      <c r="P410" s="165"/>
      <c r="Q410" s="165"/>
      <c r="R410" s="165"/>
      <c r="S410" s="165"/>
      <c r="T410" s="165"/>
      <c r="U410" s="165"/>
      <c r="V410" s="165"/>
      <c r="W410" s="165"/>
      <c r="X410" s="165"/>
      <c r="Y410" s="165"/>
      <c r="Z410" s="165"/>
    </row>
    <row r="411" spans="16:26" ht="10.199999999999999" customHeight="1">
      <c r="P411" s="165"/>
      <c r="Q411" s="165"/>
      <c r="R411" s="165"/>
      <c r="S411" s="165"/>
      <c r="T411" s="165"/>
      <c r="U411" s="165"/>
      <c r="V411" s="165"/>
      <c r="W411" s="165"/>
      <c r="X411" s="165"/>
      <c r="Y411" s="165"/>
      <c r="Z411" s="165"/>
    </row>
    <row r="412" spans="16:26" ht="10.199999999999999" customHeight="1">
      <c r="P412" s="165"/>
      <c r="Q412" s="165"/>
      <c r="R412" s="165"/>
      <c r="S412" s="165"/>
      <c r="T412" s="165"/>
      <c r="U412" s="165"/>
      <c r="V412" s="165"/>
      <c r="W412" s="165"/>
      <c r="X412" s="165"/>
      <c r="Y412" s="165"/>
      <c r="Z412" s="165"/>
    </row>
    <row r="413" spans="16:26" ht="10.199999999999999" customHeight="1">
      <c r="P413" s="165"/>
      <c r="Q413" s="165"/>
      <c r="R413" s="165"/>
      <c r="S413" s="165"/>
      <c r="T413" s="165"/>
      <c r="U413" s="165"/>
      <c r="V413" s="165"/>
      <c r="W413" s="165"/>
      <c r="X413" s="165"/>
      <c r="Y413" s="165"/>
      <c r="Z413" s="165"/>
    </row>
    <row r="414" spans="16:26" ht="10.199999999999999" customHeight="1">
      <c r="P414" s="165"/>
      <c r="Q414" s="165"/>
      <c r="R414" s="165"/>
      <c r="S414" s="165"/>
      <c r="T414" s="165"/>
      <c r="U414" s="165"/>
      <c r="V414" s="165"/>
      <c r="W414" s="165"/>
      <c r="X414" s="165"/>
      <c r="Y414" s="165"/>
      <c r="Z414" s="165"/>
    </row>
    <row r="415" spans="16:26" ht="10.199999999999999" customHeight="1">
      <c r="P415" s="165"/>
      <c r="Q415" s="165"/>
      <c r="R415" s="165"/>
      <c r="S415" s="165"/>
      <c r="T415" s="165"/>
      <c r="U415" s="165"/>
      <c r="V415" s="165"/>
      <c r="W415" s="165"/>
      <c r="X415" s="165"/>
      <c r="Y415" s="165"/>
      <c r="Z415" s="165"/>
    </row>
    <row r="416" spans="16:26" ht="10.199999999999999" customHeight="1">
      <c r="P416" s="165"/>
      <c r="Q416" s="165"/>
      <c r="R416" s="165"/>
      <c r="S416" s="165"/>
      <c r="T416" s="165"/>
      <c r="U416" s="165"/>
      <c r="V416" s="165"/>
      <c r="W416" s="165"/>
      <c r="X416" s="165"/>
      <c r="Y416" s="165"/>
      <c r="Z416" s="165"/>
    </row>
    <row r="417" spans="16:26" ht="10.199999999999999" customHeight="1">
      <c r="P417" s="165"/>
      <c r="Q417" s="165"/>
      <c r="R417" s="165"/>
      <c r="S417" s="165"/>
      <c r="T417" s="165"/>
      <c r="U417" s="165"/>
      <c r="V417" s="165"/>
      <c r="W417" s="165"/>
      <c r="X417" s="165"/>
      <c r="Y417" s="165"/>
      <c r="Z417" s="165"/>
    </row>
    <row r="418" spans="16:26" ht="10.199999999999999" customHeight="1">
      <c r="P418" s="165"/>
      <c r="Q418" s="165"/>
      <c r="R418" s="165"/>
      <c r="S418" s="165"/>
      <c r="T418" s="165"/>
      <c r="U418" s="165"/>
      <c r="V418" s="165"/>
      <c r="W418" s="165"/>
      <c r="X418" s="165"/>
      <c r="Y418" s="165"/>
      <c r="Z418" s="165"/>
    </row>
    <row r="419" spans="16:26" ht="10.199999999999999" customHeight="1">
      <c r="P419" s="165"/>
      <c r="Q419" s="165"/>
      <c r="R419" s="165"/>
      <c r="S419" s="165"/>
      <c r="T419" s="165"/>
      <c r="U419" s="165"/>
      <c r="V419" s="165"/>
      <c r="W419" s="165"/>
      <c r="X419" s="165"/>
      <c r="Y419" s="165"/>
      <c r="Z419" s="165"/>
    </row>
    <row r="420" spans="16:26" ht="10.199999999999999" customHeight="1">
      <c r="P420" s="165"/>
      <c r="Q420" s="165"/>
      <c r="R420" s="165"/>
      <c r="S420" s="165"/>
      <c r="T420" s="165"/>
      <c r="U420" s="165"/>
      <c r="V420" s="165"/>
      <c r="W420" s="165"/>
      <c r="X420" s="165"/>
      <c r="Y420" s="165"/>
      <c r="Z420" s="165"/>
    </row>
    <row r="421" spans="16:26" ht="10.199999999999999" customHeight="1">
      <c r="P421" s="165"/>
      <c r="Q421" s="165"/>
      <c r="R421" s="165"/>
      <c r="S421" s="165"/>
      <c r="T421" s="165"/>
      <c r="U421" s="165"/>
      <c r="V421" s="165"/>
      <c r="W421" s="165"/>
      <c r="X421" s="165"/>
      <c r="Y421" s="165"/>
      <c r="Z421" s="165"/>
    </row>
    <row r="422" spans="16:26" ht="10.199999999999999" customHeight="1">
      <c r="P422" s="165"/>
      <c r="Q422" s="165"/>
      <c r="R422" s="165"/>
      <c r="S422" s="165"/>
      <c r="T422" s="165"/>
      <c r="U422" s="165"/>
      <c r="V422" s="165"/>
      <c r="W422" s="165"/>
      <c r="X422" s="165"/>
      <c r="Y422" s="165"/>
      <c r="Z422" s="165"/>
    </row>
    <row r="423" spans="16:26" ht="10.199999999999999" customHeight="1">
      <c r="P423" s="165"/>
      <c r="Q423" s="165"/>
      <c r="R423" s="165"/>
      <c r="S423" s="165"/>
      <c r="T423" s="165"/>
      <c r="U423" s="165"/>
      <c r="V423" s="165"/>
      <c r="W423" s="165"/>
      <c r="X423" s="165"/>
      <c r="Y423" s="165"/>
      <c r="Z423" s="165"/>
    </row>
    <row r="424" spans="16:26" ht="10.199999999999999" customHeight="1">
      <c r="P424" s="165"/>
      <c r="Q424" s="165"/>
      <c r="R424" s="165"/>
      <c r="S424" s="165"/>
      <c r="T424" s="165"/>
      <c r="U424" s="165"/>
      <c r="V424" s="165"/>
      <c r="W424" s="165"/>
      <c r="X424" s="165"/>
      <c r="Y424" s="165"/>
      <c r="Z424" s="165"/>
    </row>
    <row r="425" spans="16:26" ht="10.199999999999999" customHeight="1">
      <c r="P425" s="165"/>
      <c r="Q425" s="165"/>
      <c r="R425" s="165"/>
      <c r="S425" s="165"/>
      <c r="T425" s="165"/>
      <c r="U425" s="165"/>
      <c r="V425" s="165"/>
      <c r="W425" s="165"/>
      <c r="X425" s="165"/>
      <c r="Y425" s="165"/>
      <c r="Z425" s="165"/>
    </row>
    <row r="426" spans="16:26" ht="10.199999999999999" customHeight="1">
      <c r="P426" s="165"/>
      <c r="Q426" s="165"/>
      <c r="R426" s="165"/>
      <c r="S426" s="165"/>
      <c r="T426" s="165"/>
      <c r="U426" s="165"/>
      <c r="V426" s="165"/>
      <c r="W426" s="165"/>
      <c r="X426" s="165"/>
      <c r="Y426" s="165"/>
      <c r="Z426" s="165"/>
    </row>
    <row r="427" spans="16:26" ht="10.199999999999999" customHeight="1">
      <c r="P427" s="165"/>
      <c r="Q427" s="165"/>
      <c r="R427" s="165"/>
      <c r="S427" s="165"/>
      <c r="T427" s="165"/>
      <c r="U427" s="165"/>
      <c r="V427" s="165"/>
      <c r="W427" s="165"/>
      <c r="X427" s="165"/>
      <c r="Y427" s="165"/>
      <c r="Z427" s="165"/>
    </row>
    <row r="428" spans="16:26" ht="10.199999999999999" customHeight="1">
      <c r="P428" s="165"/>
      <c r="Q428" s="165"/>
      <c r="R428" s="165"/>
      <c r="S428" s="165"/>
      <c r="T428" s="165"/>
      <c r="U428" s="165"/>
      <c r="V428" s="165"/>
      <c r="W428" s="165"/>
      <c r="X428" s="165"/>
      <c r="Y428" s="165"/>
      <c r="Z428" s="165"/>
    </row>
    <row r="429" spans="16:26" ht="10.199999999999999" customHeight="1">
      <c r="P429" s="165"/>
      <c r="Q429" s="165"/>
      <c r="R429" s="165"/>
      <c r="S429" s="165"/>
      <c r="T429" s="165"/>
      <c r="U429" s="165"/>
      <c r="V429" s="165"/>
      <c r="W429" s="165"/>
      <c r="X429" s="165"/>
      <c r="Y429" s="165"/>
      <c r="Z429" s="165"/>
    </row>
    <row r="430" spans="16:26" ht="10.199999999999999" customHeight="1">
      <c r="P430" s="165"/>
      <c r="Q430" s="165"/>
      <c r="R430" s="165"/>
      <c r="S430" s="165"/>
      <c r="T430" s="165"/>
      <c r="U430" s="165"/>
      <c r="V430" s="165"/>
      <c r="W430" s="165"/>
      <c r="X430" s="165"/>
      <c r="Y430" s="165"/>
      <c r="Z430" s="165"/>
    </row>
    <row r="431" spans="16:26" ht="10.199999999999999" customHeight="1">
      <c r="P431" s="165"/>
      <c r="Q431" s="165"/>
      <c r="R431" s="165"/>
      <c r="S431" s="165"/>
      <c r="T431" s="165"/>
      <c r="U431" s="165"/>
      <c r="V431" s="165"/>
      <c r="W431" s="165"/>
      <c r="X431" s="165"/>
      <c r="Y431" s="165"/>
      <c r="Z431" s="165"/>
    </row>
    <row r="432" spans="16:26" ht="10.199999999999999" customHeight="1">
      <c r="P432" s="165"/>
      <c r="Q432" s="165"/>
      <c r="R432" s="165"/>
      <c r="S432" s="165"/>
      <c r="T432" s="165"/>
      <c r="U432" s="165"/>
      <c r="V432" s="165"/>
      <c r="W432" s="165"/>
      <c r="X432" s="165"/>
      <c r="Y432" s="165"/>
      <c r="Z432" s="165"/>
    </row>
    <row r="433" spans="16:26" ht="10.199999999999999" customHeight="1">
      <c r="P433" s="165"/>
      <c r="Q433" s="165"/>
      <c r="R433" s="165"/>
      <c r="S433" s="165"/>
      <c r="T433" s="165"/>
      <c r="U433" s="165"/>
      <c r="V433" s="165"/>
      <c r="W433" s="165"/>
      <c r="X433" s="165"/>
      <c r="Y433" s="165"/>
      <c r="Z433" s="165"/>
    </row>
    <row r="434" spans="16:26" ht="10.199999999999999" customHeight="1">
      <c r="P434" s="165"/>
      <c r="Q434" s="165"/>
      <c r="R434" s="165"/>
      <c r="S434" s="165"/>
      <c r="T434" s="165"/>
      <c r="U434" s="165"/>
      <c r="V434" s="165"/>
      <c r="W434" s="165"/>
      <c r="X434" s="165"/>
      <c r="Y434" s="165"/>
      <c r="Z434" s="165"/>
    </row>
    <row r="435" spans="16:26" ht="10.199999999999999" customHeight="1">
      <c r="P435" s="165"/>
      <c r="Q435" s="165"/>
      <c r="R435" s="165"/>
      <c r="S435" s="165"/>
      <c r="T435" s="165"/>
      <c r="U435" s="165"/>
      <c r="V435" s="165"/>
      <c r="W435" s="165"/>
      <c r="X435" s="165"/>
      <c r="Y435" s="165"/>
      <c r="Z435" s="165"/>
    </row>
    <row r="436" spans="16:26" ht="10.199999999999999" customHeight="1">
      <c r="P436" s="165"/>
      <c r="Q436" s="165"/>
      <c r="R436" s="165"/>
      <c r="S436" s="165"/>
      <c r="T436" s="165"/>
      <c r="U436" s="165"/>
      <c r="V436" s="165"/>
      <c r="W436" s="165"/>
      <c r="X436" s="165"/>
      <c r="Y436" s="165"/>
      <c r="Z436" s="165"/>
    </row>
    <row r="437" spans="16:26" ht="10.199999999999999" customHeight="1">
      <c r="P437" s="165"/>
      <c r="Q437" s="165"/>
      <c r="R437" s="165"/>
      <c r="S437" s="165"/>
      <c r="T437" s="165"/>
      <c r="U437" s="165"/>
      <c r="V437" s="165"/>
      <c r="W437" s="165"/>
      <c r="X437" s="165"/>
      <c r="Y437" s="165"/>
      <c r="Z437" s="165"/>
    </row>
    <row r="438" spans="16:26" ht="10.199999999999999" customHeight="1">
      <c r="P438" s="165"/>
      <c r="Q438" s="165"/>
      <c r="R438" s="165"/>
      <c r="S438" s="165"/>
      <c r="T438" s="165"/>
      <c r="U438" s="165"/>
      <c r="V438" s="165"/>
      <c r="W438" s="165"/>
      <c r="X438" s="165"/>
      <c r="Y438" s="165"/>
      <c r="Z438" s="165"/>
    </row>
    <row r="439" spans="16:26" ht="10.199999999999999" customHeight="1">
      <c r="P439" s="165"/>
      <c r="Q439" s="165"/>
      <c r="R439" s="165"/>
      <c r="S439" s="165"/>
      <c r="T439" s="165"/>
      <c r="U439" s="165"/>
      <c r="V439" s="165"/>
      <c r="W439" s="165"/>
      <c r="X439" s="165"/>
      <c r="Y439" s="165"/>
      <c r="Z439" s="165"/>
    </row>
    <row r="440" spans="16:26" ht="10.199999999999999" customHeight="1">
      <c r="P440" s="165"/>
      <c r="Q440" s="165"/>
      <c r="R440" s="165"/>
      <c r="S440" s="165"/>
      <c r="T440" s="165"/>
      <c r="U440" s="165"/>
      <c r="V440" s="165"/>
      <c r="W440" s="165"/>
      <c r="X440" s="165"/>
      <c r="Y440" s="165"/>
      <c r="Z440" s="165"/>
    </row>
    <row r="441" spans="16:26" ht="10.199999999999999" customHeight="1">
      <c r="P441" s="165"/>
      <c r="Q441" s="165"/>
      <c r="R441" s="165"/>
      <c r="S441" s="165"/>
      <c r="T441" s="165"/>
      <c r="U441" s="165"/>
      <c r="V441" s="165"/>
      <c r="W441" s="165"/>
      <c r="X441" s="165"/>
      <c r="Y441" s="165"/>
      <c r="Z441" s="165"/>
    </row>
    <row r="442" spans="16:26" ht="10.199999999999999" customHeight="1">
      <c r="P442" s="165"/>
      <c r="Q442" s="165"/>
      <c r="R442" s="165"/>
      <c r="S442" s="165"/>
      <c r="T442" s="165"/>
      <c r="U442" s="165"/>
      <c r="V442" s="165"/>
      <c r="W442" s="165"/>
      <c r="X442" s="165"/>
      <c r="Y442" s="165"/>
      <c r="Z442" s="165"/>
    </row>
    <row r="443" spans="16:26" ht="10.199999999999999" customHeight="1">
      <c r="P443" s="165"/>
      <c r="Q443" s="165"/>
      <c r="R443" s="165"/>
      <c r="S443" s="165"/>
      <c r="T443" s="165"/>
      <c r="U443" s="165"/>
      <c r="V443" s="165"/>
      <c r="W443" s="165"/>
      <c r="X443" s="165"/>
      <c r="Y443" s="165"/>
      <c r="Z443" s="165"/>
    </row>
    <row r="444" spans="16:26" ht="10.199999999999999" customHeight="1">
      <c r="P444" s="165"/>
      <c r="Q444" s="165"/>
      <c r="R444" s="165"/>
      <c r="S444" s="165"/>
      <c r="T444" s="165"/>
      <c r="U444" s="165"/>
      <c r="V444" s="165"/>
      <c r="W444" s="165"/>
      <c r="X444" s="165"/>
      <c r="Y444" s="165"/>
      <c r="Z444" s="165"/>
    </row>
    <row r="445" spans="16:26" ht="10.199999999999999" customHeight="1">
      <c r="P445" s="165"/>
      <c r="Q445" s="165"/>
      <c r="R445" s="165"/>
      <c r="S445" s="165"/>
      <c r="T445" s="165"/>
      <c r="U445" s="165"/>
      <c r="V445" s="165"/>
      <c r="W445" s="165"/>
      <c r="X445" s="165"/>
      <c r="Y445" s="165"/>
      <c r="Z445" s="165"/>
    </row>
    <row r="446" spans="16:26" ht="10.199999999999999" customHeight="1">
      <c r="P446" s="165"/>
      <c r="Q446" s="165"/>
      <c r="R446" s="165"/>
      <c r="S446" s="165"/>
      <c r="T446" s="165"/>
      <c r="U446" s="165"/>
      <c r="V446" s="165"/>
      <c r="W446" s="165"/>
      <c r="X446" s="165"/>
      <c r="Y446" s="165"/>
      <c r="Z446" s="165"/>
    </row>
    <row r="447" spans="16:26" ht="10.199999999999999" customHeight="1">
      <c r="P447" s="165"/>
      <c r="Q447" s="165"/>
      <c r="R447" s="165"/>
      <c r="S447" s="165"/>
      <c r="T447" s="165"/>
      <c r="U447" s="165"/>
      <c r="V447" s="165"/>
      <c r="W447" s="165"/>
      <c r="X447" s="165"/>
      <c r="Y447" s="165"/>
      <c r="Z447" s="165"/>
    </row>
    <row r="448" spans="16:26" ht="10.199999999999999" customHeight="1">
      <c r="P448" s="165"/>
      <c r="Q448" s="165"/>
      <c r="R448" s="165"/>
      <c r="S448" s="165"/>
      <c r="T448" s="165"/>
      <c r="U448" s="165"/>
      <c r="V448" s="165"/>
      <c r="W448" s="165"/>
      <c r="X448" s="165"/>
      <c r="Y448" s="165"/>
      <c r="Z448" s="165"/>
    </row>
    <row r="449" spans="16:26" ht="10.199999999999999" customHeight="1">
      <c r="P449" s="165"/>
      <c r="Q449" s="165"/>
      <c r="R449" s="165"/>
      <c r="S449" s="165"/>
      <c r="T449" s="165"/>
      <c r="U449" s="165"/>
      <c r="V449" s="165"/>
      <c r="W449" s="165"/>
      <c r="X449" s="165"/>
      <c r="Y449" s="165"/>
      <c r="Z449" s="165"/>
    </row>
    <row r="450" spans="16:26" ht="10.199999999999999" customHeight="1">
      <c r="P450" s="165"/>
      <c r="Q450" s="165"/>
      <c r="R450" s="165"/>
      <c r="S450" s="165"/>
      <c r="T450" s="165"/>
      <c r="U450" s="165"/>
      <c r="V450" s="165"/>
      <c r="W450" s="165"/>
      <c r="X450" s="165"/>
      <c r="Y450" s="165"/>
      <c r="Z450" s="165"/>
    </row>
    <row r="451" spans="16:26" ht="10.199999999999999" customHeight="1">
      <c r="P451" s="165"/>
      <c r="Q451" s="165"/>
      <c r="R451" s="165"/>
      <c r="S451" s="165"/>
      <c r="T451" s="165"/>
      <c r="U451" s="165"/>
      <c r="V451" s="165"/>
      <c r="W451" s="165"/>
      <c r="X451" s="165"/>
      <c r="Y451" s="165"/>
      <c r="Z451" s="165"/>
    </row>
    <row r="452" spans="16:26" ht="10.199999999999999" customHeight="1">
      <c r="P452" s="165"/>
      <c r="Q452" s="165"/>
      <c r="R452" s="165"/>
      <c r="S452" s="165"/>
      <c r="T452" s="165"/>
      <c r="U452" s="165"/>
      <c r="V452" s="165"/>
      <c r="W452" s="165"/>
      <c r="X452" s="165"/>
      <c r="Y452" s="165"/>
      <c r="Z452" s="165"/>
    </row>
    <row r="453" spans="16:26" ht="10.199999999999999" customHeight="1">
      <c r="P453" s="165"/>
      <c r="Q453" s="165"/>
      <c r="R453" s="165"/>
      <c r="S453" s="165"/>
      <c r="T453" s="165"/>
      <c r="U453" s="165"/>
      <c r="V453" s="165"/>
      <c r="W453" s="165"/>
      <c r="X453" s="165"/>
      <c r="Y453" s="165"/>
      <c r="Z453" s="165"/>
    </row>
    <row r="454" spans="16:26" ht="10.199999999999999" customHeight="1">
      <c r="P454" s="165"/>
      <c r="Q454" s="165"/>
      <c r="R454" s="165"/>
      <c r="S454" s="165"/>
      <c r="T454" s="165"/>
      <c r="U454" s="165"/>
      <c r="V454" s="165"/>
      <c r="W454" s="165"/>
      <c r="X454" s="165"/>
      <c r="Y454" s="165"/>
      <c r="Z454" s="165"/>
    </row>
    <row r="455" spans="16:26" ht="10.199999999999999" customHeight="1">
      <c r="P455" s="165"/>
      <c r="Q455" s="165"/>
      <c r="R455" s="165"/>
      <c r="S455" s="165"/>
      <c r="T455" s="165"/>
      <c r="U455" s="165"/>
      <c r="V455" s="165"/>
      <c r="W455" s="165"/>
      <c r="X455" s="165"/>
      <c r="Y455" s="165"/>
      <c r="Z455" s="165"/>
    </row>
    <row r="456" spans="16:26" ht="10.199999999999999" customHeight="1">
      <c r="P456" s="165"/>
      <c r="Q456" s="165"/>
      <c r="R456" s="165"/>
      <c r="S456" s="165"/>
      <c r="T456" s="165"/>
      <c r="U456" s="165"/>
      <c r="V456" s="165"/>
      <c r="W456" s="165"/>
      <c r="X456" s="165"/>
      <c r="Y456" s="165"/>
      <c r="Z456" s="165"/>
    </row>
    <row r="457" spans="16:26" ht="10.199999999999999" customHeight="1">
      <c r="P457" s="165"/>
      <c r="Q457" s="165"/>
      <c r="R457" s="165"/>
      <c r="S457" s="165"/>
      <c r="T457" s="165"/>
      <c r="U457" s="165"/>
      <c r="V457" s="165"/>
      <c r="W457" s="165"/>
      <c r="X457" s="165"/>
      <c r="Y457" s="165"/>
      <c r="Z457" s="165"/>
    </row>
    <row r="458" spans="16:26" ht="10.199999999999999" customHeight="1">
      <c r="P458" s="165"/>
      <c r="Q458" s="165"/>
      <c r="R458" s="165"/>
      <c r="S458" s="165"/>
      <c r="T458" s="165"/>
      <c r="U458" s="165"/>
      <c r="V458" s="165"/>
      <c r="W458" s="165"/>
      <c r="X458" s="165"/>
      <c r="Y458" s="165"/>
      <c r="Z458" s="165"/>
    </row>
    <row r="459" spans="16:26" ht="10.199999999999999" customHeight="1">
      <c r="P459" s="165"/>
      <c r="Q459" s="165"/>
      <c r="R459" s="165"/>
      <c r="S459" s="165"/>
      <c r="T459" s="165"/>
      <c r="U459" s="165"/>
      <c r="V459" s="165"/>
      <c r="W459" s="165"/>
      <c r="X459" s="165"/>
      <c r="Y459" s="165"/>
      <c r="Z459" s="165"/>
    </row>
    <row r="460" spans="16:26" ht="10.199999999999999" customHeight="1">
      <c r="P460" s="165"/>
      <c r="Q460" s="165"/>
      <c r="R460" s="165"/>
      <c r="S460" s="165"/>
      <c r="T460" s="165"/>
      <c r="U460" s="165"/>
      <c r="V460" s="165"/>
      <c r="W460" s="165"/>
      <c r="X460" s="165"/>
      <c r="Y460" s="165"/>
      <c r="Z460" s="165"/>
    </row>
    <row r="461" spans="16:26" ht="10.199999999999999" customHeight="1">
      <c r="P461" s="165"/>
      <c r="Q461" s="165"/>
      <c r="R461" s="165"/>
      <c r="S461" s="165"/>
      <c r="T461" s="165"/>
      <c r="U461" s="165"/>
      <c r="V461" s="165"/>
      <c r="W461" s="165"/>
      <c r="X461" s="165"/>
      <c r="Y461" s="165"/>
      <c r="Z461" s="165"/>
    </row>
    <row r="462" spans="16:26" ht="10.199999999999999" customHeight="1">
      <c r="P462" s="165"/>
      <c r="Q462" s="165"/>
      <c r="R462" s="165"/>
      <c r="S462" s="165"/>
      <c r="T462" s="165"/>
      <c r="U462" s="165"/>
      <c r="V462" s="165"/>
      <c r="W462" s="165"/>
      <c r="X462" s="165"/>
      <c r="Y462" s="165"/>
      <c r="Z462" s="165"/>
    </row>
    <row r="463" spans="16:26" ht="10.199999999999999" customHeight="1">
      <c r="P463" s="165"/>
      <c r="Q463" s="165"/>
      <c r="R463" s="165"/>
      <c r="S463" s="165"/>
      <c r="T463" s="165"/>
      <c r="U463" s="165"/>
      <c r="V463" s="165"/>
      <c r="W463" s="165"/>
      <c r="X463" s="165"/>
      <c r="Y463" s="165"/>
      <c r="Z463" s="165"/>
    </row>
    <row r="464" spans="16:26" ht="10.199999999999999" customHeight="1">
      <c r="P464" s="165"/>
      <c r="Q464" s="165"/>
      <c r="R464" s="165"/>
      <c r="S464" s="165"/>
      <c r="T464" s="165"/>
      <c r="U464" s="165"/>
      <c r="V464" s="165"/>
      <c r="W464" s="165"/>
      <c r="X464" s="165"/>
      <c r="Y464" s="165"/>
      <c r="Z464" s="165"/>
    </row>
    <row r="465" spans="16:26" ht="10.199999999999999" customHeight="1">
      <c r="P465" s="165"/>
      <c r="Q465" s="165"/>
      <c r="R465" s="165"/>
      <c r="S465" s="165"/>
      <c r="T465" s="165"/>
      <c r="U465" s="165"/>
      <c r="V465" s="165"/>
      <c r="W465" s="165"/>
      <c r="X465" s="165"/>
      <c r="Y465" s="165"/>
      <c r="Z465" s="165"/>
    </row>
    <row r="466" spans="16:26" ht="10.199999999999999" customHeight="1">
      <c r="P466" s="165"/>
      <c r="Q466" s="165"/>
      <c r="R466" s="165"/>
      <c r="S466" s="165"/>
      <c r="T466" s="165"/>
      <c r="U466" s="165"/>
      <c r="V466" s="165"/>
      <c r="W466" s="165"/>
      <c r="X466" s="165"/>
      <c r="Y466" s="165"/>
      <c r="Z466" s="165"/>
    </row>
    <row r="467" spans="16:26" ht="10.199999999999999" customHeight="1">
      <c r="P467" s="165"/>
      <c r="Q467" s="165"/>
      <c r="R467" s="165"/>
      <c r="S467" s="165"/>
      <c r="T467" s="165"/>
      <c r="U467" s="165"/>
      <c r="V467" s="165"/>
      <c r="W467" s="165"/>
      <c r="X467" s="165"/>
      <c r="Y467" s="165"/>
      <c r="Z467" s="165"/>
    </row>
    <row r="468" spans="16:26" ht="10.199999999999999" customHeight="1">
      <c r="P468" s="165"/>
      <c r="Q468" s="165"/>
      <c r="R468" s="165"/>
      <c r="S468" s="165"/>
      <c r="T468" s="165"/>
      <c r="U468" s="165"/>
      <c r="V468" s="165"/>
      <c r="W468" s="165"/>
      <c r="X468" s="165"/>
      <c r="Y468" s="165"/>
      <c r="Z468" s="165"/>
    </row>
    <row r="469" spans="16:26" ht="10.199999999999999" customHeight="1">
      <c r="P469" s="165"/>
      <c r="Q469" s="165"/>
      <c r="R469" s="165"/>
      <c r="S469" s="165"/>
      <c r="T469" s="165"/>
      <c r="U469" s="165"/>
      <c r="V469" s="165"/>
      <c r="W469" s="165"/>
      <c r="X469" s="165"/>
      <c r="Y469" s="165"/>
      <c r="Z469" s="165"/>
    </row>
    <row r="470" spans="16:26" ht="10.199999999999999" customHeight="1">
      <c r="P470" s="165"/>
      <c r="Q470" s="165"/>
      <c r="R470" s="165"/>
      <c r="S470" s="165"/>
      <c r="T470" s="165"/>
      <c r="U470" s="165"/>
      <c r="V470" s="165"/>
      <c r="W470" s="165"/>
      <c r="X470" s="165"/>
      <c r="Y470" s="165"/>
      <c r="Z470" s="165"/>
    </row>
    <row r="471" spans="16:26" ht="10.199999999999999" customHeight="1">
      <c r="P471" s="165"/>
      <c r="Q471" s="165"/>
      <c r="R471" s="165"/>
      <c r="S471" s="165"/>
      <c r="T471" s="165"/>
      <c r="U471" s="165"/>
      <c r="V471" s="165"/>
      <c r="W471" s="165"/>
      <c r="X471" s="165"/>
      <c r="Y471" s="165"/>
      <c r="Z471" s="165"/>
    </row>
    <row r="472" spans="16:26" ht="10.199999999999999" customHeight="1">
      <c r="P472" s="165"/>
      <c r="Q472" s="165"/>
      <c r="R472" s="165"/>
      <c r="S472" s="165"/>
      <c r="T472" s="165"/>
      <c r="U472" s="165"/>
      <c r="V472" s="165"/>
      <c r="W472" s="165"/>
      <c r="X472" s="165"/>
      <c r="Y472" s="165"/>
      <c r="Z472" s="165"/>
    </row>
    <row r="473" spans="16:26" ht="10.199999999999999" customHeight="1">
      <c r="P473" s="165"/>
      <c r="Q473" s="165"/>
      <c r="R473" s="165"/>
      <c r="S473" s="165"/>
      <c r="T473" s="165"/>
      <c r="U473" s="165"/>
      <c r="V473" s="165"/>
      <c r="W473" s="165"/>
      <c r="X473" s="165"/>
      <c r="Y473" s="165"/>
      <c r="Z473" s="165"/>
    </row>
    <row r="474" spans="16:26" ht="10.199999999999999" customHeight="1">
      <c r="P474" s="165"/>
      <c r="Q474" s="165"/>
      <c r="R474" s="165"/>
      <c r="S474" s="165"/>
      <c r="T474" s="165"/>
      <c r="U474" s="165"/>
      <c r="V474" s="165"/>
      <c r="W474" s="165"/>
      <c r="X474" s="165"/>
      <c r="Y474" s="165"/>
      <c r="Z474" s="165"/>
    </row>
    <row r="475" spans="16:26" ht="10.199999999999999" customHeight="1">
      <c r="P475" s="165"/>
      <c r="Q475" s="165"/>
      <c r="R475" s="165"/>
      <c r="S475" s="165"/>
      <c r="T475" s="165"/>
      <c r="U475" s="165"/>
      <c r="V475" s="165"/>
      <c r="W475" s="165"/>
      <c r="X475" s="165"/>
      <c r="Y475" s="165"/>
      <c r="Z475" s="165"/>
    </row>
    <row r="476" spans="16:26" ht="10.199999999999999" customHeight="1">
      <c r="P476" s="165"/>
      <c r="Q476" s="165"/>
      <c r="R476" s="165"/>
      <c r="S476" s="165"/>
      <c r="T476" s="165"/>
      <c r="U476" s="165"/>
      <c r="V476" s="165"/>
      <c r="W476" s="165"/>
      <c r="X476" s="165"/>
      <c r="Y476" s="165"/>
      <c r="Z476" s="165"/>
    </row>
    <row r="477" spans="16:26" ht="10.199999999999999" customHeight="1">
      <c r="P477" s="165"/>
      <c r="Q477" s="165"/>
      <c r="R477" s="165"/>
      <c r="S477" s="165"/>
      <c r="T477" s="165"/>
      <c r="U477" s="165"/>
      <c r="V477" s="165"/>
      <c r="W477" s="165"/>
      <c r="X477" s="165"/>
      <c r="Y477" s="165"/>
      <c r="Z477" s="165"/>
    </row>
    <row r="478" spans="16:26" ht="10.199999999999999" customHeight="1">
      <c r="P478" s="165"/>
      <c r="Q478" s="165"/>
      <c r="R478" s="165"/>
      <c r="S478" s="165"/>
      <c r="T478" s="165"/>
      <c r="U478" s="165"/>
      <c r="V478" s="165"/>
      <c r="W478" s="165"/>
      <c r="X478" s="165"/>
      <c r="Y478" s="165"/>
      <c r="Z478" s="165"/>
    </row>
    <row r="479" spans="16:26" ht="10.199999999999999" customHeight="1">
      <c r="P479" s="165"/>
      <c r="Q479" s="165"/>
      <c r="R479" s="165"/>
      <c r="S479" s="165"/>
      <c r="T479" s="165"/>
      <c r="U479" s="165"/>
      <c r="V479" s="165"/>
      <c r="W479" s="165"/>
      <c r="X479" s="165"/>
      <c r="Y479" s="165"/>
      <c r="Z479" s="165"/>
    </row>
    <row r="480" spans="16:26" ht="10.199999999999999" customHeight="1">
      <c r="P480" s="165"/>
      <c r="Q480" s="165"/>
      <c r="R480" s="165"/>
      <c r="S480" s="165"/>
      <c r="T480" s="165"/>
      <c r="U480" s="165"/>
      <c r="V480" s="165"/>
      <c r="W480" s="165"/>
      <c r="X480" s="165"/>
      <c r="Y480" s="165"/>
      <c r="Z480" s="165"/>
    </row>
    <row r="481" spans="16:26" ht="10.199999999999999" customHeight="1">
      <c r="P481" s="165"/>
      <c r="Q481" s="165"/>
      <c r="R481" s="165"/>
      <c r="S481" s="165"/>
      <c r="T481" s="165"/>
      <c r="U481" s="165"/>
      <c r="V481" s="165"/>
      <c r="W481" s="165"/>
      <c r="X481" s="165"/>
      <c r="Y481" s="165"/>
      <c r="Z481" s="165"/>
    </row>
    <row r="482" spans="16:26" ht="10.199999999999999" customHeight="1">
      <c r="P482" s="165"/>
      <c r="Q482" s="165"/>
      <c r="R482" s="165"/>
      <c r="S482" s="165"/>
      <c r="T482" s="165"/>
      <c r="U482" s="165"/>
      <c r="V482" s="165"/>
      <c r="W482" s="165"/>
      <c r="X482" s="165"/>
      <c r="Y482" s="165"/>
      <c r="Z482" s="165"/>
    </row>
    <row r="483" spans="16:26" ht="10.199999999999999" customHeight="1">
      <c r="P483" s="165"/>
      <c r="Q483" s="165"/>
      <c r="R483" s="165"/>
      <c r="S483" s="165"/>
      <c r="T483" s="165"/>
      <c r="U483" s="165"/>
      <c r="V483" s="165"/>
      <c r="W483" s="165"/>
      <c r="X483" s="165"/>
      <c r="Y483" s="165"/>
      <c r="Z483" s="165"/>
    </row>
    <row r="484" spans="16:26" ht="10.199999999999999" customHeight="1">
      <c r="P484" s="165"/>
      <c r="Q484" s="165"/>
      <c r="R484" s="165"/>
      <c r="S484" s="165"/>
      <c r="T484" s="165"/>
      <c r="U484" s="165"/>
      <c r="V484" s="165"/>
      <c r="W484" s="165"/>
      <c r="X484" s="165"/>
      <c r="Y484" s="165"/>
      <c r="Z484" s="165"/>
    </row>
    <row r="485" spans="16:26" ht="10.199999999999999" customHeight="1">
      <c r="P485" s="165"/>
      <c r="Q485" s="165"/>
      <c r="R485" s="165"/>
      <c r="S485" s="165"/>
      <c r="T485" s="165"/>
      <c r="U485" s="165"/>
      <c r="V485" s="165"/>
      <c r="W485" s="165"/>
      <c r="X485" s="165"/>
      <c r="Y485" s="165"/>
      <c r="Z485" s="165"/>
    </row>
    <row r="486" spans="16:26" ht="10.199999999999999" customHeight="1">
      <c r="P486" s="165"/>
      <c r="Q486" s="165"/>
      <c r="R486" s="165"/>
      <c r="S486" s="165"/>
      <c r="T486" s="165"/>
      <c r="U486" s="165"/>
      <c r="V486" s="165"/>
      <c r="W486" s="165"/>
      <c r="X486" s="165"/>
      <c r="Y486" s="165"/>
      <c r="Z486" s="165"/>
    </row>
    <row r="487" spans="16:26" ht="10.199999999999999" customHeight="1">
      <c r="P487" s="165"/>
      <c r="Q487" s="165"/>
      <c r="R487" s="165"/>
      <c r="S487" s="165"/>
      <c r="T487" s="165"/>
      <c r="U487" s="165"/>
      <c r="V487" s="165"/>
      <c r="W487" s="165"/>
      <c r="X487" s="165"/>
      <c r="Y487" s="165"/>
      <c r="Z487" s="165"/>
    </row>
    <row r="488" spans="16:26" ht="10.199999999999999" customHeight="1">
      <c r="P488" s="165"/>
      <c r="Q488" s="165"/>
      <c r="R488" s="165"/>
      <c r="S488" s="165"/>
      <c r="T488" s="165"/>
      <c r="U488" s="165"/>
      <c r="V488" s="165"/>
      <c r="W488" s="165"/>
      <c r="X488" s="165"/>
      <c r="Y488" s="165"/>
      <c r="Z488" s="165"/>
    </row>
    <row r="489" spans="16:26" ht="10.199999999999999" customHeight="1">
      <c r="P489" s="165"/>
      <c r="Q489" s="165"/>
      <c r="R489" s="165"/>
      <c r="S489" s="165"/>
      <c r="T489" s="165"/>
      <c r="U489" s="165"/>
      <c r="V489" s="165"/>
      <c r="W489" s="165"/>
      <c r="X489" s="165"/>
      <c r="Y489" s="165"/>
      <c r="Z489" s="165"/>
    </row>
    <row r="490" spans="16:26" ht="10.199999999999999" customHeight="1">
      <c r="P490" s="165"/>
      <c r="Q490" s="165"/>
      <c r="R490" s="165"/>
      <c r="S490" s="165"/>
      <c r="T490" s="165"/>
      <c r="U490" s="165"/>
      <c r="V490" s="165"/>
      <c r="W490" s="165"/>
      <c r="X490" s="165"/>
      <c r="Y490" s="165"/>
      <c r="Z490" s="165"/>
    </row>
    <row r="491" spans="16:26" ht="10.199999999999999" customHeight="1">
      <c r="P491" s="165"/>
      <c r="Q491" s="165"/>
      <c r="R491" s="165"/>
      <c r="S491" s="165"/>
      <c r="T491" s="165"/>
      <c r="U491" s="165"/>
      <c r="V491" s="165"/>
      <c r="W491" s="165"/>
      <c r="X491" s="165"/>
      <c r="Y491" s="165"/>
      <c r="Z491" s="165"/>
    </row>
    <row r="492" spans="16:26" ht="10.199999999999999" customHeight="1">
      <c r="P492" s="165"/>
      <c r="Q492" s="165"/>
      <c r="R492" s="165"/>
      <c r="S492" s="165"/>
      <c r="T492" s="165"/>
      <c r="U492" s="165"/>
      <c r="V492" s="165"/>
      <c r="W492" s="165"/>
      <c r="X492" s="165"/>
      <c r="Y492" s="165"/>
      <c r="Z492" s="165"/>
    </row>
    <row r="493" spans="16:26" ht="10.199999999999999" customHeight="1">
      <c r="P493" s="165"/>
      <c r="Q493" s="165"/>
      <c r="R493" s="165"/>
      <c r="S493" s="165"/>
      <c r="T493" s="165"/>
      <c r="U493" s="165"/>
      <c r="V493" s="165"/>
      <c r="W493" s="165"/>
      <c r="X493" s="165"/>
      <c r="Y493" s="165"/>
      <c r="Z493" s="165"/>
    </row>
    <row r="494" spans="16:26" ht="10.199999999999999" customHeight="1">
      <c r="P494" s="165"/>
      <c r="Q494" s="165"/>
      <c r="R494" s="165"/>
      <c r="S494" s="165"/>
      <c r="T494" s="165"/>
      <c r="U494" s="165"/>
      <c r="V494" s="165"/>
      <c r="W494" s="165"/>
      <c r="X494" s="165"/>
      <c r="Y494" s="165"/>
      <c r="Z494" s="165"/>
    </row>
    <row r="495" spans="16:26" ht="10.199999999999999" customHeight="1">
      <c r="P495" s="165"/>
      <c r="Q495" s="165"/>
      <c r="R495" s="165"/>
      <c r="S495" s="165"/>
      <c r="T495" s="165"/>
      <c r="U495" s="165"/>
      <c r="V495" s="165"/>
      <c r="W495" s="165"/>
      <c r="X495" s="165"/>
      <c r="Y495" s="165"/>
      <c r="Z495" s="165"/>
    </row>
    <row r="496" spans="16:26" ht="10.199999999999999" customHeight="1">
      <c r="P496" s="165"/>
      <c r="Q496" s="165"/>
      <c r="R496" s="165"/>
      <c r="S496" s="165"/>
      <c r="T496" s="165"/>
      <c r="U496" s="165"/>
      <c r="V496" s="165"/>
      <c r="W496" s="165"/>
      <c r="X496" s="165"/>
      <c r="Y496" s="165"/>
      <c r="Z496" s="165"/>
    </row>
    <row r="497" spans="16:26" ht="10.199999999999999" customHeight="1">
      <c r="P497" s="165"/>
      <c r="Q497" s="165"/>
      <c r="R497" s="165"/>
      <c r="S497" s="165"/>
      <c r="T497" s="165"/>
      <c r="U497" s="165"/>
      <c r="V497" s="165"/>
      <c r="W497" s="165"/>
      <c r="X497" s="165"/>
      <c r="Y497" s="165"/>
      <c r="Z497" s="165"/>
    </row>
    <row r="498" spans="16:26" ht="10.199999999999999" customHeight="1">
      <c r="P498" s="165"/>
      <c r="Q498" s="165"/>
      <c r="R498" s="165"/>
      <c r="S498" s="165"/>
      <c r="T498" s="165"/>
      <c r="U498" s="165"/>
      <c r="V498" s="165"/>
      <c r="W498" s="165"/>
      <c r="X498" s="165"/>
      <c r="Y498" s="165"/>
      <c r="Z498" s="165"/>
    </row>
    <row r="499" spans="16:26" ht="10.199999999999999" customHeight="1">
      <c r="P499" s="165"/>
      <c r="Q499" s="165"/>
      <c r="R499" s="165"/>
      <c r="S499" s="165"/>
      <c r="T499" s="165"/>
      <c r="U499" s="165"/>
      <c r="V499" s="165"/>
      <c r="W499" s="165"/>
      <c r="X499" s="165"/>
      <c r="Y499" s="165"/>
      <c r="Z499" s="165"/>
    </row>
    <row r="500" spans="16:26" ht="10.199999999999999" customHeight="1">
      <c r="P500" s="165"/>
      <c r="Q500" s="165"/>
      <c r="R500" s="165"/>
      <c r="S500" s="165"/>
      <c r="T500" s="165"/>
      <c r="U500" s="165"/>
      <c r="V500" s="165"/>
      <c r="W500" s="165"/>
      <c r="X500" s="165"/>
      <c r="Y500" s="165"/>
      <c r="Z500" s="165"/>
    </row>
    <row r="501" spans="16:26" ht="10.199999999999999" customHeight="1">
      <c r="P501" s="165"/>
      <c r="Q501" s="165"/>
      <c r="R501" s="165"/>
      <c r="S501" s="165"/>
      <c r="T501" s="165"/>
      <c r="U501" s="165"/>
      <c r="V501" s="165"/>
      <c r="W501" s="165"/>
      <c r="X501" s="165"/>
      <c r="Y501" s="165"/>
      <c r="Z501" s="165"/>
    </row>
    <row r="502" spans="16:26" ht="10.199999999999999" customHeight="1">
      <c r="P502" s="165"/>
      <c r="Q502" s="165"/>
      <c r="R502" s="165"/>
      <c r="S502" s="165"/>
      <c r="T502" s="165"/>
      <c r="U502" s="165"/>
      <c r="V502" s="165"/>
      <c r="W502" s="165"/>
      <c r="X502" s="165"/>
      <c r="Y502" s="165"/>
      <c r="Z502" s="165"/>
    </row>
    <row r="503" spans="16:26" ht="10.199999999999999" customHeight="1">
      <c r="P503" s="165"/>
      <c r="Q503" s="165"/>
      <c r="R503" s="165"/>
      <c r="S503" s="165"/>
      <c r="T503" s="165"/>
      <c r="U503" s="165"/>
      <c r="V503" s="165"/>
      <c r="W503" s="165"/>
      <c r="X503" s="165"/>
      <c r="Y503" s="165"/>
      <c r="Z503" s="165"/>
    </row>
    <row r="504" spans="16:26" ht="10.199999999999999" customHeight="1">
      <c r="P504" s="165"/>
      <c r="Q504" s="165"/>
      <c r="R504" s="165"/>
      <c r="S504" s="165"/>
      <c r="T504" s="165"/>
      <c r="U504" s="165"/>
      <c r="V504" s="165"/>
      <c r="W504" s="165"/>
      <c r="X504" s="165"/>
      <c r="Y504" s="165"/>
      <c r="Z504" s="165"/>
    </row>
    <row r="505" spans="16:26" ht="10.199999999999999" customHeight="1">
      <c r="P505" s="165"/>
      <c r="Q505" s="165"/>
      <c r="R505" s="165"/>
      <c r="S505" s="165"/>
      <c r="T505" s="165"/>
      <c r="U505" s="165"/>
      <c r="V505" s="165"/>
      <c r="W505" s="165"/>
      <c r="X505" s="165"/>
      <c r="Y505" s="165"/>
      <c r="Z505" s="165"/>
    </row>
    <row r="506" spans="16:26" ht="10.199999999999999" customHeight="1">
      <c r="P506" s="165"/>
      <c r="Q506" s="165"/>
      <c r="R506" s="165"/>
      <c r="S506" s="165"/>
      <c r="T506" s="165"/>
      <c r="U506" s="165"/>
      <c r="V506" s="165"/>
      <c r="W506" s="165"/>
      <c r="X506" s="165"/>
      <c r="Y506" s="165"/>
      <c r="Z506" s="165"/>
    </row>
    <row r="507" spans="16:26" ht="10.199999999999999" customHeight="1">
      <c r="P507" s="165"/>
      <c r="Q507" s="165"/>
      <c r="R507" s="165"/>
      <c r="S507" s="165"/>
      <c r="T507" s="165"/>
      <c r="U507" s="165"/>
      <c r="V507" s="165"/>
      <c r="W507" s="165"/>
      <c r="X507" s="165"/>
      <c r="Y507" s="165"/>
      <c r="Z507" s="165"/>
    </row>
    <row r="508" spans="16:26" ht="10.199999999999999" customHeight="1">
      <c r="P508" s="165"/>
      <c r="Q508" s="165"/>
      <c r="R508" s="165"/>
      <c r="S508" s="165"/>
      <c r="T508" s="165"/>
      <c r="U508" s="165"/>
      <c r="V508" s="165"/>
      <c r="W508" s="165"/>
      <c r="X508" s="165"/>
      <c r="Y508" s="165"/>
      <c r="Z508" s="165"/>
    </row>
    <row r="509" spans="16:26" ht="10.199999999999999" customHeight="1">
      <c r="P509" s="165"/>
      <c r="Q509" s="165"/>
      <c r="R509" s="165"/>
      <c r="S509" s="165"/>
      <c r="T509" s="165"/>
      <c r="U509" s="165"/>
      <c r="V509" s="165"/>
      <c r="W509" s="165"/>
      <c r="X509" s="165"/>
      <c r="Y509" s="165"/>
      <c r="Z509" s="165"/>
    </row>
    <row r="510" spans="16:26" ht="10.199999999999999" customHeight="1">
      <c r="P510" s="165"/>
      <c r="Q510" s="165"/>
      <c r="R510" s="165"/>
      <c r="S510" s="165"/>
      <c r="T510" s="165"/>
      <c r="U510" s="165"/>
      <c r="V510" s="165"/>
      <c r="W510" s="165"/>
      <c r="X510" s="165"/>
      <c r="Y510" s="165"/>
      <c r="Z510" s="165"/>
    </row>
    <row r="511" spans="16:26" ht="10.199999999999999" customHeight="1">
      <c r="P511" s="165"/>
      <c r="Q511" s="165"/>
      <c r="R511" s="165"/>
      <c r="S511" s="165"/>
      <c r="T511" s="165"/>
      <c r="U511" s="165"/>
      <c r="V511" s="165"/>
      <c r="W511" s="165"/>
      <c r="X511" s="165"/>
      <c r="Y511" s="165"/>
      <c r="Z511" s="165"/>
    </row>
    <row r="512" spans="16:26" ht="10.199999999999999" customHeight="1">
      <c r="P512" s="165"/>
      <c r="Q512" s="165"/>
      <c r="R512" s="165"/>
      <c r="S512" s="165"/>
      <c r="T512" s="165"/>
      <c r="U512" s="165"/>
      <c r="V512" s="165"/>
      <c r="W512" s="165"/>
      <c r="X512" s="165"/>
      <c r="Y512" s="165"/>
      <c r="Z512" s="165"/>
    </row>
    <row r="513" spans="16:26" ht="10.199999999999999" customHeight="1">
      <c r="P513" s="165"/>
      <c r="Q513" s="165"/>
      <c r="R513" s="165"/>
      <c r="S513" s="165"/>
      <c r="T513" s="165"/>
      <c r="U513" s="165"/>
      <c r="V513" s="165"/>
      <c r="W513" s="165"/>
      <c r="X513" s="165"/>
      <c r="Y513" s="165"/>
      <c r="Z513" s="165"/>
    </row>
    <row r="514" spans="16:26" ht="10.199999999999999" customHeight="1">
      <c r="P514" s="165"/>
      <c r="Q514" s="165"/>
      <c r="R514" s="165"/>
      <c r="S514" s="165"/>
      <c r="T514" s="165"/>
      <c r="U514" s="165"/>
      <c r="V514" s="165"/>
      <c r="W514" s="165"/>
      <c r="X514" s="165"/>
      <c r="Y514" s="165"/>
      <c r="Z514" s="165"/>
    </row>
    <row r="515" spans="16:26" ht="10.199999999999999" customHeight="1">
      <c r="P515" s="165"/>
      <c r="Q515" s="165"/>
      <c r="R515" s="165"/>
      <c r="S515" s="165"/>
      <c r="T515" s="165"/>
      <c r="U515" s="165"/>
      <c r="V515" s="165"/>
      <c r="W515" s="165"/>
      <c r="X515" s="165"/>
      <c r="Y515" s="165"/>
      <c r="Z515" s="165"/>
    </row>
    <row r="516" spans="16:26" ht="10.199999999999999" customHeight="1">
      <c r="P516" s="165"/>
      <c r="Q516" s="165"/>
      <c r="R516" s="165"/>
      <c r="S516" s="165"/>
      <c r="T516" s="165"/>
      <c r="U516" s="165"/>
      <c r="V516" s="165"/>
      <c r="W516" s="165"/>
      <c r="X516" s="165"/>
      <c r="Y516" s="165"/>
      <c r="Z516" s="165"/>
    </row>
    <row r="517" spans="16:26" ht="10.199999999999999" customHeight="1">
      <c r="P517" s="165"/>
      <c r="Q517" s="165"/>
      <c r="R517" s="165"/>
      <c r="S517" s="165"/>
      <c r="T517" s="165"/>
      <c r="U517" s="165"/>
      <c r="V517" s="165"/>
      <c r="W517" s="165"/>
      <c r="X517" s="165"/>
      <c r="Y517" s="165"/>
      <c r="Z517" s="165"/>
    </row>
    <row r="518" spans="16:26" ht="10.199999999999999" customHeight="1">
      <c r="P518" s="165"/>
      <c r="Q518" s="165"/>
      <c r="R518" s="165"/>
      <c r="S518" s="165"/>
      <c r="T518" s="165"/>
      <c r="U518" s="165"/>
      <c r="V518" s="165"/>
      <c r="W518" s="165"/>
      <c r="X518" s="165"/>
      <c r="Y518" s="165"/>
      <c r="Z518" s="165"/>
    </row>
    <row r="519" spans="16:26" ht="10.199999999999999" customHeight="1">
      <c r="P519" s="165"/>
      <c r="Q519" s="165"/>
      <c r="R519" s="165"/>
      <c r="S519" s="165"/>
      <c r="T519" s="165"/>
      <c r="U519" s="165"/>
      <c r="V519" s="165"/>
      <c r="W519" s="165"/>
      <c r="X519" s="165"/>
      <c r="Y519" s="165"/>
      <c r="Z519" s="165"/>
    </row>
    <row r="520" spans="16:26" ht="10.199999999999999" customHeight="1">
      <c r="P520" s="165"/>
      <c r="Q520" s="165"/>
      <c r="R520" s="165"/>
      <c r="S520" s="165"/>
      <c r="T520" s="165"/>
      <c r="U520" s="165"/>
      <c r="V520" s="165"/>
      <c r="W520" s="165"/>
      <c r="X520" s="165"/>
      <c r="Y520" s="165"/>
      <c r="Z520" s="165"/>
    </row>
    <row r="521" spans="16:26" ht="10.199999999999999" customHeight="1">
      <c r="P521" s="165"/>
      <c r="Q521" s="165"/>
      <c r="R521" s="165"/>
      <c r="S521" s="165"/>
      <c r="T521" s="165"/>
      <c r="U521" s="165"/>
      <c r="V521" s="165"/>
      <c r="W521" s="165"/>
      <c r="X521" s="165"/>
      <c r="Y521" s="165"/>
      <c r="Z521" s="165"/>
    </row>
    <row r="522" spans="16:26" ht="10.199999999999999" customHeight="1">
      <c r="P522" s="165"/>
      <c r="Q522" s="165"/>
      <c r="R522" s="165"/>
      <c r="S522" s="165"/>
      <c r="T522" s="165"/>
      <c r="U522" s="165"/>
      <c r="V522" s="165"/>
      <c r="W522" s="165"/>
      <c r="X522" s="165"/>
      <c r="Y522" s="165"/>
      <c r="Z522" s="165"/>
    </row>
    <row r="523" spans="16:26" ht="10.199999999999999" customHeight="1">
      <c r="P523" s="165"/>
      <c r="Q523" s="165"/>
      <c r="R523" s="165"/>
      <c r="S523" s="165"/>
      <c r="T523" s="165"/>
      <c r="U523" s="165"/>
      <c r="V523" s="165"/>
      <c r="W523" s="165"/>
      <c r="X523" s="165"/>
      <c r="Y523" s="165"/>
      <c r="Z523" s="165"/>
    </row>
    <row r="524" spans="16:26" ht="10.199999999999999" customHeight="1">
      <c r="P524" s="165"/>
      <c r="Q524" s="165"/>
      <c r="R524" s="165"/>
      <c r="S524" s="165"/>
      <c r="T524" s="165"/>
      <c r="U524" s="165"/>
      <c r="V524" s="165"/>
      <c r="W524" s="165"/>
      <c r="X524" s="165"/>
      <c r="Y524" s="165"/>
      <c r="Z524" s="165"/>
    </row>
    <row r="525" spans="16:26" ht="10.199999999999999" customHeight="1">
      <c r="P525" s="165"/>
      <c r="Q525" s="165"/>
      <c r="R525" s="165"/>
      <c r="S525" s="165"/>
      <c r="T525" s="165"/>
      <c r="U525" s="165"/>
      <c r="V525" s="165"/>
      <c r="W525" s="165"/>
      <c r="X525" s="165"/>
      <c r="Y525" s="165"/>
      <c r="Z525" s="165"/>
    </row>
    <row r="526" spans="16:26" ht="10.199999999999999" customHeight="1">
      <c r="P526" s="165"/>
      <c r="Q526" s="165"/>
      <c r="R526" s="165"/>
      <c r="S526" s="165"/>
      <c r="T526" s="165"/>
      <c r="U526" s="165"/>
      <c r="V526" s="165"/>
      <c r="W526" s="165"/>
      <c r="X526" s="165"/>
      <c r="Y526" s="165"/>
      <c r="Z526" s="165"/>
    </row>
    <row r="527" spans="16:26" ht="10.199999999999999" customHeight="1">
      <c r="P527" s="165"/>
      <c r="Q527" s="165"/>
      <c r="R527" s="165"/>
      <c r="S527" s="165"/>
      <c r="T527" s="165"/>
      <c r="U527" s="165"/>
      <c r="V527" s="165"/>
      <c r="W527" s="165"/>
      <c r="X527" s="165"/>
      <c r="Y527" s="165"/>
      <c r="Z527" s="165"/>
    </row>
    <row r="528" spans="16:26" ht="10.199999999999999" customHeight="1">
      <c r="P528" s="165"/>
      <c r="Q528" s="165"/>
      <c r="R528" s="165"/>
      <c r="S528" s="165"/>
      <c r="T528" s="165"/>
      <c r="U528" s="165"/>
      <c r="V528" s="165"/>
      <c r="W528" s="165"/>
      <c r="X528" s="165"/>
      <c r="Y528" s="165"/>
      <c r="Z528" s="165"/>
    </row>
    <row r="529" spans="16:26" ht="10.199999999999999" customHeight="1">
      <c r="P529" s="165"/>
      <c r="Q529" s="165"/>
      <c r="R529" s="165"/>
      <c r="S529" s="165"/>
      <c r="T529" s="165"/>
      <c r="U529" s="165"/>
      <c r="V529" s="165"/>
      <c r="W529" s="165"/>
      <c r="X529" s="165"/>
      <c r="Y529" s="165"/>
      <c r="Z529" s="165"/>
    </row>
    <row r="530" spans="16:26" ht="10.199999999999999" customHeight="1">
      <c r="P530" s="165"/>
      <c r="Q530" s="165"/>
      <c r="R530" s="165"/>
      <c r="S530" s="165"/>
      <c r="T530" s="165"/>
      <c r="U530" s="165"/>
      <c r="V530" s="165"/>
      <c r="W530" s="165"/>
      <c r="X530" s="165"/>
      <c r="Y530" s="165"/>
      <c r="Z530" s="165"/>
    </row>
    <row r="531" spans="16:26" ht="10.199999999999999" customHeight="1">
      <c r="P531" s="165"/>
      <c r="Q531" s="165"/>
      <c r="R531" s="165"/>
      <c r="S531" s="165"/>
      <c r="T531" s="165"/>
      <c r="U531" s="165"/>
      <c r="V531" s="165"/>
      <c r="W531" s="165"/>
      <c r="X531" s="165"/>
      <c r="Y531" s="165"/>
      <c r="Z531" s="165"/>
    </row>
    <row r="532" spans="16:26" ht="10.199999999999999" customHeight="1">
      <c r="P532" s="165"/>
      <c r="Q532" s="165"/>
      <c r="R532" s="165"/>
      <c r="S532" s="165"/>
      <c r="T532" s="165"/>
      <c r="U532" s="165"/>
      <c r="V532" s="165"/>
      <c r="W532" s="165"/>
      <c r="X532" s="165"/>
      <c r="Y532" s="165"/>
      <c r="Z532" s="165"/>
    </row>
    <row r="533" spans="16:26" ht="10.199999999999999" customHeight="1">
      <c r="P533" s="165"/>
      <c r="Q533" s="165"/>
      <c r="R533" s="165"/>
      <c r="S533" s="165"/>
      <c r="T533" s="165"/>
      <c r="U533" s="165"/>
      <c r="V533" s="165"/>
      <c r="W533" s="165"/>
      <c r="X533" s="165"/>
      <c r="Y533" s="165"/>
      <c r="Z533" s="165"/>
    </row>
    <row r="534" spans="16:26" ht="10.199999999999999" customHeight="1">
      <c r="P534" s="165"/>
      <c r="Q534" s="165"/>
      <c r="R534" s="165"/>
      <c r="S534" s="165"/>
      <c r="T534" s="165"/>
      <c r="U534" s="165"/>
      <c r="V534" s="165"/>
      <c r="W534" s="165"/>
      <c r="X534" s="165"/>
      <c r="Y534" s="165"/>
      <c r="Z534" s="165"/>
    </row>
    <row r="535" spans="16:26" ht="10.199999999999999" customHeight="1">
      <c r="P535" s="165"/>
      <c r="Q535" s="165"/>
      <c r="R535" s="165"/>
      <c r="S535" s="165"/>
      <c r="T535" s="165"/>
      <c r="U535" s="165"/>
      <c r="V535" s="165"/>
      <c r="W535" s="165"/>
      <c r="X535" s="165"/>
      <c r="Y535" s="165"/>
      <c r="Z535" s="165"/>
    </row>
    <row r="536" spans="16:26" ht="10.199999999999999" customHeight="1">
      <c r="P536" s="165"/>
      <c r="Q536" s="165"/>
      <c r="R536" s="165"/>
      <c r="S536" s="165"/>
      <c r="T536" s="165"/>
      <c r="U536" s="165"/>
      <c r="V536" s="165"/>
      <c r="W536" s="165"/>
      <c r="X536" s="165"/>
      <c r="Y536" s="165"/>
      <c r="Z536" s="165"/>
    </row>
    <row r="537" spans="16:26" ht="10.199999999999999" customHeight="1">
      <c r="P537" s="165"/>
      <c r="Q537" s="165"/>
      <c r="R537" s="165"/>
      <c r="S537" s="165"/>
      <c r="T537" s="165"/>
      <c r="U537" s="165"/>
      <c r="V537" s="165"/>
      <c r="W537" s="165"/>
      <c r="X537" s="165"/>
      <c r="Y537" s="165"/>
      <c r="Z537" s="165"/>
    </row>
    <row r="538" spans="16:26" ht="10.199999999999999" customHeight="1">
      <c r="P538" s="165"/>
      <c r="Q538" s="165"/>
      <c r="R538" s="165"/>
      <c r="S538" s="165"/>
      <c r="T538" s="165"/>
      <c r="U538" s="165"/>
      <c r="V538" s="165"/>
      <c r="W538" s="165"/>
      <c r="X538" s="165"/>
      <c r="Y538" s="165"/>
      <c r="Z538" s="165"/>
    </row>
    <row r="539" spans="16:26" ht="10.199999999999999" customHeight="1">
      <c r="P539" s="165"/>
      <c r="Q539" s="165"/>
      <c r="R539" s="165"/>
      <c r="S539" s="165"/>
      <c r="T539" s="165"/>
      <c r="U539" s="165"/>
      <c r="V539" s="165"/>
      <c r="W539" s="165"/>
      <c r="X539" s="165"/>
      <c r="Y539" s="165"/>
      <c r="Z539" s="165"/>
    </row>
    <row r="540" spans="16:26" ht="10.199999999999999" customHeight="1">
      <c r="P540" s="165"/>
      <c r="Q540" s="165"/>
      <c r="R540" s="165"/>
      <c r="S540" s="165"/>
      <c r="T540" s="165"/>
      <c r="U540" s="165"/>
      <c r="V540" s="165"/>
      <c r="W540" s="165"/>
      <c r="X540" s="165"/>
      <c r="Y540" s="165"/>
      <c r="Z540" s="165"/>
    </row>
    <row r="541" spans="16:26" ht="10.199999999999999" customHeight="1">
      <c r="P541" s="165"/>
      <c r="Q541" s="165"/>
      <c r="R541" s="165"/>
      <c r="S541" s="165"/>
      <c r="T541" s="165"/>
      <c r="U541" s="165"/>
      <c r="V541" s="165"/>
      <c r="W541" s="165"/>
      <c r="X541" s="165"/>
      <c r="Y541" s="165"/>
      <c r="Z541" s="165"/>
    </row>
    <row r="542" spans="16:26" ht="10.199999999999999" customHeight="1">
      <c r="P542" s="165"/>
      <c r="Q542" s="165"/>
      <c r="R542" s="165"/>
      <c r="S542" s="165"/>
      <c r="T542" s="165"/>
      <c r="U542" s="165"/>
      <c r="V542" s="165"/>
      <c r="W542" s="165"/>
      <c r="X542" s="165"/>
      <c r="Y542" s="165"/>
      <c r="Z542" s="165"/>
    </row>
    <row r="543" spans="16:26" ht="10.199999999999999" customHeight="1">
      <c r="P543" s="165"/>
      <c r="Q543" s="165"/>
      <c r="R543" s="165"/>
      <c r="S543" s="165"/>
      <c r="T543" s="165"/>
      <c r="U543" s="165"/>
      <c r="V543" s="165"/>
      <c r="W543" s="165"/>
      <c r="X543" s="165"/>
      <c r="Y543" s="165"/>
      <c r="Z543" s="165"/>
    </row>
    <row r="544" spans="16:26" ht="10.199999999999999" customHeight="1">
      <c r="P544" s="165"/>
      <c r="Q544" s="165"/>
      <c r="R544" s="165"/>
      <c r="S544" s="165"/>
      <c r="T544" s="165"/>
      <c r="U544" s="165"/>
      <c r="V544" s="165"/>
      <c r="W544" s="165"/>
      <c r="X544" s="165"/>
      <c r="Y544" s="165"/>
      <c r="Z544" s="165"/>
    </row>
    <row r="545" spans="16:26" ht="10.199999999999999" customHeight="1">
      <c r="P545" s="165"/>
      <c r="Q545" s="165"/>
      <c r="R545" s="165"/>
      <c r="S545" s="165"/>
      <c r="T545" s="165"/>
      <c r="U545" s="165"/>
      <c r="V545" s="165"/>
      <c r="W545" s="165"/>
      <c r="X545" s="165"/>
      <c r="Y545" s="165"/>
      <c r="Z545" s="165"/>
    </row>
    <row r="546" spans="16:26" ht="10.199999999999999" customHeight="1">
      <c r="P546" s="165"/>
      <c r="Q546" s="165"/>
      <c r="R546" s="165"/>
      <c r="S546" s="165"/>
      <c r="T546" s="165"/>
      <c r="U546" s="165"/>
      <c r="V546" s="165"/>
      <c r="W546" s="165"/>
      <c r="X546" s="165"/>
      <c r="Y546" s="165"/>
      <c r="Z546" s="165"/>
    </row>
    <row r="547" spans="16:26" ht="10.199999999999999" customHeight="1">
      <c r="P547" s="165"/>
      <c r="Q547" s="165"/>
      <c r="R547" s="165"/>
      <c r="S547" s="165"/>
      <c r="T547" s="165"/>
      <c r="U547" s="165"/>
      <c r="V547" s="165"/>
      <c r="W547" s="165"/>
      <c r="X547" s="165"/>
      <c r="Y547" s="165"/>
      <c r="Z547" s="165"/>
    </row>
    <row r="548" spans="16:26" ht="10.199999999999999" customHeight="1">
      <c r="P548" s="165"/>
      <c r="Q548" s="165"/>
      <c r="R548" s="165"/>
      <c r="S548" s="165"/>
      <c r="T548" s="165"/>
      <c r="U548" s="165"/>
      <c r="V548" s="165"/>
      <c r="W548" s="165"/>
      <c r="X548" s="165"/>
      <c r="Y548" s="165"/>
      <c r="Z548" s="165"/>
    </row>
    <row r="549" spans="16:26" ht="10.199999999999999" customHeight="1">
      <c r="P549" s="165"/>
      <c r="Q549" s="165"/>
      <c r="R549" s="165"/>
      <c r="S549" s="165"/>
      <c r="T549" s="165"/>
      <c r="U549" s="165"/>
      <c r="V549" s="165"/>
      <c r="W549" s="165"/>
      <c r="X549" s="165"/>
      <c r="Y549" s="165"/>
      <c r="Z549" s="165"/>
    </row>
    <row r="550" spans="16:26" ht="10.199999999999999" customHeight="1">
      <c r="P550" s="165"/>
      <c r="Q550" s="165"/>
      <c r="R550" s="165"/>
      <c r="S550" s="165"/>
      <c r="T550" s="165"/>
      <c r="U550" s="165"/>
      <c r="V550" s="165"/>
      <c r="W550" s="165"/>
      <c r="X550" s="165"/>
      <c r="Y550" s="165"/>
      <c r="Z550" s="165"/>
    </row>
    <row r="551" spans="16:26" ht="10.199999999999999" customHeight="1">
      <c r="P551" s="165"/>
      <c r="Q551" s="165"/>
      <c r="R551" s="165"/>
      <c r="S551" s="165"/>
      <c r="T551" s="165"/>
      <c r="U551" s="165"/>
      <c r="V551" s="165"/>
      <c r="W551" s="165"/>
      <c r="X551" s="165"/>
      <c r="Y551" s="165"/>
      <c r="Z551" s="165"/>
    </row>
    <row r="552" spans="16:26" ht="10.199999999999999" customHeight="1">
      <c r="P552" s="165"/>
      <c r="Q552" s="165"/>
      <c r="R552" s="165"/>
      <c r="S552" s="165"/>
      <c r="T552" s="165"/>
      <c r="U552" s="165"/>
      <c r="V552" s="165"/>
      <c r="W552" s="165"/>
      <c r="X552" s="165"/>
      <c r="Y552" s="165"/>
      <c r="Z552" s="165"/>
    </row>
    <row r="553" spans="16:26" ht="10.199999999999999" customHeight="1">
      <c r="P553" s="165"/>
      <c r="Q553" s="165"/>
      <c r="R553" s="165"/>
      <c r="S553" s="165"/>
      <c r="T553" s="165"/>
      <c r="U553" s="165"/>
      <c r="V553" s="165"/>
      <c r="W553" s="165"/>
      <c r="X553" s="165"/>
      <c r="Y553" s="165"/>
      <c r="Z553" s="165"/>
    </row>
    <row r="554" spans="16:26" ht="10.199999999999999" customHeight="1">
      <c r="P554" s="165"/>
      <c r="Q554" s="165"/>
      <c r="R554" s="165"/>
      <c r="S554" s="165"/>
      <c r="T554" s="165"/>
      <c r="U554" s="165"/>
      <c r="V554" s="165"/>
      <c r="W554" s="165"/>
      <c r="X554" s="165"/>
      <c r="Y554" s="165"/>
      <c r="Z554" s="165"/>
    </row>
    <row r="555" spans="16:26" ht="10.199999999999999" customHeight="1">
      <c r="P555" s="165"/>
      <c r="Q555" s="165"/>
      <c r="R555" s="165"/>
      <c r="S555" s="165"/>
      <c r="T555" s="165"/>
      <c r="U555" s="165"/>
      <c r="V555" s="165"/>
      <c r="W555" s="165"/>
      <c r="X555" s="165"/>
      <c r="Y555" s="165"/>
      <c r="Z555" s="165"/>
    </row>
    <row r="556" spans="16:26" ht="10.199999999999999" customHeight="1">
      <c r="P556" s="165"/>
      <c r="Q556" s="165"/>
      <c r="R556" s="165"/>
      <c r="S556" s="165"/>
      <c r="T556" s="165"/>
      <c r="U556" s="165"/>
      <c r="V556" s="165"/>
      <c r="W556" s="165"/>
      <c r="X556" s="165"/>
      <c r="Y556" s="165"/>
      <c r="Z556" s="165"/>
    </row>
    <row r="557" spans="16:26" ht="10.199999999999999" customHeight="1">
      <c r="P557" s="165"/>
      <c r="Q557" s="165"/>
      <c r="R557" s="165"/>
      <c r="S557" s="165"/>
      <c r="T557" s="165"/>
      <c r="U557" s="165"/>
      <c r="V557" s="165"/>
      <c r="W557" s="165"/>
      <c r="X557" s="165"/>
      <c r="Y557" s="165"/>
      <c r="Z557" s="165"/>
    </row>
    <row r="558" spans="16:26" ht="10.199999999999999" customHeight="1">
      <c r="P558" s="165"/>
      <c r="Q558" s="165"/>
      <c r="R558" s="165"/>
      <c r="S558" s="165"/>
      <c r="T558" s="165"/>
      <c r="U558" s="165"/>
      <c r="V558" s="165"/>
      <c r="W558" s="165"/>
      <c r="X558" s="165"/>
      <c r="Y558" s="165"/>
      <c r="Z558" s="165"/>
    </row>
    <row r="559" spans="16:26" ht="10.199999999999999" customHeight="1">
      <c r="P559" s="165"/>
      <c r="Q559" s="165"/>
      <c r="R559" s="165"/>
      <c r="S559" s="165"/>
      <c r="T559" s="165"/>
      <c r="U559" s="165"/>
      <c r="V559" s="165"/>
      <c r="W559" s="165"/>
      <c r="X559" s="165"/>
      <c r="Y559" s="165"/>
      <c r="Z559" s="165"/>
    </row>
    <row r="560" spans="16:26" ht="10.199999999999999" customHeight="1">
      <c r="P560" s="165"/>
      <c r="Q560" s="165"/>
      <c r="R560" s="165"/>
      <c r="S560" s="165"/>
      <c r="T560" s="165"/>
      <c r="U560" s="165"/>
      <c r="V560" s="165"/>
      <c r="W560" s="165"/>
      <c r="X560" s="165"/>
      <c r="Y560" s="165"/>
      <c r="Z560" s="165"/>
    </row>
    <row r="561" spans="16:26" ht="10.199999999999999" customHeight="1">
      <c r="P561" s="165"/>
      <c r="Q561" s="165"/>
      <c r="R561" s="165"/>
      <c r="S561" s="165"/>
      <c r="T561" s="165"/>
      <c r="U561" s="165"/>
      <c r="V561" s="165"/>
      <c r="W561" s="165"/>
      <c r="X561" s="165"/>
      <c r="Y561" s="165"/>
      <c r="Z561" s="165"/>
    </row>
    <row r="562" spans="16:26" ht="10.199999999999999" customHeight="1">
      <c r="P562" s="165"/>
      <c r="Q562" s="165"/>
      <c r="R562" s="165"/>
      <c r="S562" s="165"/>
      <c r="T562" s="165"/>
      <c r="U562" s="165"/>
      <c r="V562" s="165"/>
      <c r="W562" s="165"/>
      <c r="X562" s="165"/>
      <c r="Y562" s="165"/>
      <c r="Z562" s="165"/>
    </row>
    <row r="563" spans="16:26" ht="10.199999999999999" customHeight="1">
      <c r="P563" s="165"/>
      <c r="Q563" s="165"/>
      <c r="R563" s="165"/>
      <c r="S563" s="165"/>
      <c r="T563" s="165"/>
      <c r="U563" s="165"/>
      <c r="V563" s="165"/>
      <c r="W563" s="165"/>
      <c r="X563" s="165"/>
      <c r="Y563" s="165"/>
      <c r="Z563" s="165"/>
    </row>
    <row r="564" spans="16:26" ht="10.199999999999999" customHeight="1">
      <c r="P564" s="165"/>
      <c r="Q564" s="165"/>
      <c r="R564" s="165"/>
      <c r="S564" s="165"/>
      <c r="T564" s="165"/>
      <c r="U564" s="165"/>
      <c r="V564" s="165"/>
      <c r="W564" s="165"/>
      <c r="X564" s="165"/>
      <c r="Y564" s="165"/>
      <c r="Z564" s="165"/>
    </row>
    <row r="565" spans="16:26" ht="10.199999999999999" customHeight="1">
      <c r="P565" s="165"/>
      <c r="Q565" s="165"/>
      <c r="R565" s="165"/>
      <c r="S565" s="165"/>
      <c r="T565" s="165"/>
      <c r="U565" s="165"/>
      <c r="V565" s="165"/>
      <c r="W565" s="165"/>
      <c r="X565" s="165"/>
      <c r="Y565" s="165"/>
      <c r="Z565" s="165"/>
    </row>
    <row r="566" spans="16:26" ht="10.199999999999999" customHeight="1">
      <c r="P566" s="165"/>
      <c r="Q566" s="165"/>
      <c r="R566" s="165"/>
      <c r="S566" s="165"/>
      <c r="T566" s="165"/>
      <c r="U566" s="165"/>
      <c r="V566" s="165"/>
      <c r="W566" s="165"/>
      <c r="X566" s="165"/>
      <c r="Y566" s="165"/>
      <c r="Z566" s="165"/>
    </row>
    <row r="567" spans="16:26" ht="10.199999999999999" customHeight="1">
      <c r="P567" s="165"/>
      <c r="Q567" s="165"/>
      <c r="R567" s="165"/>
      <c r="S567" s="165"/>
      <c r="T567" s="165"/>
      <c r="U567" s="165"/>
      <c r="V567" s="165"/>
      <c r="W567" s="165"/>
      <c r="X567" s="165"/>
      <c r="Y567" s="165"/>
      <c r="Z567" s="165"/>
    </row>
    <row r="568" spans="16:26" ht="10.199999999999999" customHeight="1">
      <c r="P568" s="165"/>
      <c r="Q568" s="165"/>
      <c r="R568" s="165"/>
      <c r="S568" s="165"/>
      <c r="T568" s="165"/>
      <c r="U568" s="165"/>
      <c r="V568" s="165"/>
      <c r="W568" s="165"/>
      <c r="X568" s="165"/>
      <c r="Y568" s="165"/>
      <c r="Z568" s="165"/>
    </row>
    <row r="569" spans="16:26" ht="10.199999999999999" customHeight="1">
      <c r="P569" s="165"/>
      <c r="Q569" s="165"/>
      <c r="R569" s="165"/>
      <c r="S569" s="165"/>
      <c r="T569" s="165"/>
      <c r="U569" s="165"/>
      <c r="V569" s="165"/>
      <c r="W569" s="165"/>
      <c r="X569" s="165"/>
      <c r="Y569" s="165"/>
      <c r="Z569" s="165"/>
    </row>
    <row r="570" spans="16:26" ht="10.199999999999999" customHeight="1">
      <c r="P570" s="165"/>
      <c r="Q570" s="165"/>
      <c r="R570" s="165"/>
      <c r="S570" s="165"/>
      <c r="T570" s="165"/>
      <c r="U570" s="165"/>
      <c r="V570" s="165"/>
      <c r="W570" s="165"/>
      <c r="X570" s="165"/>
      <c r="Y570" s="165"/>
      <c r="Z570" s="165"/>
    </row>
    <row r="571" spans="16:26" ht="10.199999999999999" customHeight="1">
      <c r="P571" s="165"/>
      <c r="Q571" s="165"/>
      <c r="R571" s="165"/>
      <c r="S571" s="165"/>
      <c r="T571" s="165"/>
      <c r="U571" s="165"/>
      <c r="V571" s="165"/>
      <c r="W571" s="165"/>
      <c r="X571" s="165"/>
      <c r="Y571" s="165"/>
      <c r="Z571" s="165"/>
    </row>
    <row r="572" spans="16:26" ht="10.199999999999999" customHeight="1">
      <c r="P572" s="165"/>
      <c r="Q572" s="165"/>
      <c r="R572" s="165"/>
      <c r="S572" s="165"/>
      <c r="T572" s="165"/>
      <c r="U572" s="165"/>
      <c r="V572" s="165"/>
      <c r="W572" s="165"/>
      <c r="X572" s="165"/>
      <c r="Y572" s="165"/>
      <c r="Z572" s="165"/>
    </row>
    <row r="573" spans="16:26" ht="10.199999999999999" customHeight="1">
      <c r="P573" s="165"/>
      <c r="Q573" s="165"/>
      <c r="R573" s="165"/>
      <c r="S573" s="165"/>
      <c r="T573" s="165"/>
      <c r="U573" s="165"/>
      <c r="V573" s="165"/>
      <c r="W573" s="165"/>
      <c r="X573" s="165"/>
      <c r="Y573" s="165"/>
      <c r="Z573" s="165"/>
    </row>
    <row r="574" spans="16:26" ht="10.199999999999999" customHeight="1">
      <c r="P574" s="165"/>
      <c r="Q574" s="165"/>
      <c r="R574" s="165"/>
      <c r="S574" s="165"/>
      <c r="T574" s="165"/>
      <c r="U574" s="165"/>
      <c r="V574" s="165"/>
      <c r="W574" s="165"/>
      <c r="X574" s="165"/>
      <c r="Y574" s="165"/>
      <c r="Z574" s="165"/>
    </row>
    <row r="575" spans="16:26" ht="10.199999999999999" customHeight="1">
      <c r="P575" s="165"/>
      <c r="Q575" s="165"/>
      <c r="R575" s="165"/>
      <c r="S575" s="165"/>
      <c r="T575" s="165"/>
      <c r="U575" s="165"/>
      <c r="V575" s="165"/>
      <c r="W575" s="165"/>
      <c r="X575" s="165"/>
      <c r="Y575" s="165"/>
      <c r="Z575" s="165"/>
    </row>
    <row r="576" spans="16:26" ht="10.199999999999999" customHeight="1">
      <c r="P576" s="165"/>
      <c r="Q576" s="165"/>
      <c r="R576" s="165"/>
      <c r="S576" s="165"/>
      <c r="T576" s="165"/>
      <c r="U576" s="165"/>
      <c r="V576" s="165"/>
      <c r="W576" s="165"/>
      <c r="X576" s="165"/>
      <c r="Y576" s="165"/>
      <c r="Z576" s="165"/>
    </row>
    <row r="577" spans="16:26" ht="10.199999999999999" customHeight="1">
      <c r="P577" s="165"/>
      <c r="Q577" s="165"/>
      <c r="R577" s="165"/>
      <c r="S577" s="165"/>
      <c r="T577" s="165"/>
      <c r="U577" s="165"/>
      <c r="V577" s="165"/>
      <c r="W577" s="165"/>
      <c r="X577" s="165"/>
      <c r="Y577" s="165"/>
      <c r="Z577" s="165"/>
    </row>
    <row r="578" spans="16:26" ht="10.199999999999999" customHeight="1">
      <c r="P578" s="165"/>
      <c r="Q578" s="165"/>
      <c r="R578" s="165"/>
      <c r="S578" s="165"/>
      <c r="T578" s="165"/>
      <c r="U578" s="165"/>
      <c r="V578" s="165"/>
      <c r="W578" s="165"/>
      <c r="X578" s="165"/>
      <c r="Y578" s="165"/>
      <c r="Z578" s="165"/>
    </row>
    <row r="579" spans="16:26" ht="10.199999999999999" customHeight="1">
      <c r="P579" s="165"/>
      <c r="Q579" s="165"/>
      <c r="R579" s="165"/>
      <c r="S579" s="165"/>
      <c r="T579" s="165"/>
      <c r="U579" s="165"/>
      <c r="V579" s="165"/>
      <c r="W579" s="165"/>
      <c r="X579" s="165"/>
      <c r="Y579" s="165"/>
      <c r="Z579" s="165"/>
    </row>
    <row r="580" spans="16:26" ht="10.199999999999999" customHeight="1">
      <c r="P580" s="165"/>
      <c r="Q580" s="165"/>
      <c r="R580" s="165"/>
      <c r="S580" s="165"/>
      <c r="T580" s="165"/>
      <c r="U580" s="165"/>
      <c r="V580" s="165"/>
      <c r="W580" s="165"/>
      <c r="X580" s="165"/>
      <c r="Y580" s="165"/>
      <c r="Z580" s="165"/>
    </row>
    <row r="581" spans="16:26" ht="10.199999999999999" customHeight="1">
      <c r="P581" s="165"/>
      <c r="Q581" s="165"/>
      <c r="R581" s="165"/>
      <c r="S581" s="165"/>
      <c r="T581" s="165"/>
      <c r="U581" s="165"/>
      <c r="V581" s="165"/>
      <c r="W581" s="165"/>
      <c r="X581" s="165"/>
      <c r="Y581" s="165"/>
      <c r="Z581" s="165"/>
    </row>
    <row r="582" spans="16:26" ht="10.199999999999999" customHeight="1">
      <c r="P582" s="165"/>
      <c r="Q582" s="165"/>
      <c r="R582" s="165"/>
      <c r="S582" s="165"/>
      <c r="T582" s="165"/>
      <c r="U582" s="165"/>
      <c r="V582" s="165"/>
      <c r="W582" s="165"/>
      <c r="X582" s="165"/>
      <c r="Y582" s="165"/>
      <c r="Z582" s="165"/>
    </row>
    <row r="583" spans="16:26" ht="10.199999999999999" customHeight="1">
      <c r="P583" s="165"/>
      <c r="Q583" s="165"/>
      <c r="R583" s="165"/>
      <c r="S583" s="165"/>
      <c r="T583" s="165"/>
      <c r="U583" s="165"/>
      <c r="V583" s="165"/>
      <c r="W583" s="165"/>
      <c r="X583" s="165"/>
      <c r="Y583" s="165"/>
      <c r="Z583" s="165"/>
    </row>
    <row r="584" spans="16:26" ht="10.199999999999999" customHeight="1">
      <c r="P584" s="165"/>
      <c r="Q584" s="165"/>
      <c r="R584" s="165"/>
      <c r="S584" s="165"/>
      <c r="T584" s="165"/>
      <c r="U584" s="165"/>
      <c r="V584" s="165"/>
      <c r="W584" s="165"/>
      <c r="X584" s="165"/>
      <c r="Y584" s="165"/>
      <c r="Z584" s="165"/>
    </row>
    <row r="585" spans="16:26" ht="10.199999999999999" customHeight="1">
      <c r="P585" s="165"/>
      <c r="Q585" s="165"/>
      <c r="R585" s="165"/>
      <c r="S585" s="165"/>
      <c r="T585" s="165"/>
      <c r="U585" s="165"/>
      <c r="V585" s="165"/>
      <c r="W585" s="165"/>
      <c r="X585" s="165"/>
      <c r="Y585" s="165"/>
      <c r="Z585" s="165"/>
    </row>
    <row r="586" spans="16:26" ht="10.199999999999999" customHeight="1">
      <c r="P586" s="165"/>
      <c r="Q586" s="165"/>
      <c r="R586" s="165"/>
      <c r="S586" s="165"/>
      <c r="T586" s="165"/>
      <c r="U586" s="165"/>
      <c r="V586" s="165"/>
      <c r="W586" s="165"/>
      <c r="X586" s="165"/>
      <c r="Y586" s="165"/>
      <c r="Z586" s="165"/>
    </row>
    <row r="587" spans="16:26" ht="10.199999999999999" customHeight="1">
      <c r="P587" s="165"/>
      <c r="Q587" s="165"/>
      <c r="R587" s="165"/>
      <c r="S587" s="165"/>
      <c r="T587" s="165"/>
      <c r="U587" s="165"/>
      <c r="V587" s="165"/>
      <c r="W587" s="165"/>
      <c r="X587" s="165"/>
      <c r="Y587" s="165"/>
      <c r="Z587" s="165"/>
    </row>
    <row r="588" spans="16:26" ht="10.199999999999999" customHeight="1">
      <c r="P588" s="165"/>
      <c r="Q588" s="165"/>
      <c r="R588" s="165"/>
      <c r="S588" s="165"/>
      <c r="T588" s="165"/>
      <c r="U588" s="165"/>
      <c r="V588" s="165"/>
      <c r="W588" s="165"/>
      <c r="X588" s="165"/>
      <c r="Y588" s="165"/>
      <c r="Z588" s="165"/>
    </row>
    <row r="589" spans="16:26" ht="10.199999999999999" customHeight="1">
      <c r="P589" s="165"/>
      <c r="Q589" s="165"/>
      <c r="R589" s="165"/>
      <c r="S589" s="165"/>
      <c r="T589" s="165"/>
      <c r="U589" s="165"/>
      <c r="V589" s="165"/>
      <c r="W589" s="165"/>
      <c r="X589" s="165"/>
      <c r="Y589" s="165"/>
      <c r="Z589" s="165"/>
    </row>
    <row r="590" spans="16:26" ht="10.199999999999999" customHeight="1">
      <c r="P590" s="165"/>
      <c r="Q590" s="165"/>
      <c r="R590" s="165"/>
      <c r="S590" s="165"/>
      <c r="T590" s="165"/>
      <c r="U590" s="165"/>
      <c r="V590" s="165"/>
      <c r="W590" s="165"/>
      <c r="X590" s="165"/>
      <c r="Y590" s="165"/>
      <c r="Z590" s="165"/>
    </row>
    <row r="591" spans="16:26" ht="10.199999999999999" customHeight="1">
      <c r="P591" s="165"/>
      <c r="Q591" s="165"/>
      <c r="R591" s="165"/>
      <c r="S591" s="165"/>
      <c r="T591" s="165"/>
      <c r="U591" s="165"/>
      <c r="V591" s="165"/>
      <c r="W591" s="165"/>
      <c r="X591" s="165"/>
      <c r="Y591" s="165"/>
      <c r="Z591" s="165"/>
    </row>
    <row r="592" spans="16:26" ht="10.199999999999999" customHeight="1">
      <c r="P592" s="165"/>
      <c r="Q592" s="165"/>
      <c r="R592" s="165"/>
      <c r="S592" s="165"/>
      <c r="T592" s="165"/>
      <c r="U592" s="165"/>
      <c r="V592" s="165"/>
      <c r="W592" s="165"/>
      <c r="X592" s="165"/>
      <c r="Y592" s="165"/>
      <c r="Z592" s="165"/>
    </row>
    <row r="593" spans="16:26" ht="10.199999999999999" customHeight="1">
      <c r="P593" s="165"/>
      <c r="Q593" s="165"/>
      <c r="R593" s="165"/>
      <c r="S593" s="165"/>
      <c r="T593" s="165"/>
      <c r="U593" s="165"/>
      <c r="V593" s="165"/>
      <c r="W593" s="165"/>
      <c r="X593" s="165"/>
      <c r="Y593" s="165"/>
      <c r="Z593" s="165"/>
    </row>
    <row r="594" spans="16:26" ht="10.199999999999999" customHeight="1">
      <c r="P594" s="165"/>
      <c r="Q594" s="165"/>
      <c r="R594" s="165"/>
      <c r="S594" s="165"/>
      <c r="T594" s="165"/>
      <c r="U594" s="165"/>
      <c r="V594" s="165"/>
      <c r="W594" s="165"/>
      <c r="X594" s="165"/>
      <c r="Y594" s="165"/>
      <c r="Z594" s="165"/>
    </row>
    <row r="595" spans="16:26" ht="10.199999999999999" customHeight="1">
      <c r="P595" s="165"/>
      <c r="Q595" s="165"/>
      <c r="R595" s="165"/>
      <c r="S595" s="165"/>
      <c r="T595" s="165"/>
      <c r="U595" s="165"/>
      <c r="V595" s="165"/>
      <c r="W595" s="165"/>
      <c r="X595" s="165"/>
      <c r="Y595" s="165"/>
      <c r="Z595" s="165"/>
    </row>
    <row r="596" spans="16:26" ht="10.199999999999999" customHeight="1">
      <c r="P596" s="165"/>
      <c r="Q596" s="165"/>
      <c r="R596" s="165"/>
      <c r="S596" s="165"/>
      <c r="T596" s="165"/>
      <c r="U596" s="165"/>
      <c r="V596" s="165"/>
      <c r="W596" s="165"/>
      <c r="X596" s="165"/>
      <c r="Y596" s="165"/>
      <c r="Z596" s="165"/>
    </row>
    <row r="597" spans="16:26" ht="10.199999999999999" customHeight="1">
      <c r="P597" s="165"/>
      <c r="Q597" s="165"/>
      <c r="R597" s="165"/>
      <c r="S597" s="165"/>
      <c r="T597" s="165"/>
      <c r="U597" s="165"/>
      <c r="V597" s="165"/>
      <c r="W597" s="165"/>
      <c r="X597" s="165"/>
      <c r="Y597" s="165"/>
      <c r="Z597" s="165"/>
    </row>
    <row r="598" spans="16:26" ht="10.199999999999999" customHeight="1">
      <c r="P598" s="165"/>
      <c r="Q598" s="165"/>
      <c r="R598" s="165"/>
      <c r="S598" s="165"/>
      <c r="T598" s="165"/>
      <c r="U598" s="165"/>
      <c r="V598" s="165"/>
      <c r="W598" s="165"/>
      <c r="X598" s="165"/>
      <c r="Y598" s="165"/>
      <c r="Z598" s="165"/>
    </row>
    <row r="599" spans="16:26" ht="10.199999999999999" customHeight="1">
      <c r="P599" s="165"/>
      <c r="Q599" s="165"/>
      <c r="R599" s="165"/>
      <c r="S599" s="165"/>
      <c r="T599" s="165"/>
      <c r="U599" s="165"/>
      <c r="V599" s="165"/>
      <c r="W599" s="165"/>
      <c r="X599" s="165"/>
      <c r="Y599" s="165"/>
      <c r="Z599" s="165"/>
    </row>
    <row r="600" spans="16:26" ht="10.199999999999999" customHeight="1">
      <c r="P600" s="165"/>
      <c r="Q600" s="165"/>
      <c r="R600" s="165"/>
      <c r="S600" s="165"/>
      <c r="T600" s="165"/>
      <c r="U600" s="165"/>
      <c r="V600" s="165"/>
      <c r="W600" s="165"/>
      <c r="X600" s="165"/>
      <c r="Y600" s="165"/>
      <c r="Z600" s="165"/>
    </row>
    <row r="601" spans="16:26" ht="10.199999999999999" customHeight="1">
      <c r="P601" s="165"/>
      <c r="Q601" s="165"/>
      <c r="R601" s="165"/>
      <c r="S601" s="165"/>
      <c r="T601" s="165"/>
      <c r="U601" s="165"/>
      <c r="V601" s="165"/>
      <c r="W601" s="165"/>
      <c r="X601" s="165"/>
      <c r="Y601" s="165"/>
      <c r="Z601" s="165"/>
    </row>
    <row r="602" spans="16:26" ht="10.199999999999999" customHeight="1">
      <c r="P602" s="165"/>
      <c r="Q602" s="165"/>
      <c r="R602" s="165"/>
      <c r="S602" s="165"/>
      <c r="T602" s="165"/>
      <c r="U602" s="165"/>
      <c r="V602" s="165"/>
      <c r="W602" s="165"/>
      <c r="X602" s="165"/>
      <c r="Y602" s="165"/>
      <c r="Z602" s="165"/>
    </row>
    <row r="603" spans="16:26" ht="10.199999999999999" customHeight="1">
      <c r="P603" s="165"/>
      <c r="Q603" s="165"/>
      <c r="R603" s="165"/>
      <c r="S603" s="165"/>
      <c r="T603" s="165"/>
      <c r="U603" s="165"/>
      <c r="V603" s="165"/>
      <c r="W603" s="165"/>
      <c r="X603" s="165"/>
      <c r="Y603" s="165"/>
      <c r="Z603" s="165"/>
    </row>
    <row r="604" spans="16:26" ht="10.199999999999999" customHeight="1">
      <c r="P604" s="165"/>
      <c r="Q604" s="165"/>
      <c r="R604" s="165"/>
      <c r="S604" s="165"/>
      <c r="T604" s="165"/>
      <c r="U604" s="165"/>
      <c r="V604" s="165"/>
      <c r="W604" s="165"/>
      <c r="X604" s="165"/>
      <c r="Y604" s="165"/>
      <c r="Z604" s="165"/>
    </row>
    <row r="605" spans="16:26" ht="10.199999999999999" customHeight="1">
      <c r="P605" s="165"/>
      <c r="Q605" s="165"/>
      <c r="R605" s="165"/>
      <c r="S605" s="165"/>
      <c r="T605" s="165"/>
      <c r="U605" s="165"/>
      <c r="V605" s="165"/>
      <c r="W605" s="165"/>
      <c r="X605" s="165"/>
      <c r="Y605" s="165"/>
      <c r="Z605" s="165"/>
    </row>
    <row r="606" spans="16:26" ht="10.199999999999999" customHeight="1">
      <c r="P606" s="165"/>
      <c r="Q606" s="165"/>
      <c r="R606" s="165"/>
      <c r="S606" s="165"/>
      <c r="T606" s="165"/>
      <c r="U606" s="165"/>
      <c r="V606" s="165"/>
      <c r="W606" s="165"/>
      <c r="X606" s="165"/>
      <c r="Y606" s="165"/>
      <c r="Z606" s="165"/>
    </row>
    <row r="607" spans="16:26" ht="10.199999999999999" customHeight="1">
      <c r="P607" s="165"/>
      <c r="Q607" s="165"/>
      <c r="R607" s="165"/>
      <c r="S607" s="165"/>
      <c r="T607" s="165"/>
      <c r="U607" s="165"/>
      <c r="V607" s="165"/>
      <c r="W607" s="165"/>
      <c r="X607" s="165"/>
      <c r="Y607" s="165"/>
      <c r="Z607" s="165"/>
    </row>
    <row r="608" spans="16:26" ht="10.199999999999999" customHeight="1">
      <c r="P608" s="165"/>
      <c r="Q608" s="165"/>
      <c r="R608" s="165"/>
      <c r="S608" s="165"/>
      <c r="T608" s="165"/>
      <c r="U608" s="165"/>
      <c r="V608" s="165"/>
      <c r="W608" s="165"/>
      <c r="X608" s="165"/>
      <c r="Y608" s="165"/>
      <c r="Z608" s="165"/>
    </row>
    <row r="609" spans="16:26" ht="10.199999999999999" customHeight="1">
      <c r="P609" s="165"/>
      <c r="Q609" s="165"/>
      <c r="R609" s="165"/>
      <c r="S609" s="165"/>
      <c r="T609" s="165"/>
      <c r="U609" s="165"/>
      <c r="V609" s="165"/>
      <c r="W609" s="165"/>
      <c r="X609" s="165"/>
      <c r="Y609" s="165"/>
      <c r="Z609" s="165"/>
    </row>
    <row r="610" spans="16:26" ht="10.199999999999999" customHeight="1">
      <c r="P610" s="165"/>
      <c r="Q610" s="165"/>
      <c r="R610" s="165"/>
      <c r="S610" s="165"/>
      <c r="T610" s="165"/>
      <c r="U610" s="165"/>
      <c r="V610" s="165"/>
      <c r="W610" s="165"/>
      <c r="X610" s="165"/>
      <c r="Y610" s="165"/>
      <c r="Z610" s="165"/>
    </row>
    <row r="611" spans="16:26" ht="10.199999999999999" customHeight="1">
      <c r="P611" s="165"/>
      <c r="Q611" s="165"/>
      <c r="R611" s="165"/>
      <c r="S611" s="165"/>
      <c r="T611" s="165"/>
      <c r="U611" s="165"/>
      <c r="V611" s="165"/>
      <c r="W611" s="165"/>
      <c r="X611" s="165"/>
      <c r="Y611" s="165"/>
      <c r="Z611" s="165"/>
    </row>
    <row r="612" spans="16:26" ht="10.199999999999999" customHeight="1">
      <c r="P612" s="165"/>
      <c r="Q612" s="165"/>
      <c r="R612" s="165"/>
      <c r="S612" s="165"/>
      <c r="T612" s="165"/>
      <c r="U612" s="165"/>
      <c r="V612" s="165"/>
      <c r="W612" s="165"/>
      <c r="X612" s="165"/>
      <c r="Y612" s="165"/>
      <c r="Z612" s="165"/>
    </row>
    <row r="613" spans="16:26" ht="10.199999999999999" customHeight="1">
      <c r="P613" s="165"/>
      <c r="Q613" s="165"/>
      <c r="R613" s="165"/>
      <c r="S613" s="165"/>
      <c r="T613" s="165"/>
      <c r="U613" s="165"/>
      <c r="V613" s="165"/>
      <c r="W613" s="165"/>
      <c r="X613" s="165"/>
      <c r="Y613" s="165"/>
      <c r="Z613" s="165"/>
    </row>
    <row r="614" spans="16:26" ht="10.199999999999999" customHeight="1">
      <c r="P614" s="165"/>
      <c r="Q614" s="165"/>
      <c r="R614" s="165"/>
      <c r="S614" s="165"/>
      <c r="T614" s="165"/>
      <c r="U614" s="165"/>
      <c r="V614" s="165"/>
      <c r="W614" s="165"/>
      <c r="X614" s="165"/>
      <c r="Y614" s="165"/>
      <c r="Z614" s="165"/>
    </row>
    <row r="615" spans="16:26" ht="10.199999999999999" customHeight="1">
      <c r="P615" s="165"/>
      <c r="Q615" s="165"/>
      <c r="R615" s="165"/>
      <c r="S615" s="165"/>
      <c r="T615" s="165"/>
      <c r="U615" s="165"/>
      <c r="V615" s="165"/>
      <c r="W615" s="165"/>
      <c r="X615" s="165"/>
      <c r="Y615" s="165"/>
      <c r="Z615" s="165"/>
    </row>
    <row r="616" spans="16:26" ht="10.199999999999999" customHeight="1">
      <c r="P616" s="165"/>
      <c r="Q616" s="165"/>
      <c r="R616" s="165"/>
      <c r="S616" s="165"/>
      <c r="T616" s="165"/>
      <c r="U616" s="165"/>
      <c r="V616" s="165"/>
      <c r="W616" s="165"/>
      <c r="X616" s="165"/>
      <c r="Y616" s="165"/>
      <c r="Z616" s="165"/>
    </row>
    <row r="617" spans="16:26" ht="10.199999999999999" customHeight="1">
      <c r="P617" s="165"/>
      <c r="Q617" s="165"/>
      <c r="R617" s="165"/>
      <c r="S617" s="165"/>
      <c r="T617" s="165"/>
      <c r="U617" s="165"/>
      <c r="V617" s="165"/>
      <c r="W617" s="165"/>
      <c r="X617" s="165"/>
      <c r="Y617" s="165"/>
      <c r="Z617" s="165"/>
    </row>
    <row r="618" spans="16:26" ht="10.199999999999999" customHeight="1">
      <c r="P618" s="165"/>
      <c r="Q618" s="165"/>
      <c r="R618" s="165"/>
      <c r="S618" s="165"/>
      <c r="T618" s="165"/>
      <c r="U618" s="165"/>
      <c r="V618" s="165"/>
      <c r="W618" s="165"/>
      <c r="X618" s="165"/>
      <c r="Y618" s="165"/>
      <c r="Z618" s="165"/>
    </row>
    <row r="619" spans="16:26" ht="10.199999999999999" customHeight="1">
      <c r="P619" s="165"/>
      <c r="Q619" s="165"/>
      <c r="R619" s="165"/>
      <c r="S619" s="165"/>
      <c r="T619" s="165"/>
      <c r="U619" s="165"/>
      <c r="V619" s="165"/>
      <c r="W619" s="165"/>
      <c r="X619" s="165"/>
      <c r="Y619" s="165"/>
      <c r="Z619" s="165"/>
    </row>
    <row r="620" spans="16:26" ht="10.199999999999999" customHeight="1">
      <c r="P620" s="165"/>
      <c r="Q620" s="165"/>
      <c r="R620" s="165"/>
      <c r="S620" s="165"/>
      <c r="T620" s="165"/>
      <c r="U620" s="165"/>
      <c r="V620" s="165"/>
      <c r="W620" s="165"/>
      <c r="X620" s="165"/>
      <c r="Y620" s="165"/>
      <c r="Z620" s="165"/>
    </row>
    <row r="621" spans="16:26" ht="10.199999999999999" customHeight="1">
      <c r="P621" s="165"/>
      <c r="Q621" s="165"/>
      <c r="R621" s="165"/>
      <c r="S621" s="165"/>
      <c r="T621" s="165"/>
      <c r="U621" s="165"/>
      <c r="V621" s="165"/>
      <c r="W621" s="165"/>
      <c r="X621" s="165"/>
      <c r="Y621" s="165"/>
      <c r="Z621" s="165"/>
    </row>
    <row r="622" spans="16:26" ht="10.199999999999999" customHeight="1">
      <c r="P622" s="165"/>
      <c r="Q622" s="165"/>
      <c r="R622" s="165"/>
      <c r="S622" s="165"/>
      <c r="T622" s="165"/>
      <c r="U622" s="165"/>
      <c r="V622" s="165"/>
      <c r="W622" s="165"/>
      <c r="X622" s="165"/>
      <c r="Y622" s="165"/>
      <c r="Z622" s="165"/>
    </row>
    <row r="623" spans="16:26" ht="10.199999999999999" customHeight="1">
      <c r="P623" s="165"/>
      <c r="Q623" s="165"/>
      <c r="R623" s="165"/>
      <c r="S623" s="165"/>
      <c r="T623" s="165"/>
      <c r="U623" s="165"/>
      <c r="V623" s="165"/>
      <c r="W623" s="165"/>
      <c r="X623" s="165"/>
      <c r="Y623" s="165"/>
      <c r="Z623" s="165"/>
    </row>
    <row r="624" spans="16:26" ht="10.199999999999999" customHeight="1">
      <c r="P624" s="165"/>
      <c r="Q624" s="165"/>
      <c r="R624" s="165"/>
      <c r="S624" s="165"/>
      <c r="T624" s="165"/>
      <c r="U624" s="165"/>
      <c r="V624" s="165"/>
      <c r="W624" s="165"/>
      <c r="X624" s="165"/>
      <c r="Y624" s="165"/>
      <c r="Z624" s="165"/>
    </row>
    <row r="625" spans="16:26" ht="10.199999999999999" customHeight="1">
      <c r="P625" s="165"/>
      <c r="Q625" s="165"/>
      <c r="R625" s="165"/>
      <c r="S625" s="165"/>
      <c r="T625" s="165"/>
      <c r="U625" s="165"/>
      <c r="V625" s="165"/>
      <c r="W625" s="165"/>
      <c r="X625" s="165"/>
      <c r="Y625" s="165"/>
      <c r="Z625" s="165"/>
    </row>
    <row r="626" spans="16:26" ht="10.199999999999999" customHeight="1">
      <c r="P626" s="165"/>
      <c r="Q626" s="165"/>
      <c r="R626" s="165"/>
      <c r="S626" s="165"/>
      <c r="T626" s="165"/>
      <c r="U626" s="165"/>
      <c r="V626" s="165"/>
      <c r="W626" s="165"/>
      <c r="X626" s="165"/>
      <c r="Y626" s="165"/>
      <c r="Z626" s="165"/>
    </row>
    <row r="627" spans="16:26" ht="10.199999999999999" customHeight="1">
      <c r="P627" s="165"/>
      <c r="Q627" s="165"/>
      <c r="R627" s="165"/>
      <c r="S627" s="165"/>
      <c r="T627" s="165"/>
      <c r="U627" s="165"/>
      <c r="V627" s="165"/>
      <c r="W627" s="165"/>
      <c r="X627" s="165"/>
      <c r="Y627" s="165"/>
      <c r="Z627" s="165"/>
    </row>
    <row r="628" spans="16:26" ht="10.199999999999999" customHeight="1">
      <c r="P628" s="165"/>
      <c r="Q628" s="165"/>
      <c r="R628" s="165"/>
      <c r="S628" s="165"/>
      <c r="T628" s="165"/>
      <c r="U628" s="165"/>
      <c r="V628" s="165"/>
      <c r="W628" s="165"/>
      <c r="X628" s="165"/>
      <c r="Y628" s="165"/>
      <c r="Z628" s="165"/>
    </row>
    <row r="629" spans="16:26" ht="10.199999999999999" customHeight="1">
      <c r="P629" s="165"/>
      <c r="Q629" s="165"/>
      <c r="R629" s="165"/>
      <c r="S629" s="165"/>
      <c r="T629" s="165"/>
      <c r="U629" s="165"/>
      <c r="V629" s="165"/>
      <c r="W629" s="165"/>
      <c r="X629" s="165"/>
      <c r="Y629" s="165"/>
      <c r="Z629" s="165"/>
    </row>
    <row r="630" spans="16:26" ht="10.199999999999999" customHeight="1">
      <c r="P630" s="165"/>
      <c r="Q630" s="165"/>
      <c r="R630" s="165"/>
      <c r="S630" s="165"/>
      <c r="T630" s="165"/>
      <c r="U630" s="165"/>
      <c r="V630" s="165"/>
      <c r="W630" s="165"/>
      <c r="X630" s="165"/>
      <c r="Y630" s="165"/>
      <c r="Z630" s="165"/>
    </row>
    <row r="631" spans="16:26" ht="10.199999999999999" customHeight="1">
      <c r="P631" s="165"/>
      <c r="Q631" s="165"/>
      <c r="R631" s="165"/>
      <c r="S631" s="165"/>
      <c r="T631" s="165"/>
      <c r="U631" s="165"/>
      <c r="V631" s="165"/>
      <c r="W631" s="165"/>
      <c r="X631" s="165"/>
      <c r="Y631" s="165"/>
      <c r="Z631" s="165"/>
    </row>
    <row r="632" spans="16:26" ht="10.199999999999999" customHeight="1">
      <c r="P632" s="165"/>
      <c r="Q632" s="165"/>
      <c r="R632" s="165"/>
      <c r="S632" s="165"/>
      <c r="T632" s="165"/>
      <c r="U632" s="165"/>
      <c r="V632" s="165"/>
      <c r="W632" s="165"/>
      <c r="X632" s="165"/>
      <c r="Y632" s="165"/>
      <c r="Z632" s="165"/>
    </row>
    <row r="633" spans="16:26" ht="10.199999999999999" customHeight="1">
      <c r="P633" s="165"/>
      <c r="Q633" s="165"/>
      <c r="R633" s="165"/>
      <c r="S633" s="165"/>
      <c r="T633" s="165"/>
      <c r="U633" s="165"/>
      <c r="V633" s="165"/>
      <c r="W633" s="165"/>
      <c r="X633" s="165"/>
      <c r="Y633" s="165"/>
      <c r="Z633" s="165"/>
    </row>
    <row r="634" spans="16:26" ht="10.199999999999999" customHeight="1">
      <c r="P634" s="165"/>
      <c r="Q634" s="165"/>
      <c r="R634" s="165"/>
      <c r="S634" s="165"/>
      <c r="T634" s="165"/>
      <c r="U634" s="165"/>
      <c r="V634" s="165"/>
      <c r="W634" s="165"/>
      <c r="X634" s="165"/>
      <c r="Y634" s="165"/>
      <c r="Z634" s="165"/>
    </row>
    <row r="635" spans="16:26" ht="10.199999999999999" customHeight="1">
      <c r="P635" s="165"/>
      <c r="Q635" s="165"/>
      <c r="R635" s="165"/>
      <c r="S635" s="165"/>
      <c r="T635" s="165"/>
      <c r="U635" s="165"/>
      <c r="V635" s="165"/>
      <c r="W635" s="165"/>
      <c r="X635" s="165"/>
      <c r="Y635" s="165"/>
      <c r="Z635" s="165"/>
    </row>
    <row r="636" spans="16:26" ht="10.199999999999999" customHeight="1">
      <c r="P636" s="165"/>
      <c r="Q636" s="165"/>
      <c r="R636" s="165"/>
      <c r="S636" s="165"/>
      <c r="T636" s="165"/>
      <c r="U636" s="165"/>
      <c r="V636" s="165"/>
      <c r="W636" s="165"/>
      <c r="X636" s="165"/>
      <c r="Y636" s="165"/>
      <c r="Z636" s="165"/>
    </row>
    <row r="637" spans="16:26" ht="10.199999999999999" customHeight="1">
      <c r="P637" s="165"/>
      <c r="Q637" s="165"/>
      <c r="R637" s="165"/>
      <c r="S637" s="165"/>
      <c r="T637" s="165"/>
      <c r="U637" s="165"/>
      <c r="V637" s="165"/>
      <c r="W637" s="165"/>
      <c r="X637" s="165"/>
      <c r="Y637" s="165"/>
      <c r="Z637" s="165"/>
    </row>
    <row r="638" spans="16:26" ht="10.199999999999999" customHeight="1">
      <c r="P638" s="165"/>
      <c r="Q638" s="165"/>
      <c r="R638" s="165"/>
      <c r="S638" s="165"/>
      <c r="T638" s="165"/>
      <c r="U638" s="165"/>
      <c r="V638" s="165"/>
      <c r="W638" s="165"/>
      <c r="X638" s="165"/>
      <c r="Y638" s="165"/>
      <c r="Z638" s="165"/>
    </row>
    <row r="639" spans="16:26" ht="10.199999999999999" customHeight="1">
      <c r="P639" s="165"/>
      <c r="Q639" s="165"/>
      <c r="R639" s="165"/>
      <c r="S639" s="165"/>
      <c r="T639" s="165"/>
      <c r="U639" s="165"/>
      <c r="V639" s="165"/>
      <c r="W639" s="165"/>
      <c r="X639" s="165"/>
      <c r="Y639" s="165"/>
      <c r="Z639" s="165"/>
    </row>
    <row r="640" spans="16:26" ht="10.199999999999999" customHeight="1">
      <c r="P640" s="165"/>
      <c r="Q640" s="165"/>
      <c r="R640" s="165"/>
      <c r="S640" s="165"/>
      <c r="T640" s="165"/>
      <c r="U640" s="165"/>
      <c r="V640" s="165"/>
      <c r="W640" s="165"/>
      <c r="X640" s="165"/>
      <c r="Y640" s="165"/>
      <c r="Z640" s="165"/>
    </row>
    <row r="641" spans="16:26" ht="10.199999999999999" customHeight="1">
      <c r="P641" s="165"/>
      <c r="Q641" s="165"/>
      <c r="R641" s="165"/>
      <c r="S641" s="165"/>
      <c r="T641" s="165"/>
      <c r="U641" s="165"/>
      <c r="V641" s="165"/>
      <c r="W641" s="165"/>
      <c r="X641" s="165"/>
      <c r="Y641" s="165"/>
      <c r="Z641" s="165"/>
    </row>
    <row r="642" spans="16:26" ht="10.199999999999999" customHeight="1">
      <c r="P642" s="165"/>
      <c r="Q642" s="165"/>
      <c r="R642" s="165"/>
      <c r="S642" s="165"/>
      <c r="T642" s="165"/>
      <c r="U642" s="165"/>
      <c r="V642" s="165"/>
      <c r="W642" s="165"/>
      <c r="X642" s="165"/>
      <c r="Y642" s="165"/>
      <c r="Z642" s="165"/>
    </row>
    <row r="643" spans="16:26" ht="10.199999999999999" customHeight="1">
      <c r="P643" s="165"/>
      <c r="Q643" s="165"/>
      <c r="R643" s="165"/>
      <c r="S643" s="165"/>
      <c r="T643" s="165"/>
      <c r="U643" s="165"/>
      <c r="V643" s="165"/>
      <c r="W643" s="165"/>
      <c r="X643" s="165"/>
      <c r="Y643" s="165"/>
      <c r="Z643" s="165"/>
    </row>
    <row r="644" spans="16:26" ht="10.199999999999999" customHeight="1">
      <c r="P644" s="165"/>
      <c r="Q644" s="165"/>
      <c r="R644" s="165"/>
      <c r="S644" s="165"/>
      <c r="T644" s="165"/>
      <c r="U644" s="165"/>
      <c r="V644" s="165"/>
      <c r="W644" s="165"/>
      <c r="X644" s="165"/>
      <c r="Y644" s="165"/>
      <c r="Z644" s="165"/>
    </row>
    <row r="645" spans="16:26" ht="10.199999999999999" customHeight="1">
      <c r="P645" s="165"/>
      <c r="Q645" s="165"/>
      <c r="R645" s="165"/>
      <c r="S645" s="165"/>
      <c r="T645" s="165"/>
      <c r="U645" s="165"/>
      <c r="V645" s="165"/>
      <c r="W645" s="165"/>
      <c r="X645" s="165"/>
      <c r="Y645" s="165"/>
      <c r="Z645" s="165"/>
    </row>
    <row r="646" spans="16:26" ht="10.199999999999999" customHeight="1">
      <c r="P646" s="165"/>
      <c r="Q646" s="165"/>
      <c r="R646" s="165"/>
      <c r="S646" s="165"/>
      <c r="T646" s="165"/>
      <c r="U646" s="165"/>
      <c r="V646" s="165"/>
      <c r="W646" s="165"/>
      <c r="X646" s="165"/>
      <c r="Y646" s="165"/>
      <c r="Z646" s="165"/>
    </row>
    <row r="647" spans="16:26" ht="10.199999999999999" customHeight="1">
      <c r="P647" s="165"/>
      <c r="Q647" s="165"/>
      <c r="R647" s="165"/>
      <c r="S647" s="165"/>
      <c r="T647" s="165"/>
      <c r="U647" s="165"/>
      <c r="V647" s="165"/>
      <c r="W647" s="165"/>
      <c r="X647" s="165"/>
      <c r="Y647" s="165"/>
      <c r="Z647" s="165"/>
    </row>
    <row r="648" spans="16:26" ht="10.199999999999999" customHeight="1">
      <c r="P648" s="165"/>
      <c r="Q648" s="165"/>
      <c r="R648" s="165"/>
      <c r="S648" s="165"/>
      <c r="T648" s="165"/>
      <c r="U648" s="165"/>
      <c r="V648" s="165"/>
      <c r="W648" s="165"/>
      <c r="X648" s="165"/>
      <c r="Y648" s="165"/>
      <c r="Z648" s="165"/>
    </row>
    <row r="649" spans="16:26" ht="10.199999999999999" customHeight="1">
      <c r="P649" s="165"/>
      <c r="Q649" s="165"/>
      <c r="R649" s="165"/>
      <c r="S649" s="165"/>
      <c r="T649" s="165"/>
      <c r="U649" s="165"/>
      <c r="V649" s="165"/>
      <c r="W649" s="165"/>
      <c r="X649" s="165"/>
      <c r="Y649" s="165"/>
      <c r="Z649" s="165"/>
    </row>
    <row r="650" spans="16:26" ht="10.199999999999999" customHeight="1">
      <c r="P650" s="165"/>
      <c r="Q650" s="165"/>
      <c r="R650" s="165"/>
      <c r="S650" s="165"/>
      <c r="T650" s="165"/>
      <c r="U650" s="165"/>
      <c r="V650" s="165"/>
      <c r="W650" s="165"/>
      <c r="X650" s="165"/>
      <c r="Y650" s="165"/>
      <c r="Z650" s="165"/>
    </row>
    <row r="651" spans="16:26" ht="10.199999999999999" customHeight="1">
      <c r="P651" s="165"/>
      <c r="Q651" s="165"/>
      <c r="R651" s="165"/>
      <c r="S651" s="165"/>
      <c r="T651" s="165"/>
      <c r="U651" s="165"/>
      <c r="V651" s="165"/>
      <c r="W651" s="165"/>
      <c r="X651" s="165"/>
      <c r="Y651" s="165"/>
      <c r="Z651" s="165"/>
    </row>
    <row r="652" spans="16:26" ht="10.199999999999999" customHeight="1">
      <c r="P652" s="165"/>
      <c r="Q652" s="165"/>
      <c r="R652" s="165"/>
      <c r="S652" s="165"/>
      <c r="T652" s="165"/>
      <c r="U652" s="165"/>
      <c r="V652" s="165"/>
      <c r="W652" s="165"/>
      <c r="X652" s="165"/>
      <c r="Y652" s="165"/>
      <c r="Z652" s="165"/>
    </row>
    <row r="653" spans="16:26" ht="10.199999999999999" customHeight="1">
      <c r="P653" s="165"/>
      <c r="Q653" s="165"/>
      <c r="R653" s="165"/>
      <c r="S653" s="165"/>
      <c r="T653" s="165"/>
      <c r="U653" s="165"/>
      <c r="V653" s="165"/>
      <c r="W653" s="165"/>
      <c r="X653" s="165"/>
      <c r="Y653" s="165"/>
      <c r="Z653" s="165"/>
    </row>
    <row r="654" spans="16:26" ht="10.199999999999999" customHeight="1">
      <c r="P654" s="165"/>
      <c r="Q654" s="165"/>
      <c r="R654" s="165"/>
      <c r="S654" s="165"/>
      <c r="T654" s="165"/>
      <c r="U654" s="165"/>
      <c r="V654" s="165"/>
      <c r="W654" s="165"/>
      <c r="X654" s="165"/>
      <c r="Y654" s="165"/>
      <c r="Z654" s="165"/>
    </row>
    <row r="655" spans="16:26" ht="10.199999999999999" customHeight="1">
      <c r="P655" s="165"/>
      <c r="Q655" s="165"/>
      <c r="R655" s="165"/>
      <c r="S655" s="165"/>
      <c r="T655" s="165"/>
      <c r="U655" s="165"/>
      <c r="V655" s="165"/>
      <c r="W655" s="165"/>
      <c r="X655" s="165"/>
      <c r="Y655" s="165"/>
      <c r="Z655" s="165"/>
    </row>
    <row r="656" spans="16:26" ht="10.199999999999999" customHeight="1">
      <c r="P656" s="165"/>
      <c r="Q656" s="165"/>
      <c r="R656" s="165"/>
      <c r="S656" s="165"/>
      <c r="T656" s="165"/>
      <c r="U656" s="165"/>
      <c r="V656" s="165"/>
      <c r="W656" s="165"/>
      <c r="X656" s="165"/>
      <c r="Y656" s="165"/>
      <c r="Z656" s="165"/>
    </row>
    <row r="657" spans="16:26" ht="10.199999999999999" customHeight="1">
      <c r="P657" s="165"/>
      <c r="Q657" s="165"/>
      <c r="R657" s="165"/>
      <c r="S657" s="165"/>
      <c r="T657" s="165"/>
      <c r="U657" s="165"/>
      <c r="V657" s="165"/>
      <c r="W657" s="165"/>
      <c r="X657" s="165"/>
      <c r="Y657" s="165"/>
      <c r="Z657" s="165"/>
    </row>
    <row r="658" spans="16:26" ht="10.199999999999999" customHeight="1">
      <c r="P658" s="165"/>
      <c r="Q658" s="165"/>
      <c r="R658" s="165"/>
      <c r="S658" s="165"/>
      <c r="T658" s="165"/>
      <c r="U658" s="165"/>
      <c r="V658" s="165"/>
      <c r="W658" s="165"/>
      <c r="X658" s="165"/>
      <c r="Y658" s="165"/>
      <c r="Z658" s="165"/>
    </row>
    <row r="659" spans="16:26" ht="10.199999999999999" customHeight="1">
      <c r="P659" s="165"/>
      <c r="Q659" s="165"/>
      <c r="R659" s="165"/>
      <c r="S659" s="165"/>
      <c r="T659" s="165"/>
      <c r="U659" s="165"/>
      <c r="V659" s="165"/>
      <c r="W659" s="165"/>
      <c r="X659" s="165"/>
      <c r="Y659" s="165"/>
      <c r="Z659" s="165"/>
    </row>
    <row r="660" spans="16:26" ht="10.199999999999999" customHeight="1">
      <c r="P660" s="165"/>
      <c r="Q660" s="165"/>
      <c r="R660" s="165"/>
      <c r="S660" s="165"/>
      <c r="T660" s="165"/>
      <c r="U660" s="165"/>
      <c r="V660" s="165"/>
      <c r="W660" s="165"/>
      <c r="X660" s="165"/>
      <c r="Y660" s="165"/>
      <c r="Z660" s="165"/>
    </row>
    <row r="661" spans="16:26" ht="10.199999999999999" customHeight="1">
      <c r="P661" s="165"/>
      <c r="Q661" s="165"/>
      <c r="R661" s="165"/>
      <c r="S661" s="165"/>
      <c r="T661" s="165"/>
      <c r="U661" s="165"/>
      <c r="V661" s="165"/>
      <c r="W661" s="165"/>
      <c r="X661" s="165"/>
      <c r="Y661" s="165"/>
      <c r="Z661" s="165"/>
    </row>
    <row r="662" spans="16:26" ht="10.199999999999999" customHeight="1">
      <c r="P662" s="165"/>
      <c r="Q662" s="165"/>
      <c r="R662" s="165"/>
      <c r="S662" s="165"/>
      <c r="T662" s="165"/>
      <c r="U662" s="165"/>
      <c r="V662" s="165"/>
      <c r="W662" s="165"/>
      <c r="X662" s="165"/>
      <c r="Y662" s="165"/>
      <c r="Z662" s="165"/>
    </row>
    <row r="663" spans="16:26" ht="10.199999999999999" customHeight="1">
      <c r="P663" s="165"/>
      <c r="Q663" s="165"/>
      <c r="R663" s="165"/>
      <c r="S663" s="165"/>
      <c r="T663" s="165"/>
      <c r="U663" s="165"/>
      <c r="V663" s="165"/>
      <c r="W663" s="165"/>
      <c r="X663" s="165"/>
      <c r="Y663" s="165"/>
      <c r="Z663" s="165"/>
    </row>
    <row r="664" spans="16:26" ht="10.199999999999999" customHeight="1">
      <c r="P664" s="165"/>
      <c r="Q664" s="165"/>
      <c r="R664" s="165"/>
      <c r="S664" s="165"/>
      <c r="T664" s="165"/>
      <c r="U664" s="165"/>
      <c r="V664" s="165"/>
      <c r="W664" s="165"/>
      <c r="X664" s="165"/>
      <c r="Y664" s="165"/>
      <c r="Z664" s="165"/>
    </row>
    <row r="665" spans="16:26" ht="10.199999999999999" customHeight="1">
      <c r="P665" s="165"/>
      <c r="Q665" s="165"/>
      <c r="R665" s="165"/>
      <c r="S665" s="165"/>
      <c r="T665" s="165"/>
      <c r="U665" s="165"/>
      <c r="V665" s="165"/>
      <c r="W665" s="165"/>
      <c r="X665" s="165"/>
      <c r="Y665" s="165"/>
      <c r="Z665" s="165"/>
    </row>
    <row r="666" spans="16:26" ht="10.199999999999999" customHeight="1">
      <c r="P666" s="165"/>
      <c r="Q666" s="165"/>
      <c r="R666" s="165"/>
      <c r="S666" s="165"/>
      <c r="T666" s="165"/>
      <c r="U666" s="165"/>
      <c r="V666" s="165"/>
      <c r="W666" s="165"/>
      <c r="X666" s="165"/>
      <c r="Y666" s="165"/>
      <c r="Z666" s="165"/>
    </row>
    <row r="667" spans="16:26" ht="10.199999999999999" customHeight="1">
      <c r="P667" s="165"/>
      <c r="Q667" s="165"/>
      <c r="R667" s="165"/>
      <c r="S667" s="165"/>
      <c r="T667" s="165"/>
      <c r="U667" s="165"/>
      <c r="V667" s="165"/>
      <c r="W667" s="165"/>
      <c r="X667" s="165"/>
      <c r="Y667" s="165"/>
      <c r="Z667" s="165"/>
    </row>
    <row r="668" spans="16:26" ht="10.199999999999999" customHeight="1">
      <c r="P668" s="165"/>
      <c r="Q668" s="165"/>
      <c r="R668" s="165"/>
      <c r="S668" s="165"/>
      <c r="T668" s="165"/>
      <c r="U668" s="165"/>
      <c r="V668" s="165"/>
      <c r="W668" s="165"/>
      <c r="X668" s="165"/>
      <c r="Y668" s="165"/>
      <c r="Z668" s="165"/>
    </row>
    <row r="669" spans="16:26" ht="10.199999999999999" customHeight="1">
      <c r="P669" s="165"/>
      <c r="Q669" s="165"/>
      <c r="R669" s="165"/>
      <c r="S669" s="165"/>
      <c r="T669" s="165"/>
      <c r="U669" s="165"/>
      <c r="V669" s="165"/>
      <c r="W669" s="165"/>
      <c r="X669" s="165"/>
      <c r="Y669" s="165"/>
      <c r="Z669" s="165"/>
    </row>
    <row r="670" spans="16:26" ht="10.199999999999999" customHeight="1">
      <c r="P670" s="165"/>
      <c r="Q670" s="165"/>
      <c r="R670" s="165"/>
      <c r="S670" s="165"/>
      <c r="T670" s="165"/>
      <c r="U670" s="165"/>
      <c r="V670" s="165"/>
      <c r="W670" s="165"/>
      <c r="X670" s="165"/>
      <c r="Y670" s="165"/>
      <c r="Z670" s="165"/>
    </row>
    <row r="671" spans="16:26" ht="10.199999999999999" customHeight="1">
      <c r="P671" s="165"/>
      <c r="Q671" s="165"/>
      <c r="R671" s="165"/>
      <c r="S671" s="165"/>
      <c r="T671" s="165"/>
      <c r="U671" s="165"/>
      <c r="V671" s="165"/>
      <c r="W671" s="165"/>
      <c r="X671" s="165"/>
      <c r="Y671" s="165"/>
      <c r="Z671" s="165"/>
    </row>
    <row r="672" spans="16:26" ht="10.199999999999999" customHeight="1">
      <c r="P672" s="165"/>
      <c r="Q672" s="165"/>
      <c r="R672" s="165"/>
      <c r="S672" s="165"/>
      <c r="T672" s="165"/>
      <c r="U672" s="165"/>
      <c r="V672" s="165"/>
      <c r="W672" s="165"/>
      <c r="X672" s="165"/>
      <c r="Y672" s="165"/>
      <c r="Z672" s="165"/>
    </row>
    <row r="673" spans="16:26" ht="10.199999999999999" customHeight="1">
      <c r="P673" s="165"/>
      <c r="Q673" s="165"/>
      <c r="R673" s="165"/>
      <c r="S673" s="165"/>
      <c r="T673" s="165"/>
      <c r="U673" s="165"/>
      <c r="V673" s="165"/>
      <c r="W673" s="165"/>
      <c r="X673" s="165"/>
      <c r="Y673" s="165"/>
      <c r="Z673" s="165"/>
    </row>
    <row r="674" spans="16:26" ht="10.199999999999999" customHeight="1">
      <c r="P674" s="165"/>
      <c r="Q674" s="165"/>
      <c r="R674" s="165"/>
      <c r="S674" s="165"/>
      <c r="T674" s="165"/>
      <c r="U674" s="165"/>
      <c r="V674" s="165"/>
      <c r="W674" s="165"/>
      <c r="X674" s="165"/>
      <c r="Y674" s="165"/>
      <c r="Z674" s="165"/>
    </row>
    <row r="675" spans="16:26" ht="10.199999999999999" customHeight="1">
      <c r="P675" s="165"/>
      <c r="Q675" s="165"/>
      <c r="R675" s="165"/>
      <c r="S675" s="165"/>
      <c r="T675" s="165"/>
      <c r="U675" s="165"/>
      <c r="V675" s="165"/>
      <c r="W675" s="165"/>
      <c r="X675" s="165"/>
      <c r="Y675" s="165"/>
      <c r="Z675" s="165"/>
    </row>
    <row r="676" spans="16:26" ht="10.199999999999999" customHeight="1">
      <c r="P676" s="165"/>
      <c r="Q676" s="165"/>
      <c r="R676" s="165"/>
      <c r="S676" s="165"/>
      <c r="T676" s="165"/>
      <c r="U676" s="165"/>
      <c r="V676" s="165"/>
      <c r="W676" s="165"/>
      <c r="X676" s="165"/>
      <c r="Y676" s="165"/>
      <c r="Z676" s="165"/>
    </row>
    <row r="677" spans="16:26" ht="10.199999999999999" customHeight="1">
      <c r="P677" s="165"/>
      <c r="Q677" s="165"/>
      <c r="R677" s="165"/>
      <c r="S677" s="165"/>
      <c r="T677" s="165"/>
      <c r="U677" s="165"/>
      <c r="V677" s="165"/>
      <c r="W677" s="165"/>
      <c r="X677" s="165"/>
      <c r="Y677" s="165"/>
      <c r="Z677" s="165"/>
    </row>
    <row r="678" spans="16:26" ht="10.199999999999999" customHeight="1">
      <c r="P678" s="165"/>
      <c r="Q678" s="165"/>
      <c r="R678" s="165"/>
      <c r="S678" s="165"/>
      <c r="T678" s="165"/>
      <c r="U678" s="165"/>
      <c r="V678" s="165"/>
      <c r="W678" s="165"/>
      <c r="X678" s="165"/>
      <c r="Y678" s="165"/>
      <c r="Z678" s="165"/>
    </row>
    <row r="679" spans="16:26" ht="10.199999999999999" customHeight="1">
      <c r="P679" s="165"/>
      <c r="Q679" s="165"/>
      <c r="R679" s="165"/>
      <c r="S679" s="165"/>
      <c r="T679" s="165"/>
      <c r="U679" s="165"/>
      <c r="V679" s="165"/>
      <c r="W679" s="165"/>
      <c r="X679" s="165"/>
      <c r="Y679" s="165"/>
      <c r="Z679" s="165"/>
    </row>
    <row r="680" spans="16:26" ht="10.199999999999999" customHeight="1">
      <c r="P680" s="165"/>
      <c r="Q680" s="165"/>
      <c r="R680" s="165"/>
      <c r="S680" s="165"/>
      <c r="T680" s="165"/>
      <c r="U680" s="165"/>
      <c r="V680" s="165"/>
      <c r="W680" s="165"/>
      <c r="X680" s="165"/>
      <c r="Y680" s="165"/>
      <c r="Z680" s="165"/>
    </row>
    <row r="681" spans="16:26" ht="10.199999999999999" customHeight="1">
      <c r="P681" s="165"/>
      <c r="Q681" s="165"/>
      <c r="R681" s="165"/>
      <c r="S681" s="165"/>
      <c r="T681" s="165"/>
      <c r="U681" s="165"/>
      <c r="V681" s="165"/>
      <c r="W681" s="165"/>
      <c r="X681" s="165"/>
      <c r="Y681" s="165"/>
      <c r="Z681" s="165"/>
    </row>
    <row r="682" spans="16:26" ht="10.199999999999999" customHeight="1">
      <c r="P682" s="165"/>
      <c r="Q682" s="165"/>
      <c r="R682" s="165"/>
      <c r="S682" s="165"/>
      <c r="T682" s="165"/>
      <c r="U682" s="165"/>
      <c r="V682" s="165"/>
      <c r="W682" s="165"/>
      <c r="X682" s="165"/>
      <c r="Y682" s="165"/>
      <c r="Z682" s="165"/>
    </row>
    <row r="683" spans="16:26" ht="10.199999999999999" customHeight="1">
      <c r="P683" s="165"/>
      <c r="Q683" s="165"/>
      <c r="R683" s="165"/>
      <c r="S683" s="165"/>
      <c r="T683" s="165"/>
      <c r="U683" s="165"/>
      <c r="V683" s="165"/>
      <c r="W683" s="165"/>
      <c r="X683" s="165"/>
      <c r="Y683" s="165"/>
      <c r="Z683" s="165"/>
    </row>
    <row r="684" spans="16:26" ht="10.199999999999999" customHeight="1">
      <c r="P684" s="165"/>
      <c r="Q684" s="165"/>
      <c r="R684" s="165"/>
      <c r="S684" s="165"/>
      <c r="T684" s="165"/>
      <c r="U684" s="165"/>
      <c r="V684" s="165"/>
      <c r="W684" s="165"/>
      <c r="X684" s="165"/>
      <c r="Y684" s="165"/>
      <c r="Z684" s="165"/>
    </row>
    <row r="685" spans="16:26" ht="10.199999999999999" customHeight="1">
      <c r="P685" s="165"/>
      <c r="Q685" s="165"/>
      <c r="R685" s="165"/>
      <c r="S685" s="165"/>
      <c r="T685" s="165"/>
      <c r="U685" s="165"/>
      <c r="V685" s="165"/>
      <c r="W685" s="165"/>
      <c r="X685" s="165"/>
      <c r="Y685" s="165"/>
      <c r="Z685" s="165"/>
    </row>
    <row r="686" spans="16:26" ht="10.199999999999999" customHeight="1">
      <c r="P686" s="165"/>
      <c r="Q686" s="165"/>
      <c r="R686" s="165"/>
      <c r="S686" s="165"/>
      <c r="T686" s="165"/>
      <c r="U686" s="165"/>
      <c r="V686" s="165"/>
      <c r="W686" s="165"/>
      <c r="X686" s="165"/>
      <c r="Y686" s="165"/>
      <c r="Z686" s="165"/>
    </row>
    <row r="687" spans="16:26" ht="10.199999999999999" customHeight="1">
      <c r="P687" s="165"/>
      <c r="Q687" s="165"/>
      <c r="R687" s="165"/>
      <c r="S687" s="165"/>
      <c r="T687" s="165"/>
      <c r="U687" s="165"/>
      <c r="V687" s="165"/>
      <c r="W687" s="165"/>
      <c r="X687" s="165"/>
      <c r="Y687" s="165"/>
      <c r="Z687" s="165"/>
    </row>
    <row r="688" spans="16:26" ht="10.199999999999999" customHeight="1">
      <c r="P688" s="165"/>
      <c r="Q688" s="165"/>
      <c r="R688" s="165"/>
      <c r="S688" s="165"/>
      <c r="T688" s="165"/>
      <c r="U688" s="165"/>
      <c r="V688" s="165"/>
      <c r="W688" s="165"/>
      <c r="X688" s="165"/>
      <c r="Y688" s="165"/>
      <c r="Z688" s="165"/>
    </row>
    <row r="689" spans="16:26" ht="10.199999999999999" customHeight="1">
      <c r="P689" s="165"/>
      <c r="Q689" s="165"/>
      <c r="R689" s="165"/>
      <c r="S689" s="165"/>
      <c r="T689" s="165"/>
      <c r="U689" s="165"/>
      <c r="V689" s="165"/>
      <c r="W689" s="165"/>
      <c r="X689" s="165"/>
      <c r="Y689" s="165"/>
      <c r="Z689" s="165"/>
    </row>
    <row r="690" spans="16:26" ht="10.199999999999999" customHeight="1">
      <c r="P690" s="165"/>
      <c r="Q690" s="165"/>
      <c r="R690" s="165"/>
      <c r="S690" s="165"/>
      <c r="T690" s="165"/>
      <c r="U690" s="165"/>
      <c r="V690" s="165"/>
      <c r="W690" s="165"/>
      <c r="X690" s="165"/>
      <c r="Y690" s="165"/>
      <c r="Z690" s="165"/>
    </row>
    <row r="691" spans="16:26" ht="10.199999999999999" customHeight="1">
      <c r="P691" s="165"/>
      <c r="Q691" s="165"/>
      <c r="R691" s="165"/>
      <c r="S691" s="165"/>
      <c r="T691" s="165"/>
      <c r="U691" s="165"/>
      <c r="V691" s="165"/>
      <c r="W691" s="165"/>
      <c r="X691" s="165"/>
      <c r="Y691" s="165"/>
      <c r="Z691" s="165"/>
    </row>
    <row r="692" spans="16:26" ht="10.199999999999999" customHeight="1">
      <c r="P692" s="165"/>
      <c r="Q692" s="165"/>
      <c r="R692" s="165"/>
      <c r="S692" s="165"/>
      <c r="T692" s="165"/>
      <c r="U692" s="165"/>
      <c r="V692" s="165"/>
      <c r="W692" s="165"/>
      <c r="X692" s="165"/>
      <c r="Y692" s="165"/>
      <c r="Z692" s="165"/>
    </row>
    <row r="693" spans="16:26" ht="10.199999999999999" customHeight="1">
      <c r="P693" s="165"/>
      <c r="Q693" s="165"/>
      <c r="R693" s="165"/>
      <c r="S693" s="165"/>
      <c r="T693" s="165"/>
      <c r="U693" s="165"/>
      <c r="V693" s="165"/>
      <c r="W693" s="165"/>
      <c r="X693" s="165"/>
      <c r="Y693" s="165"/>
      <c r="Z693" s="165"/>
    </row>
    <row r="694" spans="16:26" ht="10.199999999999999" customHeight="1">
      <c r="P694" s="165"/>
      <c r="Q694" s="165"/>
      <c r="R694" s="165"/>
      <c r="S694" s="165"/>
      <c r="T694" s="165"/>
      <c r="U694" s="165"/>
      <c r="V694" s="165"/>
      <c r="W694" s="165"/>
      <c r="X694" s="165"/>
      <c r="Y694" s="165"/>
      <c r="Z694" s="165"/>
    </row>
    <row r="695" spans="16:26" ht="10.199999999999999" customHeight="1">
      <c r="P695" s="165"/>
      <c r="Q695" s="165"/>
      <c r="R695" s="165"/>
      <c r="S695" s="165"/>
      <c r="T695" s="165"/>
      <c r="U695" s="165"/>
      <c r="V695" s="165"/>
      <c r="W695" s="165"/>
      <c r="X695" s="165"/>
      <c r="Y695" s="165"/>
      <c r="Z695" s="165"/>
    </row>
    <row r="696" spans="16:26" ht="10.199999999999999" customHeight="1">
      <c r="P696" s="165"/>
      <c r="Q696" s="165"/>
      <c r="R696" s="165"/>
      <c r="S696" s="165"/>
      <c r="T696" s="165"/>
      <c r="U696" s="165"/>
      <c r="V696" s="165"/>
      <c r="W696" s="165"/>
      <c r="X696" s="165"/>
      <c r="Y696" s="165"/>
      <c r="Z696" s="165"/>
    </row>
    <row r="697" spans="16:26" ht="10.199999999999999" customHeight="1">
      <c r="P697" s="165"/>
      <c r="Q697" s="165"/>
      <c r="R697" s="165"/>
      <c r="S697" s="165"/>
      <c r="T697" s="165"/>
      <c r="U697" s="165"/>
      <c r="V697" s="165"/>
      <c r="W697" s="165"/>
      <c r="X697" s="165"/>
      <c r="Y697" s="165"/>
      <c r="Z697" s="165"/>
    </row>
    <row r="698" spans="16:26" ht="10.199999999999999" customHeight="1">
      <c r="P698" s="165"/>
      <c r="Q698" s="165"/>
      <c r="R698" s="165"/>
      <c r="S698" s="165"/>
      <c r="T698" s="165"/>
      <c r="U698" s="165"/>
      <c r="V698" s="165"/>
      <c r="W698" s="165"/>
      <c r="X698" s="165"/>
      <c r="Y698" s="165"/>
      <c r="Z698" s="165"/>
    </row>
    <row r="699" spans="16:26" ht="10.199999999999999" customHeight="1">
      <c r="P699" s="165"/>
      <c r="Q699" s="165"/>
      <c r="R699" s="165"/>
      <c r="S699" s="165"/>
      <c r="T699" s="165"/>
      <c r="U699" s="165"/>
      <c r="V699" s="165"/>
      <c r="W699" s="165"/>
      <c r="X699" s="165"/>
      <c r="Y699" s="165"/>
      <c r="Z699" s="165"/>
    </row>
    <row r="700" spans="16:26" ht="10.199999999999999" customHeight="1">
      <c r="P700" s="165"/>
      <c r="Q700" s="165"/>
      <c r="R700" s="165"/>
      <c r="S700" s="165"/>
      <c r="T700" s="165"/>
      <c r="U700" s="165"/>
      <c r="V700" s="165"/>
      <c r="W700" s="165"/>
      <c r="X700" s="165"/>
      <c r="Y700" s="165"/>
      <c r="Z700" s="165"/>
    </row>
    <row r="701" spans="16:26" ht="10.199999999999999" customHeight="1">
      <c r="P701" s="165"/>
      <c r="Q701" s="165"/>
      <c r="R701" s="165"/>
      <c r="S701" s="165"/>
      <c r="T701" s="165"/>
      <c r="U701" s="165"/>
      <c r="V701" s="165"/>
      <c r="W701" s="165"/>
      <c r="X701" s="165"/>
      <c r="Y701" s="165"/>
      <c r="Z701" s="165"/>
    </row>
    <row r="702" spans="16:26" ht="10.199999999999999" customHeight="1">
      <c r="P702" s="165"/>
      <c r="Q702" s="165"/>
      <c r="R702" s="165"/>
      <c r="S702" s="165"/>
      <c r="T702" s="165"/>
      <c r="U702" s="165"/>
      <c r="V702" s="165"/>
      <c r="W702" s="165"/>
      <c r="X702" s="165"/>
      <c r="Y702" s="165"/>
      <c r="Z702" s="165"/>
    </row>
    <row r="703" spans="16:26" ht="10.199999999999999" customHeight="1">
      <c r="P703" s="165"/>
      <c r="Q703" s="165"/>
      <c r="R703" s="165"/>
      <c r="S703" s="165"/>
      <c r="T703" s="165"/>
      <c r="U703" s="165"/>
      <c r="V703" s="165"/>
      <c r="W703" s="165"/>
      <c r="X703" s="165"/>
      <c r="Y703" s="165"/>
      <c r="Z703" s="165"/>
    </row>
    <row r="704" spans="16:26" ht="10.199999999999999" customHeight="1">
      <c r="P704" s="165"/>
      <c r="Q704" s="165"/>
      <c r="R704" s="165"/>
      <c r="S704" s="165"/>
      <c r="T704" s="165"/>
      <c r="U704" s="165"/>
      <c r="V704" s="165"/>
      <c r="W704" s="165"/>
      <c r="X704" s="165"/>
      <c r="Y704" s="165"/>
      <c r="Z704" s="165"/>
    </row>
    <row r="705" spans="16:26" ht="10.199999999999999" customHeight="1">
      <c r="P705" s="165"/>
      <c r="Q705" s="165"/>
      <c r="R705" s="165"/>
      <c r="S705" s="165"/>
      <c r="T705" s="165"/>
      <c r="U705" s="165"/>
      <c r="V705" s="165"/>
      <c r="W705" s="165"/>
      <c r="X705" s="165"/>
      <c r="Y705" s="165"/>
      <c r="Z705" s="165"/>
    </row>
    <row r="706" spans="16:26" ht="10.199999999999999" customHeight="1">
      <c r="P706" s="165"/>
      <c r="Q706" s="165"/>
      <c r="R706" s="165"/>
      <c r="S706" s="165"/>
      <c r="T706" s="165"/>
      <c r="U706" s="165"/>
      <c r="V706" s="165"/>
      <c r="W706" s="165"/>
      <c r="X706" s="165"/>
      <c r="Y706" s="165"/>
      <c r="Z706" s="165"/>
    </row>
    <row r="707" spans="16:26" ht="10.199999999999999" customHeight="1">
      <c r="P707" s="165"/>
      <c r="Q707" s="165"/>
      <c r="R707" s="165"/>
      <c r="S707" s="165"/>
      <c r="T707" s="165"/>
      <c r="U707" s="165"/>
      <c r="V707" s="165"/>
      <c r="W707" s="165"/>
      <c r="X707" s="165"/>
      <c r="Y707" s="165"/>
      <c r="Z707" s="165"/>
    </row>
    <row r="708" spans="16:26" ht="10.199999999999999" customHeight="1">
      <c r="P708" s="165"/>
      <c r="Q708" s="165"/>
      <c r="R708" s="165"/>
      <c r="S708" s="165"/>
      <c r="T708" s="165"/>
      <c r="U708" s="165"/>
      <c r="V708" s="165"/>
      <c r="W708" s="165"/>
      <c r="X708" s="165"/>
      <c r="Y708" s="165"/>
      <c r="Z708" s="165"/>
    </row>
    <row r="709" spans="16:26" ht="10.199999999999999" customHeight="1">
      <c r="P709" s="165"/>
      <c r="Q709" s="165"/>
      <c r="R709" s="165"/>
      <c r="S709" s="165"/>
      <c r="T709" s="165"/>
      <c r="U709" s="165"/>
      <c r="V709" s="165"/>
      <c r="W709" s="165"/>
      <c r="X709" s="165"/>
      <c r="Y709" s="165"/>
      <c r="Z709" s="165"/>
    </row>
    <row r="710" spans="16:26" ht="10.199999999999999" customHeight="1">
      <c r="P710" s="165"/>
      <c r="Q710" s="165"/>
      <c r="R710" s="165"/>
      <c r="S710" s="165"/>
      <c r="T710" s="165"/>
      <c r="U710" s="165"/>
      <c r="V710" s="165"/>
      <c r="W710" s="165"/>
      <c r="X710" s="165"/>
      <c r="Y710" s="165"/>
      <c r="Z710" s="165"/>
    </row>
    <row r="711" spans="16:26" ht="10.199999999999999" customHeight="1">
      <c r="P711" s="165"/>
      <c r="Q711" s="165"/>
      <c r="R711" s="165"/>
      <c r="S711" s="165"/>
      <c r="T711" s="165"/>
      <c r="U711" s="165"/>
      <c r="V711" s="165"/>
      <c r="W711" s="165"/>
      <c r="X711" s="165"/>
      <c r="Y711" s="165"/>
      <c r="Z711" s="165"/>
    </row>
    <row r="712" spans="16:26" ht="10.199999999999999" customHeight="1">
      <c r="P712" s="165"/>
      <c r="Q712" s="165"/>
      <c r="R712" s="165"/>
      <c r="S712" s="165"/>
      <c r="T712" s="165"/>
      <c r="U712" s="165"/>
      <c r="V712" s="165"/>
      <c r="W712" s="165"/>
      <c r="X712" s="165"/>
      <c r="Y712" s="165"/>
      <c r="Z712" s="165"/>
    </row>
    <row r="713" spans="16:26" ht="10.199999999999999" customHeight="1">
      <c r="P713" s="165"/>
      <c r="Q713" s="165"/>
      <c r="R713" s="165"/>
      <c r="S713" s="165"/>
      <c r="T713" s="165"/>
      <c r="U713" s="165"/>
      <c r="V713" s="165"/>
      <c r="W713" s="165"/>
      <c r="X713" s="165"/>
      <c r="Y713" s="165"/>
      <c r="Z713" s="165"/>
    </row>
    <row r="714" spans="16:26" ht="10.199999999999999" customHeight="1">
      <c r="P714" s="165"/>
      <c r="Q714" s="165"/>
      <c r="R714" s="165"/>
      <c r="S714" s="165"/>
      <c r="T714" s="165"/>
      <c r="U714" s="165"/>
      <c r="V714" s="165"/>
      <c r="W714" s="165"/>
      <c r="X714" s="165"/>
      <c r="Y714" s="165"/>
      <c r="Z714" s="165"/>
    </row>
    <row r="715" spans="16:26" ht="10.199999999999999" customHeight="1">
      <c r="P715" s="165"/>
      <c r="Q715" s="165"/>
      <c r="R715" s="165"/>
      <c r="S715" s="165"/>
      <c r="T715" s="165"/>
      <c r="U715" s="165"/>
      <c r="V715" s="165"/>
      <c r="W715" s="165"/>
      <c r="X715" s="165"/>
      <c r="Y715" s="165"/>
      <c r="Z715" s="165"/>
    </row>
    <row r="716" spans="16:26" ht="10.199999999999999" customHeight="1">
      <c r="P716" s="165"/>
      <c r="Q716" s="165"/>
      <c r="R716" s="165"/>
      <c r="S716" s="165"/>
      <c r="T716" s="165"/>
      <c r="U716" s="165"/>
      <c r="V716" s="165"/>
      <c r="W716" s="165"/>
      <c r="X716" s="165"/>
      <c r="Y716" s="165"/>
      <c r="Z716" s="165"/>
    </row>
    <row r="717" spans="16:26" ht="10.199999999999999" customHeight="1">
      <c r="P717" s="165"/>
      <c r="Q717" s="165"/>
      <c r="R717" s="165"/>
      <c r="S717" s="165"/>
      <c r="T717" s="165"/>
      <c r="U717" s="165"/>
      <c r="V717" s="165"/>
      <c r="W717" s="165"/>
      <c r="X717" s="165"/>
      <c r="Y717" s="165"/>
      <c r="Z717" s="165"/>
    </row>
    <row r="718" spans="16:26" ht="10.199999999999999" customHeight="1">
      <c r="P718" s="165"/>
      <c r="Q718" s="165"/>
      <c r="R718" s="165"/>
      <c r="S718" s="165"/>
      <c r="T718" s="165"/>
      <c r="U718" s="165"/>
      <c r="V718" s="165"/>
      <c r="W718" s="165"/>
      <c r="X718" s="165"/>
      <c r="Y718" s="165"/>
      <c r="Z718" s="165"/>
    </row>
    <row r="719" spans="16:26" ht="10.199999999999999" customHeight="1">
      <c r="P719" s="165"/>
      <c r="Q719" s="165"/>
      <c r="R719" s="165"/>
      <c r="S719" s="165"/>
      <c r="T719" s="165"/>
      <c r="U719" s="165"/>
      <c r="V719" s="165"/>
      <c r="W719" s="165"/>
      <c r="X719" s="165"/>
      <c r="Y719" s="165"/>
      <c r="Z719" s="165"/>
    </row>
    <row r="720" spans="16:26" ht="10.199999999999999" customHeight="1">
      <c r="P720" s="165"/>
      <c r="Q720" s="165"/>
      <c r="R720" s="165"/>
      <c r="S720" s="165"/>
      <c r="T720" s="165"/>
      <c r="U720" s="165"/>
      <c r="V720" s="165"/>
      <c r="W720" s="165"/>
      <c r="X720" s="165"/>
      <c r="Y720" s="165"/>
      <c r="Z720" s="165"/>
    </row>
    <row r="721" spans="16:26" ht="10.199999999999999" customHeight="1">
      <c r="P721" s="165"/>
      <c r="Q721" s="165"/>
      <c r="R721" s="165"/>
      <c r="S721" s="165"/>
      <c r="T721" s="165"/>
      <c r="U721" s="165"/>
      <c r="V721" s="165"/>
      <c r="W721" s="165"/>
      <c r="X721" s="165"/>
      <c r="Y721" s="165"/>
      <c r="Z721" s="165"/>
    </row>
    <row r="722" spans="16:26" ht="10.199999999999999" customHeight="1">
      <c r="P722" s="165"/>
      <c r="Q722" s="165"/>
      <c r="R722" s="165"/>
      <c r="S722" s="165"/>
      <c r="T722" s="165"/>
      <c r="U722" s="165"/>
      <c r="V722" s="165"/>
      <c r="W722" s="165"/>
      <c r="X722" s="165"/>
      <c r="Y722" s="165"/>
      <c r="Z722" s="165"/>
    </row>
    <row r="723" spans="16:26" ht="10.199999999999999" customHeight="1">
      <c r="P723" s="165"/>
      <c r="Q723" s="165"/>
      <c r="R723" s="165"/>
      <c r="S723" s="165"/>
      <c r="T723" s="165"/>
      <c r="U723" s="165"/>
      <c r="V723" s="165"/>
      <c r="W723" s="165"/>
      <c r="X723" s="165"/>
      <c r="Y723" s="165"/>
      <c r="Z723" s="165"/>
    </row>
    <row r="724" spans="16:26" ht="10.199999999999999" customHeight="1">
      <c r="P724" s="165"/>
      <c r="Q724" s="165"/>
      <c r="R724" s="165"/>
      <c r="S724" s="165"/>
      <c r="T724" s="165"/>
      <c r="U724" s="165"/>
      <c r="V724" s="165"/>
      <c r="W724" s="165"/>
      <c r="X724" s="165"/>
      <c r="Y724" s="165"/>
      <c r="Z724" s="165"/>
    </row>
    <row r="725" spans="16:26" ht="10.199999999999999" customHeight="1">
      <c r="P725" s="165"/>
      <c r="Q725" s="165"/>
      <c r="R725" s="165"/>
      <c r="S725" s="165"/>
      <c r="T725" s="165"/>
      <c r="U725" s="165"/>
      <c r="V725" s="165"/>
      <c r="W725" s="165"/>
      <c r="X725" s="165"/>
      <c r="Y725" s="165"/>
      <c r="Z725" s="165"/>
    </row>
    <row r="726" spans="16:26" ht="10.199999999999999" customHeight="1">
      <c r="P726" s="165"/>
      <c r="Q726" s="165"/>
      <c r="R726" s="165"/>
      <c r="S726" s="165"/>
      <c r="T726" s="165"/>
      <c r="U726" s="165"/>
      <c r="V726" s="165"/>
      <c r="W726" s="165"/>
      <c r="X726" s="165"/>
      <c r="Y726" s="165"/>
      <c r="Z726" s="165"/>
    </row>
    <row r="727" spans="16:26" ht="10.199999999999999" customHeight="1">
      <c r="P727" s="165"/>
      <c r="Q727" s="165"/>
      <c r="R727" s="165"/>
      <c r="S727" s="165"/>
      <c r="T727" s="165"/>
      <c r="U727" s="165"/>
      <c r="V727" s="165"/>
      <c r="W727" s="165"/>
      <c r="X727" s="165"/>
      <c r="Y727" s="165"/>
      <c r="Z727" s="165"/>
    </row>
    <row r="728" spans="16:26" ht="10.199999999999999" customHeight="1">
      <c r="P728" s="165"/>
      <c r="Q728" s="165"/>
      <c r="R728" s="165"/>
      <c r="S728" s="165"/>
      <c r="T728" s="165"/>
      <c r="U728" s="165"/>
      <c r="V728" s="165"/>
      <c r="W728" s="165"/>
      <c r="X728" s="165"/>
      <c r="Y728" s="165"/>
      <c r="Z728" s="165"/>
    </row>
    <row r="729" spans="16:26" ht="10.199999999999999" customHeight="1">
      <c r="P729" s="165"/>
      <c r="Q729" s="165"/>
      <c r="R729" s="165"/>
      <c r="S729" s="165"/>
      <c r="T729" s="165"/>
      <c r="U729" s="165"/>
      <c r="V729" s="165"/>
      <c r="W729" s="165"/>
      <c r="X729" s="165"/>
      <c r="Y729" s="165"/>
      <c r="Z729" s="165"/>
    </row>
    <row r="730" spans="16:26" ht="10.199999999999999" customHeight="1">
      <c r="P730" s="165"/>
      <c r="Q730" s="165"/>
      <c r="R730" s="165"/>
      <c r="S730" s="165"/>
      <c r="T730" s="165"/>
      <c r="U730" s="165"/>
      <c r="V730" s="165"/>
      <c r="W730" s="165"/>
      <c r="X730" s="165"/>
      <c r="Y730" s="165"/>
      <c r="Z730" s="165"/>
    </row>
    <row r="731" spans="16:26" ht="10.199999999999999" customHeight="1">
      <c r="P731" s="165"/>
      <c r="Q731" s="165"/>
      <c r="R731" s="165"/>
      <c r="S731" s="165"/>
      <c r="T731" s="165"/>
      <c r="U731" s="165"/>
      <c r="V731" s="165"/>
      <c r="W731" s="165"/>
      <c r="X731" s="165"/>
      <c r="Y731" s="165"/>
      <c r="Z731" s="165"/>
    </row>
    <row r="732" spans="16:26" ht="10.199999999999999" customHeight="1">
      <c r="P732" s="165"/>
      <c r="Q732" s="165"/>
      <c r="R732" s="165"/>
      <c r="S732" s="165"/>
      <c r="T732" s="165"/>
      <c r="U732" s="165"/>
      <c r="V732" s="165"/>
      <c r="W732" s="165"/>
      <c r="X732" s="165"/>
      <c r="Y732" s="165"/>
      <c r="Z732" s="165"/>
    </row>
    <row r="733" spans="16:26" ht="10.199999999999999" customHeight="1">
      <c r="P733" s="165"/>
      <c r="Q733" s="165"/>
      <c r="R733" s="165"/>
      <c r="S733" s="165"/>
      <c r="T733" s="165"/>
      <c r="U733" s="165"/>
      <c r="V733" s="165"/>
      <c r="W733" s="165"/>
      <c r="X733" s="165"/>
      <c r="Y733" s="165"/>
      <c r="Z733" s="165"/>
    </row>
    <row r="734" spans="16:26" ht="10.199999999999999" customHeight="1">
      <c r="P734" s="165"/>
      <c r="Q734" s="165"/>
      <c r="R734" s="165"/>
      <c r="S734" s="165"/>
      <c r="T734" s="165"/>
      <c r="U734" s="165"/>
      <c r="V734" s="165"/>
      <c r="W734" s="165"/>
      <c r="X734" s="165"/>
      <c r="Y734" s="165"/>
      <c r="Z734" s="165"/>
    </row>
    <row r="735" spans="16:26" ht="10.199999999999999" customHeight="1">
      <c r="P735" s="165"/>
      <c r="Q735" s="165"/>
      <c r="R735" s="165"/>
      <c r="S735" s="165"/>
      <c r="T735" s="165"/>
      <c r="U735" s="165"/>
      <c r="V735" s="165"/>
      <c r="W735" s="165"/>
      <c r="X735" s="165"/>
      <c r="Y735" s="165"/>
      <c r="Z735" s="165"/>
    </row>
    <row r="736" spans="16:26" ht="10.199999999999999" customHeight="1">
      <c r="P736" s="165"/>
      <c r="Q736" s="165"/>
      <c r="R736" s="165"/>
      <c r="S736" s="165"/>
      <c r="T736" s="165"/>
      <c r="U736" s="165"/>
      <c r="V736" s="165"/>
      <c r="W736" s="165"/>
      <c r="X736" s="165"/>
      <c r="Y736" s="165"/>
      <c r="Z736" s="165"/>
    </row>
    <row r="737" spans="16:26" ht="10.199999999999999" customHeight="1">
      <c r="P737" s="165"/>
      <c r="Q737" s="165"/>
      <c r="R737" s="165"/>
      <c r="S737" s="165"/>
      <c r="T737" s="165"/>
      <c r="U737" s="165"/>
      <c r="V737" s="165"/>
      <c r="W737" s="165"/>
      <c r="X737" s="165"/>
      <c r="Y737" s="165"/>
      <c r="Z737" s="165"/>
    </row>
    <row r="738" spans="16:26" ht="10.199999999999999" customHeight="1">
      <c r="P738" s="165"/>
      <c r="Q738" s="165"/>
      <c r="R738" s="165"/>
      <c r="S738" s="165"/>
      <c r="T738" s="165"/>
      <c r="U738" s="165"/>
      <c r="V738" s="165"/>
      <c r="W738" s="165"/>
      <c r="X738" s="165"/>
      <c r="Y738" s="165"/>
      <c r="Z738" s="165"/>
    </row>
    <row r="739" spans="16:26" ht="10.199999999999999" customHeight="1">
      <c r="P739" s="165"/>
      <c r="Q739" s="165"/>
      <c r="R739" s="165"/>
      <c r="S739" s="165"/>
      <c r="T739" s="165"/>
      <c r="U739" s="165"/>
      <c r="V739" s="165"/>
      <c r="W739" s="165"/>
      <c r="X739" s="165"/>
      <c r="Y739" s="165"/>
      <c r="Z739" s="165"/>
    </row>
    <row r="740" spans="16:26" ht="10.199999999999999" customHeight="1">
      <c r="P740" s="165"/>
      <c r="Q740" s="165"/>
      <c r="R740" s="165"/>
      <c r="S740" s="165"/>
      <c r="T740" s="165"/>
      <c r="U740" s="165"/>
      <c r="V740" s="165"/>
      <c r="W740" s="165"/>
      <c r="X740" s="165"/>
      <c r="Y740" s="165"/>
      <c r="Z740" s="165"/>
    </row>
    <row r="741" spans="16:26" ht="10.199999999999999" customHeight="1">
      <c r="P741" s="165"/>
      <c r="Q741" s="165"/>
      <c r="R741" s="165"/>
      <c r="S741" s="165"/>
      <c r="T741" s="165"/>
      <c r="U741" s="165"/>
      <c r="V741" s="165"/>
      <c r="W741" s="165"/>
      <c r="X741" s="165"/>
      <c r="Y741" s="165"/>
      <c r="Z741" s="165"/>
    </row>
    <row r="742" spans="16:26" ht="10.199999999999999" customHeight="1">
      <c r="P742" s="165"/>
      <c r="Q742" s="165"/>
      <c r="R742" s="165"/>
      <c r="S742" s="165"/>
      <c r="T742" s="165"/>
      <c r="U742" s="165"/>
      <c r="V742" s="165"/>
      <c r="W742" s="165"/>
      <c r="X742" s="165"/>
      <c r="Y742" s="165"/>
      <c r="Z742" s="165"/>
    </row>
    <row r="743" spans="16:26" ht="10.199999999999999" customHeight="1">
      <c r="P743" s="165"/>
      <c r="Q743" s="165"/>
      <c r="R743" s="165"/>
      <c r="S743" s="165"/>
      <c r="T743" s="165"/>
      <c r="U743" s="165"/>
      <c r="V743" s="165"/>
      <c r="W743" s="165"/>
      <c r="X743" s="165"/>
      <c r="Y743" s="165"/>
      <c r="Z743" s="165"/>
    </row>
    <row r="744" spans="16:26" ht="10.199999999999999" customHeight="1">
      <c r="P744" s="165"/>
      <c r="Q744" s="165"/>
      <c r="R744" s="165"/>
      <c r="S744" s="165"/>
      <c r="T744" s="165"/>
      <c r="U744" s="165"/>
      <c r="V744" s="165"/>
      <c r="W744" s="165"/>
      <c r="X744" s="165"/>
      <c r="Y744" s="165"/>
      <c r="Z744" s="165"/>
    </row>
    <row r="745" spans="16:26" ht="10.199999999999999" customHeight="1">
      <c r="P745" s="165"/>
      <c r="Q745" s="165"/>
      <c r="R745" s="165"/>
      <c r="S745" s="165"/>
      <c r="T745" s="165"/>
      <c r="U745" s="165"/>
      <c r="V745" s="165"/>
      <c r="W745" s="165"/>
      <c r="X745" s="165"/>
      <c r="Y745" s="165"/>
      <c r="Z745" s="165"/>
    </row>
    <row r="746" spans="16:26" ht="10.199999999999999" customHeight="1">
      <c r="P746" s="165"/>
      <c r="Q746" s="165"/>
      <c r="R746" s="165"/>
      <c r="S746" s="165"/>
      <c r="T746" s="165"/>
      <c r="U746" s="165"/>
      <c r="V746" s="165"/>
      <c r="W746" s="165"/>
      <c r="X746" s="165"/>
      <c r="Y746" s="165"/>
      <c r="Z746" s="165"/>
    </row>
    <row r="747" spans="16:26" ht="10.199999999999999" customHeight="1">
      <c r="P747" s="165"/>
      <c r="Q747" s="165"/>
      <c r="R747" s="165"/>
      <c r="S747" s="165"/>
      <c r="T747" s="165"/>
      <c r="U747" s="165"/>
      <c r="V747" s="165"/>
      <c r="W747" s="165"/>
      <c r="X747" s="165"/>
      <c r="Y747" s="165"/>
      <c r="Z747" s="165"/>
    </row>
    <row r="748" spans="16:26" ht="10.199999999999999" customHeight="1">
      <c r="P748" s="165"/>
      <c r="Q748" s="165"/>
      <c r="R748" s="165"/>
      <c r="S748" s="165"/>
      <c r="T748" s="165"/>
      <c r="U748" s="165"/>
      <c r="V748" s="165"/>
      <c r="W748" s="165"/>
      <c r="X748" s="165"/>
      <c r="Y748" s="165"/>
      <c r="Z748" s="165"/>
    </row>
    <row r="749" spans="16:26" ht="10.199999999999999" customHeight="1">
      <c r="P749" s="165"/>
      <c r="Q749" s="165"/>
      <c r="R749" s="165"/>
      <c r="S749" s="165"/>
      <c r="T749" s="165"/>
      <c r="U749" s="165"/>
      <c r="V749" s="165"/>
      <c r="W749" s="165"/>
      <c r="X749" s="165"/>
      <c r="Y749" s="165"/>
      <c r="Z749" s="165"/>
    </row>
    <row r="750" spans="16:26" ht="10.199999999999999" customHeight="1">
      <c r="P750" s="165"/>
      <c r="Q750" s="165"/>
      <c r="R750" s="165"/>
      <c r="S750" s="165"/>
      <c r="T750" s="165"/>
      <c r="U750" s="165"/>
      <c r="V750" s="165"/>
      <c r="W750" s="165"/>
      <c r="X750" s="165"/>
      <c r="Y750" s="165"/>
      <c r="Z750" s="165"/>
    </row>
    <row r="751" spans="16:26" ht="10.199999999999999" customHeight="1">
      <c r="P751" s="165"/>
      <c r="Q751" s="165"/>
      <c r="R751" s="165"/>
      <c r="S751" s="165"/>
      <c r="T751" s="165"/>
      <c r="U751" s="165"/>
      <c r="V751" s="165"/>
      <c r="W751" s="165"/>
      <c r="X751" s="165"/>
      <c r="Y751" s="165"/>
      <c r="Z751" s="165"/>
    </row>
    <row r="752" spans="16:26" ht="10.199999999999999" customHeight="1">
      <c r="P752" s="165"/>
      <c r="Q752" s="165"/>
      <c r="R752" s="165"/>
      <c r="S752" s="165"/>
      <c r="T752" s="165"/>
      <c r="U752" s="165"/>
      <c r="V752" s="165"/>
      <c r="W752" s="165"/>
      <c r="X752" s="165"/>
      <c r="Y752" s="165"/>
      <c r="Z752" s="165"/>
    </row>
    <row r="753" spans="16:26" ht="10.199999999999999" customHeight="1">
      <c r="P753" s="165"/>
      <c r="Q753" s="165"/>
      <c r="R753" s="165"/>
      <c r="S753" s="165"/>
      <c r="T753" s="165"/>
      <c r="U753" s="165"/>
      <c r="V753" s="165"/>
      <c r="W753" s="165"/>
      <c r="X753" s="165"/>
      <c r="Y753" s="165"/>
      <c r="Z753" s="165"/>
    </row>
    <row r="754" spans="16:26" ht="10.199999999999999" customHeight="1">
      <c r="P754" s="165"/>
      <c r="Q754" s="165"/>
      <c r="R754" s="165"/>
      <c r="S754" s="165"/>
      <c r="T754" s="165"/>
      <c r="U754" s="165"/>
      <c r="V754" s="165"/>
      <c r="W754" s="165"/>
      <c r="X754" s="165"/>
      <c r="Y754" s="165"/>
      <c r="Z754" s="165"/>
    </row>
    <row r="755" spans="16:26" ht="10.199999999999999" customHeight="1">
      <c r="P755" s="165"/>
      <c r="Q755" s="165"/>
      <c r="R755" s="165"/>
      <c r="S755" s="165"/>
      <c r="T755" s="165"/>
      <c r="U755" s="165"/>
      <c r="V755" s="165"/>
      <c r="W755" s="165"/>
      <c r="X755" s="165"/>
      <c r="Y755" s="165"/>
      <c r="Z755" s="165"/>
    </row>
    <row r="756" spans="16:26" ht="10.199999999999999" customHeight="1">
      <c r="P756" s="165"/>
      <c r="Q756" s="165"/>
      <c r="R756" s="165"/>
      <c r="S756" s="165"/>
      <c r="T756" s="165"/>
      <c r="U756" s="165"/>
      <c r="V756" s="165"/>
      <c r="W756" s="165"/>
      <c r="X756" s="165"/>
      <c r="Y756" s="165"/>
      <c r="Z756" s="165"/>
    </row>
    <row r="757" spans="16:26" ht="10.199999999999999" customHeight="1">
      <c r="P757" s="165"/>
      <c r="Q757" s="165"/>
      <c r="R757" s="165"/>
      <c r="S757" s="165"/>
      <c r="T757" s="165"/>
      <c r="U757" s="165"/>
      <c r="V757" s="165"/>
      <c r="W757" s="165"/>
      <c r="X757" s="165"/>
      <c r="Y757" s="165"/>
      <c r="Z757" s="165"/>
    </row>
    <row r="758" spans="16:26" ht="10.199999999999999" customHeight="1">
      <c r="P758" s="165"/>
      <c r="Q758" s="165"/>
      <c r="R758" s="165"/>
      <c r="S758" s="165"/>
      <c r="T758" s="165"/>
      <c r="U758" s="165"/>
      <c r="V758" s="165"/>
      <c r="W758" s="165"/>
      <c r="X758" s="165"/>
      <c r="Y758" s="165"/>
      <c r="Z758" s="165"/>
    </row>
    <row r="759" spans="16:26" ht="10.199999999999999" customHeight="1">
      <c r="P759" s="165"/>
      <c r="Q759" s="165"/>
      <c r="R759" s="165"/>
      <c r="S759" s="165"/>
      <c r="T759" s="165"/>
      <c r="U759" s="165"/>
      <c r="V759" s="165"/>
      <c r="W759" s="165"/>
      <c r="X759" s="165"/>
      <c r="Y759" s="165"/>
      <c r="Z759" s="165"/>
    </row>
    <row r="760" spans="16:26" ht="10.199999999999999" customHeight="1">
      <c r="P760" s="165"/>
      <c r="Q760" s="165"/>
      <c r="R760" s="165"/>
      <c r="S760" s="165"/>
      <c r="T760" s="165"/>
      <c r="U760" s="165"/>
      <c r="V760" s="165"/>
      <c r="W760" s="165"/>
      <c r="X760" s="165"/>
      <c r="Y760" s="165"/>
      <c r="Z760" s="165"/>
    </row>
    <row r="761" spans="16:26" ht="10.199999999999999" customHeight="1">
      <c r="P761" s="165"/>
      <c r="Q761" s="165"/>
      <c r="R761" s="165"/>
      <c r="S761" s="165"/>
      <c r="T761" s="165"/>
      <c r="U761" s="165"/>
      <c r="V761" s="165"/>
      <c r="W761" s="165"/>
      <c r="X761" s="165"/>
      <c r="Y761" s="165"/>
      <c r="Z761" s="165"/>
    </row>
    <row r="762" spans="16:26" ht="10.199999999999999" customHeight="1">
      <c r="P762" s="165"/>
      <c r="Q762" s="165"/>
      <c r="R762" s="165"/>
      <c r="S762" s="165"/>
      <c r="T762" s="165"/>
      <c r="U762" s="165"/>
      <c r="V762" s="165"/>
      <c r="W762" s="165"/>
      <c r="X762" s="165"/>
      <c r="Y762" s="165"/>
      <c r="Z762" s="165"/>
    </row>
    <row r="763" spans="16:26" ht="10.199999999999999" customHeight="1">
      <c r="P763" s="165"/>
      <c r="Q763" s="165"/>
      <c r="R763" s="165"/>
      <c r="S763" s="165"/>
      <c r="T763" s="165"/>
      <c r="U763" s="165"/>
      <c r="V763" s="165"/>
      <c r="W763" s="165"/>
      <c r="X763" s="165"/>
      <c r="Y763" s="165"/>
      <c r="Z763" s="165"/>
    </row>
    <row r="764" spans="16:26" ht="10.199999999999999" customHeight="1">
      <c r="P764" s="165"/>
      <c r="Q764" s="165"/>
      <c r="R764" s="165"/>
      <c r="S764" s="165"/>
      <c r="T764" s="165"/>
      <c r="U764" s="165"/>
      <c r="V764" s="165"/>
      <c r="W764" s="165"/>
      <c r="X764" s="165"/>
      <c r="Y764" s="165"/>
      <c r="Z764" s="165"/>
    </row>
    <row r="765" spans="16:26" ht="10.199999999999999" customHeight="1">
      <c r="P765" s="165"/>
      <c r="Q765" s="165"/>
      <c r="R765" s="165"/>
      <c r="S765" s="165"/>
      <c r="T765" s="165"/>
      <c r="U765" s="165"/>
      <c r="V765" s="165"/>
      <c r="W765" s="165"/>
      <c r="X765" s="165"/>
      <c r="Y765" s="165"/>
      <c r="Z765" s="165"/>
    </row>
    <row r="766" spans="16:26" ht="10.199999999999999" customHeight="1">
      <c r="P766" s="165"/>
      <c r="Q766" s="165"/>
      <c r="R766" s="165"/>
      <c r="S766" s="165"/>
      <c r="T766" s="165"/>
      <c r="U766" s="165"/>
      <c r="V766" s="165"/>
      <c r="W766" s="165"/>
      <c r="X766" s="165"/>
      <c r="Y766" s="165"/>
      <c r="Z766" s="165"/>
    </row>
    <row r="767" spans="16:26" ht="10.199999999999999" customHeight="1">
      <c r="P767" s="165"/>
      <c r="Q767" s="165"/>
      <c r="R767" s="165"/>
      <c r="S767" s="165"/>
      <c r="T767" s="165"/>
      <c r="U767" s="165"/>
      <c r="V767" s="165"/>
      <c r="W767" s="165"/>
      <c r="X767" s="165"/>
      <c r="Y767" s="165"/>
      <c r="Z767" s="165"/>
    </row>
    <row r="768" spans="16:26" ht="10.199999999999999" customHeight="1">
      <c r="P768" s="165"/>
      <c r="Q768" s="165"/>
      <c r="R768" s="165"/>
      <c r="S768" s="165"/>
      <c r="T768" s="165"/>
      <c r="U768" s="165"/>
      <c r="V768" s="165"/>
      <c r="W768" s="165"/>
      <c r="X768" s="165"/>
      <c r="Y768" s="165"/>
      <c r="Z768" s="165"/>
    </row>
    <row r="769" spans="16:26" ht="10.199999999999999" customHeight="1">
      <c r="P769" s="165"/>
      <c r="Q769" s="165"/>
      <c r="R769" s="165"/>
      <c r="S769" s="165"/>
      <c r="T769" s="165"/>
      <c r="U769" s="165"/>
      <c r="V769" s="165"/>
      <c r="W769" s="165"/>
      <c r="X769" s="165"/>
      <c r="Y769" s="165"/>
      <c r="Z769" s="165"/>
    </row>
    <row r="770" spans="16:26" ht="10.199999999999999" customHeight="1">
      <c r="P770" s="165"/>
      <c r="Q770" s="165"/>
      <c r="R770" s="165"/>
      <c r="S770" s="165"/>
      <c r="T770" s="165"/>
      <c r="U770" s="165"/>
      <c r="V770" s="165"/>
      <c r="W770" s="165"/>
      <c r="X770" s="165"/>
      <c r="Y770" s="165"/>
      <c r="Z770" s="165"/>
    </row>
    <row r="771" spans="16:26" ht="10.199999999999999" customHeight="1">
      <c r="P771" s="165"/>
      <c r="Q771" s="165"/>
      <c r="R771" s="165"/>
      <c r="S771" s="165"/>
      <c r="T771" s="165"/>
      <c r="U771" s="165"/>
      <c r="V771" s="165"/>
      <c r="W771" s="165"/>
      <c r="X771" s="165"/>
      <c r="Y771" s="165"/>
      <c r="Z771" s="165"/>
    </row>
    <row r="772" spans="16:26" ht="10.199999999999999" customHeight="1">
      <c r="P772" s="165"/>
      <c r="Q772" s="165"/>
      <c r="R772" s="165"/>
      <c r="S772" s="165"/>
      <c r="T772" s="165"/>
      <c r="U772" s="165"/>
      <c r="V772" s="165"/>
      <c r="W772" s="165"/>
      <c r="X772" s="165"/>
      <c r="Y772" s="165"/>
      <c r="Z772" s="165"/>
    </row>
    <row r="773" spans="16:26" ht="10.199999999999999" customHeight="1">
      <c r="P773" s="165"/>
      <c r="Q773" s="165"/>
      <c r="R773" s="165"/>
      <c r="S773" s="165"/>
      <c r="T773" s="165"/>
      <c r="U773" s="165"/>
      <c r="V773" s="165"/>
      <c r="W773" s="165"/>
      <c r="X773" s="165"/>
      <c r="Y773" s="165"/>
      <c r="Z773" s="165"/>
    </row>
    <row r="774" spans="16:26" ht="10.199999999999999" customHeight="1">
      <c r="P774" s="165"/>
      <c r="Q774" s="165"/>
      <c r="R774" s="165"/>
      <c r="S774" s="165"/>
      <c r="T774" s="165"/>
      <c r="U774" s="165"/>
      <c r="V774" s="165"/>
      <c r="W774" s="165"/>
      <c r="X774" s="165"/>
      <c r="Y774" s="165"/>
      <c r="Z774" s="165"/>
    </row>
    <row r="775" spans="16:26" ht="10.199999999999999" customHeight="1">
      <c r="P775" s="165"/>
      <c r="Q775" s="165"/>
      <c r="R775" s="165"/>
      <c r="S775" s="165"/>
      <c r="T775" s="165"/>
      <c r="U775" s="165"/>
      <c r="V775" s="165"/>
      <c r="W775" s="165"/>
      <c r="X775" s="165"/>
      <c r="Y775" s="165"/>
      <c r="Z775" s="165"/>
    </row>
    <row r="776" spans="16:26" ht="10.199999999999999" customHeight="1">
      <c r="P776" s="165"/>
      <c r="Q776" s="165"/>
      <c r="R776" s="165"/>
      <c r="S776" s="165"/>
      <c r="T776" s="165"/>
      <c r="U776" s="165"/>
      <c r="V776" s="165"/>
      <c r="W776" s="165"/>
      <c r="X776" s="165"/>
      <c r="Y776" s="165"/>
      <c r="Z776" s="165"/>
    </row>
    <row r="777" spans="16:26" ht="10.199999999999999" customHeight="1">
      <c r="P777" s="165"/>
      <c r="Q777" s="165"/>
      <c r="R777" s="165"/>
      <c r="S777" s="165"/>
      <c r="T777" s="165"/>
      <c r="U777" s="165"/>
      <c r="V777" s="165"/>
      <c r="W777" s="165"/>
      <c r="X777" s="165"/>
      <c r="Y777" s="165"/>
      <c r="Z777" s="165"/>
    </row>
    <row r="778" spans="16:26" ht="10.199999999999999" customHeight="1">
      <c r="P778" s="165"/>
      <c r="Q778" s="165"/>
      <c r="R778" s="165"/>
      <c r="S778" s="165"/>
      <c r="T778" s="165"/>
      <c r="U778" s="165"/>
      <c r="V778" s="165"/>
      <c r="W778" s="165"/>
      <c r="X778" s="165"/>
      <c r="Y778" s="165"/>
      <c r="Z778" s="165"/>
    </row>
    <row r="779" spans="16:26" ht="10.199999999999999" customHeight="1">
      <c r="P779" s="165"/>
      <c r="Q779" s="165"/>
      <c r="R779" s="165"/>
      <c r="S779" s="165"/>
      <c r="T779" s="165"/>
      <c r="U779" s="165"/>
      <c r="V779" s="165"/>
      <c r="W779" s="165"/>
      <c r="X779" s="165"/>
      <c r="Y779" s="165"/>
      <c r="Z779" s="165"/>
    </row>
    <row r="780" spans="16:26" ht="10.199999999999999" customHeight="1">
      <c r="P780" s="165"/>
      <c r="Q780" s="165"/>
      <c r="R780" s="165"/>
      <c r="S780" s="165"/>
      <c r="T780" s="165"/>
      <c r="U780" s="165"/>
      <c r="V780" s="165"/>
      <c r="W780" s="165"/>
      <c r="X780" s="165"/>
      <c r="Y780" s="165"/>
      <c r="Z780" s="165"/>
    </row>
    <row r="781" spans="16:26" ht="10.199999999999999" customHeight="1">
      <c r="P781" s="165"/>
      <c r="Q781" s="165"/>
      <c r="R781" s="165"/>
      <c r="S781" s="165"/>
      <c r="T781" s="165"/>
      <c r="U781" s="165"/>
      <c r="V781" s="165"/>
      <c r="W781" s="165"/>
      <c r="X781" s="165"/>
      <c r="Y781" s="165"/>
      <c r="Z781" s="165"/>
    </row>
    <row r="782" spans="16:26" ht="10.199999999999999" customHeight="1">
      <c r="P782" s="165"/>
      <c r="Q782" s="165"/>
      <c r="R782" s="165"/>
      <c r="S782" s="165"/>
      <c r="T782" s="165"/>
      <c r="U782" s="165"/>
      <c r="V782" s="165"/>
      <c r="W782" s="165"/>
      <c r="X782" s="165"/>
      <c r="Y782" s="165"/>
      <c r="Z782" s="165"/>
    </row>
    <row r="783" spans="16:26" ht="10.199999999999999" customHeight="1">
      <c r="P783" s="165"/>
      <c r="Q783" s="165"/>
      <c r="R783" s="165"/>
      <c r="S783" s="165"/>
      <c r="T783" s="165"/>
      <c r="U783" s="165"/>
      <c r="V783" s="165"/>
      <c r="W783" s="165"/>
      <c r="X783" s="165"/>
      <c r="Y783" s="165"/>
      <c r="Z783" s="165"/>
    </row>
    <row r="784" spans="16:26" ht="10.199999999999999" customHeight="1">
      <c r="P784" s="165"/>
      <c r="Q784" s="165"/>
      <c r="R784" s="165"/>
      <c r="S784" s="165"/>
      <c r="T784" s="165"/>
      <c r="U784" s="165"/>
      <c r="V784" s="165"/>
      <c r="W784" s="165"/>
      <c r="X784" s="165"/>
      <c r="Y784" s="165"/>
      <c r="Z784" s="165"/>
    </row>
    <row r="785" spans="16:26" ht="10.199999999999999" customHeight="1">
      <c r="P785" s="165"/>
      <c r="Q785" s="165"/>
      <c r="R785" s="165"/>
      <c r="S785" s="165"/>
      <c r="T785" s="165"/>
      <c r="U785" s="165"/>
      <c r="V785" s="165"/>
      <c r="W785" s="165"/>
      <c r="X785" s="165"/>
      <c r="Y785" s="165"/>
      <c r="Z785" s="165"/>
    </row>
    <row r="786" spans="16:26" ht="10.199999999999999" customHeight="1">
      <c r="P786" s="165"/>
      <c r="Q786" s="165"/>
      <c r="R786" s="165"/>
      <c r="S786" s="165"/>
      <c r="T786" s="165"/>
      <c r="U786" s="165"/>
      <c r="V786" s="165"/>
      <c r="W786" s="165"/>
      <c r="X786" s="165"/>
      <c r="Y786" s="165"/>
      <c r="Z786" s="165"/>
    </row>
    <row r="787" spans="16:26" ht="10.199999999999999" customHeight="1">
      <c r="P787" s="165"/>
      <c r="Q787" s="165"/>
      <c r="R787" s="165"/>
      <c r="S787" s="165"/>
      <c r="T787" s="165"/>
      <c r="U787" s="165"/>
      <c r="V787" s="165"/>
      <c r="W787" s="165"/>
      <c r="X787" s="165"/>
      <c r="Y787" s="165"/>
      <c r="Z787" s="165"/>
    </row>
    <row r="788" spans="16:26" ht="10.199999999999999" customHeight="1">
      <c r="P788" s="165"/>
      <c r="Q788" s="165"/>
      <c r="R788" s="165"/>
      <c r="S788" s="165"/>
      <c r="T788" s="165"/>
      <c r="U788" s="165"/>
      <c r="V788" s="165"/>
      <c r="W788" s="165"/>
      <c r="X788" s="165"/>
      <c r="Y788" s="165"/>
      <c r="Z788" s="165"/>
    </row>
    <row r="789" spans="16:26" ht="10.199999999999999" customHeight="1">
      <c r="P789" s="165"/>
      <c r="Q789" s="165"/>
      <c r="R789" s="165"/>
      <c r="S789" s="165"/>
      <c r="T789" s="165"/>
      <c r="U789" s="165"/>
      <c r="V789" s="165"/>
      <c r="W789" s="165"/>
      <c r="X789" s="165"/>
      <c r="Y789" s="165"/>
      <c r="Z789" s="165"/>
    </row>
    <row r="790" spans="16:26" ht="10.199999999999999" customHeight="1">
      <c r="P790" s="165"/>
      <c r="Q790" s="165"/>
      <c r="R790" s="165"/>
      <c r="S790" s="165"/>
      <c r="T790" s="165"/>
      <c r="U790" s="165"/>
      <c r="V790" s="165"/>
      <c r="W790" s="165"/>
      <c r="X790" s="165"/>
      <c r="Y790" s="165"/>
      <c r="Z790" s="165"/>
    </row>
    <row r="791" spans="16:26" ht="10.199999999999999" customHeight="1">
      <c r="P791" s="165"/>
      <c r="Q791" s="165"/>
      <c r="R791" s="165"/>
      <c r="S791" s="165"/>
      <c r="T791" s="165"/>
      <c r="U791" s="165"/>
      <c r="V791" s="165"/>
      <c r="W791" s="165"/>
      <c r="X791" s="165"/>
      <c r="Y791" s="165"/>
      <c r="Z791" s="165"/>
    </row>
    <row r="792" spans="16:26" ht="10.199999999999999" customHeight="1">
      <c r="P792" s="165"/>
      <c r="Q792" s="165"/>
      <c r="R792" s="165"/>
      <c r="S792" s="165"/>
      <c r="T792" s="165"/>
      <c r="U792" s="165"/>
      <c r="V792" s="165"/>
      <c r="W792" s="165"/>
      <c r="X792" s="165"/>
      <c r="Y792" s="165"/>
      <c r="Z792" s="165"/>
    </row>
    <row r="793" spans="16:26" ht="10.199999999999999" customHeight="1">
      <c r="P793" s="165"/>
      <c r="Q793" s="165"/>
      <c r="R793" s="165"/>
      <c r="S793" s="165"/>
      <c r="T793" s="165"/>
      <c r="U793" s="165"/>
      <c r="V793" s="165"/>
      <c r="W793" s="165"/>
      <c r="X793" s="165"/>
      <c r="Y793" s="165"/>
      <c r="Z793" s="165"/>
    </row>
    <row r="794" spans="16:26" ht="10.199999999999999" customHeight="1">
      <c r="P794" s="165"/>
      <c r="Q794" s="165"/>
      <c r="R794" s="165"/>
      <c r="S794" s="165"/>
      <c r="T794" s="165"/>
      <c r="U794" s="165"/>
      <c r="V794" s="165"/>
      <c r="W794" s="165"/>
      <c r="X794" s="165"/>
      <c r="Y794" s="165"/>
      <c r="Z794" s="165"/>
    </row>
    <row r="795" spans="16:26" ht="10.199999999999999" customHeight="1">
      <c r="P795" s="165"/>
      <c r="Q795" s="165"/>
      <c r="R795" s="165"/>
      <c r="S795" s="165"/>
      <c r="T795" s="165"/>
      <c r="U795" s="165"/>
      <c r="V795" s="165"/>
      <c r="W795" s="165"/>
      <c r="X795" s="165"/>
      <c r="Y795" s="165"/>
      <c r="Z795" s="165"/>
    </row>
    <row r="796" spans="16:26" ht="10.199999999999999" customHeight="1">
      <c r="P796" s="165"/>
      <c r="Q796" s="165"/>
      <c r="R796" s="165"/>
      <c r="S796" s="165"/>
      <c r="T796" s="165"/>
      <c r="U796" s="165"/>
      <c r="V796" s="165"/>
      <c r="W796" s="165"/>
      <c r="X796" s="165"/>
      <c r="Y796" s="165"/>
      <c r="Z796" s="165"/>
    </row>
    <row r="797" spans="16:26" ht="10.199999999999999" customHeight="1">
      <c r="P797" s="165"/>
      <c r="Q797" s="165"/>
      <c r="R797" s="165"/>
      <c r="S797" s="165"/>
      <c r="T797" s="165"/>
      <c r="U797" s="165"/>
      <c r="V797" s="165"/>
      <c r="W797" s="165"/>
      <c r="X797" s="165"/>
      <c r="Y797" s="165"/>
      <c r="Z797" s="165"/>
    </row>
    <row r="798" spans="16:26" ht="10.199999999999999" customHeight="1">
      <c r="P798" s="165"/>
      <c r="Q798" s="165"/>
      <c r="R798" s="165"/>
      <c r="S798" s="165"/>
      <c r="T798" s="165"/>
      <c r="U798" s="165"/>
      <c r="V798" s="165"/>
      <c r="W798" s="165"/>
      <c r="X798" s="165"/>
      <c r="Y798" s="165"/>
      <c r="Z798" s="165"/>
    </row>
    <row r="799" spans="16:26" ht="10.199999999999999" customHeight="1">
      <c r="P799" s="165"/>
      <c r="Q799" s="165"/>
      <c r="R799" s="165"/>
      <c r="S799" s="165"/>
      <c r="T799" s="165"/>
      <c r="U799" s="165"/>
      <c r="V799" s="165"/>
      <c r="W799" s="165"/>
      <c r="X799" s="165"/>
      <c r="Y799" s="165"/>
      <c r="Z799" s="165"/>
    </row>
    <row r="800" spans="16:26" ht="10.199999999999999" customHeight="1">
      <c r="P800" s="165"/>
      <c r="Q800" s="165"/>
      <c r="R800" s="165"/>
      <c r="S800" s="165"/>
      <c r="T800" s="165"/>
      <c r="U800" s="165"/>
      <c r="V800" s="165"/>
      <c r="W800" s="165"/>
      <c r="X800" s="165"/>
      <c r="Y800" s="165"/>
      <c r="Z800" s="165"/>
    </row>
    <row r="801" spans="16:26" ht="10.199999999999999" customHeight="1">
      <c r="P801" s="165"/>
      <c r="Q801" s="165"/>
      <c r="R801" s="165"/>
      <c r="S801" s="165"/>
      <c r="T801" s="165"/>
      <c r="U801" s="165"/>
      <c r="V801" s="165"/>
      <c r="W801" s="165"/>
      <c r="X801" s="165"/>
      <c r="Y801" s="165"/>
      <c r="Z801" s="165"/>
    </row>
    <row r="802" spans="16:26" ht="10.199999999999999" customHeight="1">
      <c r="P802" s="165"/>
      <c r="Q802" s="165"/>
      <c r="R802" s="165"/>
      <c r="S802" s="165"/>
      <c r="T802" s="165"/>
      <c r="U802" s="165"/>
      <c r="V802" s="165"/>
      <c r="W802" s="165"/>
      <c r="X802" s="165"/>
      <c r="Y802" s="165"/>
      <c r="Z802" s="165"/>
    </row>
    <row r="803" spans="16:26" ht="10.199999999999999" customHeight="1">
      <c r="P803" s="165"/>
      <c r="Q803" s="165"/>
      <c r="R803" s="165"/>
      <c r="S803" s="165"/>
      <c r="T803" s="165"/>
      <c r="U803" s="165"/>
      <c r="V803" s="165"/>
      <c r="W803" s="165"/>
      <c r="X803" s="165"/>
      <c r="Y803" s="165"/>
      <c r="Z803" s="165"/>
    </row>
    <row r="804" spans="16:26" ht="10.199999999999999" customHeight="1">
      <c r="P804" s="165"/>
      <c r="Q804" s="165"/>
      <c r="R804" s="165"/>
      <c r="S804" s="165"/>
      <c r="T804" s="165"/>
      <c r="U804" s="165"/>
      <c r="V804" s="165"/>
      <c r="W804" s="165"/>
      <c r="X804" s="165"/>
      <c r="Y804" s="165"/>
      <c r="Z804" s="165"/>
    </row>
    <row r="805" spans="16:26" ht="10.199999999999999" customHeight="1">
      <c r="P805" s="165"/>
      <c r="Q805" s="165"/>
      <c r="R805" s="165"/>
      <c r="S805" s="165"/>
      <c r="T805" s="165"/>
      <c r="U805" s="165"/>
      <c r="V805" s="165"/>
      <c r="W805" s="165"/>
      <c r="X805" s="165"/>
      <c r="Y805" s="165"/>
      <c r="Z805" s="165"/>
    </row>
    <row r="806" spans="16:26" ht="10.199999999999999" customHeight="1">
      <c r="P806" s="165"/>
      <c r="Q806" s="165"/>
      <c r="R806" s="165"/>
      <c r="S806" s="165"/>
      <c r="T806" s="165"/>
      <c r="U806" s="165"/>
      <c r="V806" s="165"/>
      <c r="W806" s="165"/>
      <c r="X806" s="165"/>
      <c r="Y806" s="165"/>
      <c r="Z806" s="165"/>
    </row>
    <row r="807" spans="16:26" ht="10.199999999999999" customHeight="1">
      <c r="P807" s="165"/>
      <c r="Q807" s="165"/>
      <c r="R807" s="165"/>
      <c r="S807" s="165"/>
      <c r="T807" s="165"/>
      <c r="U807" s="165"/>
      <c r="V807" s="165"/>
      <c r="W807" s="165"/>
      <c r="X807" s="165"/>
      <c r="Y807" s="165"/>
      <c r="Z807" s="165"/>
    </row>
    <row r="808" spans="16:26" ht="10.199999999999999" customHeight="1">
      <c r="P808" s="165"/>
      <c r="Q808" s="165"/>
      <c r="R808" s="165"/>
      <c r="S808" s="165"/>
      <c r="T808" s="165"/>
      <c r="U808" s="165"/>
      <c r="V808" s="165"/>
      <c r="W808" s="165"/>
      <c r="X808" s="165"/>
      <c r="Y808" s="165"/>
      <c r="Z808" s="165"/>
    </row>
    <row r="809" spans="16:26" ht="10.199999999999999" customHeight="1">
      <c r="P809" s="165"/>
      <c r="Q809" s="165"/>
      <c r="R809" s="165"/>
      <c r="S809" s="165"/>
      <c r="T809" s="165"/>
      <c r="U809" s="165"/>
      <c r="V809" s="165"/>
      <c r="W809" s="165"/>
      <c r="X809" s="165"/>
      <c r="Y809" s="165"/>
      <c r="Z809" s="165"/>
    </row>
    <row r="810" spans="16:26" ht="10.199999999999999" customHeight="1">
      <c r="P810" s="165"/>
      <c r="Q810" s="165"/>
      <c r="R810" s="165"/>
      <c r="S810" s="165"/>
      <c r="T810" s="165"/>
      <c r="U810" s="165"/>
      <c r="V810" s="165"/>
      <c r="W810" s="165"/>
      <c r="X810" s="165"/>
      <c r="Y810" s="165"/>
      <c r="Z810" s="165"/>
    </row>
    <row r="811" spans="16:26" ht="10.199999999999999" customHeight="1">
      <c r="P811" s="165"/>
      <c r="Q811" s="165"/>
      <c r="R811" s="165"/>
      <c r="S811" s="165"/>
      <c r="T811" s="165"/>
      <c r="U811" s="165"/>
      <c r="V811" s="165"/>
      <c r="W811" s="165"/>
      <c r="X811" s="165"/>
      <c r="Y811" s="165"/>
      <c r="Z811" s="165"/>
    </row>
    <row r="812" spans="16:26" ht="10.199999999999999" customHeight="1">
      <c r="P812" s="165"/>
      <c r="Q812" s="165"/>
      <c r="R812" s="165"/>
      <c r="S812" s="165"/>
      <c r="T812" s="165"/>
      <c r="U812" s="165"/>
      <c r="V812" s="165"/>
      <c r="W812" s="165"/>
      <c r="X812" s="165"/>
      <c r="Y812" s="165"/>
      <c r="Z812" s="165"/>
    </row>
    <row r="813" spans="16:26" ht="10.199999999999999" customHeight="1">
      <c r="P813" s="165"/>
      <c r="Q813" s="165"/>
      <c r="R813" s="165"/>
      <c r="S813" s="165"/>
      <c r="T813" s="165"/>
      <c r="U813" s="165"/>
      <c r="V813" s="165"/>
      <c r="W813" s="165"/>
      <c r="X813" s="165"/>
      <c r="Y813" s="165"/>
      <c r="Z813" s="165"/>
    </row>
    <row r="814" spans="16:26" ht="10.199999999999999" customHeight="1">
      <c r="P814" s="165"/>
      <c r="Q814" s="165"/>
      <c r="R814" s="165"/>
      <c r="S814" s="165"/>
      <c r="T814" s="165"/>
      <c r="U814" s="165"/>
      <c r="V814" s="165"/>
      <c r="W814" s="165"/>
      <c r="X814" s="165"/>
      <c r="Y814" s="165"/>
      <c r="Z814" s="165"/>
    </row>
    <row r="815" spans="16:26" ht="10.199999999999999" customHeight="1">
      <c r="P815" s="165"/>
      <c r="Q815" s="165"/>
      <c r="R815" s="165"/>
      <c r="S815" s="165"/>
      <c r="T815" s="165"/>
      <c r="U815" s="165"/>
      <c r="V815" s="165"/>
      <c r="W815" s="165"/>
      <c r="X815" s="165"/>
      <c r="Y815" s="165"/>
      <c r="Z815" s="165"/>
    </row>
    <row r="816" spans="16:26" ht="10.199999999999999" customHeight="1">
      <c r="P816" s="165"/>
      <c r="Q816" s="165"/>
      <c r="R816" s="165"/>
      <c r="S816" s="165"/>
      <c r="T816" s="165"/>
      <c r="U816" s="165"/>
      <c r="V816" s="165"/>
      <c r="W816" s="165"/>
      <c r="X816" s="165"/>
      <c r="Y816" s="165"/>
      <c r="Z816" s="165"/>
    </row>
    <row r="817" spans="16:26" ht="10.199999999999999" customHeight="1">
      <c r="P817" s="165"/>
      <c r="Q817" s="165"/>
      <c r="R817" s="165"/>
      <c r="S817" s="165"/>
      <c r="T817" s="165"/>
      <c r="U817" s="165"/>
      <c r="V817" s="165"/>
      <c r="W817" s="165"/>
      <c r="X817" s="165"/>
      <c r="Y817" s="165"/>
      <c r="Z817" s="165"/>
    </row>
    <row r="818" spans="16:26" ht="10.199999999999999" customHeight="1">
      <c r="P818" s="165"/>
      <c r="Q818" s="165"/>
      <c r="R818" s="165"/>
      <c r="S818" s="165"/>
      <c r="T818" s="165"/>
      <c r="U818" s="165"/>
      <c r="V818" s="165"/>
      <c r="W818" s="165"/>
      <c r="X818" s="165"/>
      <c r="Y818" s="165"/>
      <c r="Z818" s="165"/>
    </row>
    <row r="819" spans="16:26" ht="10.199999999999999" customHeight="1">
      <c r="P819" s="165"/>
      <c r="Q819" s="165"/>
      <c r="R819" s="165"/>
      <c r="S819" s="165"/>
      <c r="T819" s="165"/>
      <c r="U819" s="165"/>
      <c r="V819" s="165"/>
      <c r="W819" s="165"/>
      <c r="X819" s="165"/>
      <c r="Y819" s="165"/>
      <c r="Z819" s="165"/>
    </row>
    <row r="820" spans="16:26" ht="10.199999999999999" customHeight="1">
      <c r="P820" s="165"/>
      <c r="Q820" s="165"/>
      <c r="R820" s="165"/>
      <c r="S820" s="165"/>
      <c r="T820" s="165"/>
      <c r="U820" s="165"/>
      <c r="V820" s="165"/>
      <c r="W820" s="165"/>
      <c r="X820" s="165"/>
      <c r="Y820" s="165"/>
      <c r="Z820" s="165"/>
    </row>
    <row r="821" spans="16:26" ht="10.199999999999999" customHeight="1">
      <c r="P821" s="165"/>
      <c r="Q821" s="165"/>
      <c r="R821" s="165"/>
      <c r="S821" s="165"/>
      <c r="T821" s="165"/>
      <c r="U821" s="165"/>
      <c r="V821" s="165"/>
      <c r="W821" s="165"/>
      <c r="X821" s="165"/>
      <c r="Y821" s="165"/>
      <c r="Z821" s="165"/>
    </row>
    <row r="822" spans="16:26" ht="10.199999999999999" customHeight="1">
      <c r="P822" s="165"/>
      <c r="Q822" s="165"/>
      <c r="R822" s="165"/>
      <c r="S822" s="165"/>
      <c r="T822" s="165"/>
      <c r="U822" s="165"/>
      <c r="V822" s="165"/>
      <c r="W822" s="165"/>
      <c r="X822" s="165"/>
      <c r="Y822" s="165"/>
      <c r="Z822" s="165"/>
    </row>
    <row r="823" spans="16:26" ht="10.199999999999999" customHeight="1">
      <c r="P823" s="165"/>
      <c r="Q823" s="165"/>
      <c r="R823" s="165"/>
      <c r="S823" s="165"/>
      <c r="T823" s="165"/>
      <c r="U823" s="165"/>
      <c r="V823" s="165"/>
      <c r="W823" s="165"/>
      <c r="X823" s="165"/>
      <c r="Y823" s="165"/>
      <c r="Z823" s="165"/>
    </row>
    <row r="824" spans="16:26" ht="10.199999999999999" customHeight="1">
      <c r="P824" s="165"/>
      <c r="Q824" s="165"/>
      <c r="R824" s="165"/>
      <c r="S824" s="165"/>
      <c r="T824" s="165"/>
      <c r="U824" s="165"/>
      <c r="V824" s="165"/>
      <c r="W824" s="165"/>
      <c r="X824" s="165"/>
      <c r="Y824" s="165"/>
      <c r="Z824" s="165"/>
    </row>
    <row r="825" spans="16:26" ht="10.199999999999999" customHeight="1">
      <c r="P825" s="165"/>
      <c r="Q825" s="165"/>
      <c r="R825" s="165"/>
      <c r="S825" s="165"/>
      <c r="T825" s="165"/>
      <c r="U825" s="165"/>
      <c r="V825" s="165"/>
      <c r="W825" s="165"/>
      <c r="X825" s="165"/>
      <c r="Y825" s="165"/>
      <c r="Z825" s="165"/>
    </row>
    <row r="826" spans="16:26" ht="10.199999999999999" customHeight="1">
      <c r="P826" s="165"/>
      <c r="Q826" s="165"/>
      <c r="R826" s="165"/>
      <c r="S826" s="165"/>
      <c r="T826" s="165"/>
      <c r="U826" s="165"/>
      <c r="V826" s="165"/>
      <c r="W826" s="165"/>
      <c r="X826" s="165"/>
      <c r="Y826" s="165"/>
      <c r="Z826" s="165"/>
    </row>
    <row r="827" spans="16:26" ht="10.199999999999999" customHeight="1">
      <c r="P827" s="165"/>
      <c r="Q827" s="165"/>
      <c r="R827" s="165"/>
      <c r="S827" s="165"/>
      <c r="T827" s="165"/>
      <c r="U827" s="165"/>
      <c r="V827" s="165"/>
      <c r="W827" s="165"/>
      <c r="X827" s="165"/>
      <c r="Y827" s="165"/>
      <c r="Z827" s="165"/>
    </row>
    <row r="828" spans="16:26" ht="10.199999999999999" customHeight="1">
      <c r="P828" s="165"/>
      <c r="Q828" s="165"/>
      <c r="R828" s="165"/>
      <c r="S828" s="165"/>
      <c r="T828" s="165"/>
      <c r="U828" s="165"/>
      <c r="V828" s="165"/>
      <c r="W828" s="165"/>
      <c r="X828" s="165"/>
      <c r="Y828" s="165"/>
      <c r="Z828" s="165"/>
    </row>
    <row r="829" spans="16:26" ht="10.199999999999999" customHeight="1">
      <c r="P829" s="165"/>
      <c r="Q829" s="165"/>
      <c r="R829" s="165"/>
      <c r="S829" s="165"/>
      <c r="T829" s="165"/>
      <c r="U829" s="165"/>
      <c r="V829" s="165"/>
      <c r="W829" s="165"/>
      <c r="X829" s="165"/>
      <c r="Y829" s="165"/>
      <c r="Z829" s="165"/>
    </row>
    <row r="830" spans="16:26" ht="10.199999999999999" customHeight="1">
      <c r="P830" s="165"/>
      <c r="Q830" s="165"/>
      <c r="R830" s="165"/>
      <c r="S830" s="165"/>
      <c r="T830" s="165"/>
      <c r="U830" s="165"/>
      <c r="V830" s="165"/>
      <c r="W830" s="165"/>
      <c r="X830" s="165"/>
      <c r="Y830" s="165"/>
      <c r="Z830" s="165"/>
    </row>
    <row r="831" spans="16:26" ht="10.199999999999999" customHeight="1">
      <c r="P831" s="165"/>
      <c r="Q831" s="165"/>
      <c r="R831" s="165"/>
      <c r="S831" s="165"/>
      <c r="T831" s="165"/>
      <c r="U831" s="165"/>
      <c r="V831" s="165"/>
      <c r="W831" s="165"/>
      <c r="X831" s="165"/>
      <c r="Y831" s="165"/>
      <c r="Z831" s="165"/>
    </row>
    <row r="832" spans="16:26" ht="10.199999999999999" customHeight="1">
      <c r="P832" s="165"/>
      <c r="Q832" s="165"/>
      <c r="R832" s="165"/>
      <c r="S832" s="165"/>
      <c r="T832" s="165"/>
      <c r="U832" s="165"/>
      <c r="V832" s="165"/>
      <c r="W832" s="165"/>
      <c r="X832" s="165"/>
      <c r="Y832" s="165"/>
      <c r="Z832" s="165"/>
    </row>
    <row r="833" spans="16:26" ht="10.199999999999999" customHeight="1">
      <c r="P833" s="165"/>
      <c r="Q833" s="165"/>
      <c r="R833" s="165"/>
      <c r="S833" s="165"/>
      <c r="T833" s="165"/>
      <c r="U833" s="165"/>
      <c r="V833" s="165"/>
      <c r="W833" s="165"/>
      <c r="X833" s="165"/>
      <c r="Y833" s="165"/>
      <c r="Z833" s="165"/>
    </row>
    <row r="834" spans="16:26" ht="10.199999999999999" customHeight="1">
      <c r="P834" s="165"/>
      <c r="Q834" s="165"/>
      <c r="R834" s="165"/>
      <c r="S834" s="165"/>
      <c r="T834" s="165"/>
      <c r="U834" s="165"/>
      <c r="V834" s="165"/>
      <c r="W834" s="165"/>
      <c r="X834" s="165"/>
      <c r="Y834" s="165"/>
      <c r="Z834" s="165"/>
    </row>
    <row r="835" spans="16:26" ht="10.199999999999999" customHeight="1">
      <c r="P835" s="165"/>
      <c r="Q835" s="165"/>
      <c r="R835" s="165"/>
      <c r="S835" s="165"/>
      <c r="T835" s="165"/>
      <c r="U835" s="165"/>
      <c r="V835" s="165"/>
      <c r="W835" s="165"/>
      <c r="X835" s="165"/>
      <c r="Y835" s="165"/>
      <c r="Z835" s="165"/>
    </row>
    <row r="836" spans="16:26" ht="10.199999999999999" customHeight="1">
      <c r="P836" s="165"/>
      <c r="Q836" s="165"/>
      <c r="R836" s="165"/>
      <c r="S836" s="165"/>
      <c r="T836" s="165"/>
      <c r="U836" s="165"/>
      <c r="V836" s="165"/>
      <c r="W836" s="165"/>
      <c r="X836" s="165"/>
      <c r="Y836" s="165"/>
      <c r="Z836" s="165"/>
    </row>
    <row r="837" spans="16:26" ht="10.199999999999999" customHeight="1">
      <c r="P837" s="165"/>
      <c r="Q837" s="165"/>
      <c r="R837" s="165"/>
      <c r="S837" s="165"/>
      <c r="T837" s="165"/>
      <c r="U837" s="165"/>
      <c r="V837" s="165"/>
      <c r="W837" s="165"/>
      <c r="X837" s="165"/>
      <c r="Y837" s="165"/>
      <c r="Z837" s="165"/>
    </row>
    <row r="838" spans="16:26" ht="10.199999999999999" customHeight="1">
      <c r="P838" s="165"/>
      <c r="Q838" s="165"/>
      <c r="R838" s="165"/>
      <c r="S838" s="165"/>
      <c r="T838" s="165"/>
      <c r="U838" s="165"/>
      <c r="V838" s="165"/>
      <c r="W838" s="165"/>
      <c r="X838" s="165"/>
      <c r="Y838" s="165"/>
      <c r="Z838" s="165"/>
    </row>
    <row r="839" spans="16:26" ht="10.199999999999999" customHeight="1">
      <c r="P839" s="165"/>
      <c r="Q839" s="165"/>
      <c r="R839" s="165"/>
      <c r="S839" s="165"/>
      <c r="T839" s="165"/>
      <c r="U839" s="165"/>
      <c r="V839" s="165"/>
      <c r="W839" s="165"/>
      <c r="X839" s="165"/>
      <c r="Y839" s="165"/>
      <c r="Z839" s="165"/>
    </row>
    <row r="840" spans="16:26" ht="10.199999999999999" customHeight="1">
      <c r="P840" s="165"/>
      <c r="Q840" s="165"/>
      <c r="R840" s="165"/>
      <c r="S840" s="165"/>
      <c r="T840" s="165"/>
      <c r="U840" s="165"/>
      <c r="V840" s="165"/>
      <c r="W840" s="165"/>
      <c r="X840" s="165"/>
      <c r="Y840" s="165"/>
      <c r="Z840" s="165"/>
    </row>
    <row r="841" spans="16:26" ht="10.199999999999999" customHeight="1">
      <c r="P841" s="165"/>
      <c r="Q841" s="165"/>
      <c r="R841" s="165"/>
      <c r="S841" s="165"/>
      <c r="T841" s="165"/>
      <c r="U841" s="165"/>
      <c r="V841" s="165"/>
      <c r="W841" s="165"/>
      <c r="X841" s="165"/>
      <c r="Y841" s="165"/>
      <c r="Z841" s="165"/>
    </row>
    <row r="842" spans="16:26" ht="10.199999999999999" customHeight="1">
      <c r="P842" s="165"/>
      <c r="Q842" s="165"/>
      <c r="R842" s="165"/>
      <c r="S842" s="165"/>
      <c r="T842" s="165"/>
      <c r="U842" s="165"/>
      <c r="V842" s="165"/>
      <c r="W842" s="165"/>
      <c r="X842" s="165"/>
      <c r="Y842" s="165"/>
      <c r="Z842" s="165"/>
    </row>
    <row r="843" spans="16:26" ht="10.199999999999999" customHeight="1">
      <c r="P843" s="165"/>
      <c r="Q843" s="165"/>
      <c r="R843" s="165"/>
      <c r="S843" s="165"/>
      <c r="T843" s="165"/>
      <c r="U843" s="165"/>
      <c r="V843" s="165"/>
      <c r="W843" s="165"/>
      <c r="X843" s="165"/>
      <c r="Y843" s="165"/>
      <c r="Z843" s="165"/>
    </row>
    <row r="844" spans="16:26" ht="10.199999999999999" customHeight="1">
      <c r="P844" s="165"/>
      <c r="Q844" s="165"/>
      <c r="R844" s="165"/>
      <c r="S844" s="165"/>
      <c r="T844" s="165"/>
      <c r="U844" s="165"/>
      <c r="V844" s="165"/>
      <c r="W844" s="165"/>
      <c r="X844" s="165"/>
      <c r="Y844" s="165"/>
      <c r="Z844" s="165"/>
    </row>
    <row r="845" spans="16:26" ht="10.199999999999999" customHeight="1">
      <c r="P845" s="165"/>
      <c r="Q845" s="165"/>
      <c r="R845" s="165"/>
      <c r="S845" s="165"/>
      <c r="T845" s="165"/>
      <c r="U845" s="165"/>
      <c r="V845" s="165"/>
      <c r="W845" s="165"/>
      <c r="X845" s="165"/>
      <c r="Y845" s="165"/>
      <c r="Z845" s="165"/>
    </row>
    <row r="846" spans="16:26" ht="10.199999999999999" customHeight="1">
      <c r="P846" s="165"/>
      <c r="Q846" s="165"/>
      <c r="R846" s="165"/>
      <c r="S846" s="165"/>
      <c r="T846" s="165"/>
      <c r="U846" s="165"/>
      <c r="V846" s="165"/>
      <c r="W846" s="165"/>
      <c r="X846" s="165"/>
      <c r="Y846" s="165"/>
      <c r="Z846" s="165"/>
    </row>
    <row r="847" spans="16:26" ht="10.199999999999999" customHeight="1">
      <c r="P847" s="165"/>
      <c r="Q847" s="165"/>
      <c r="R847" s="165"/>
      <c r="S847" s="165"/>
      <c r="T847" s="165"/>
      <c r="U847" s="165"/>
      <c r="V847" s="165"/>
      <c r="W847" s="165"/>
      <c r="X847" s="165"/>
      <c r="Y847" s="165"/>
      <c r="Z847" s="165"/>
    </row>
    <row r="848" spans="16:26" ht="10.199999999999999" customHeight="1">
      <c r="P848" s="165"/>
      <c r="Q848" s="165"/>
      <c r="R848" s="165"/>
      <c r="S848" s="165"/>
      <c r="T848" s="165"/>
      <c r="U848" s="165"/>
      <c r="V848" s="165"/>
      <c r="W848" s="165"/>
      <c r="X848" s="165"/>
      <c r="Y848" s="165"/>
      <c r="Z848" s="165"/>
    </row>
    <row r="849" spans="16:26" ht="10.199999999999999" customHeight="1">
      <c r="P849" s="165"/>
      <c r="Q849" s="165"/>
      <c r="R849" s="165"/>
      <c r="S849" s="165"/>
      <c r="T849" s="165"/>
      <c r="U849" s="165"/>
      <c r="V849" s="165"/>
      <c r="W849" s="165"/>
      <c r="X849" s="165"/>
      <c r="Y849" s="165"/>
      <c r="Z849" s="165"/>
    </row>
    <row r="850" spans="16:26" ht="10.199999999999999" customHeight="1">
      <c r="P850" s="165"/>
      <c r="Q850" s="165"/>
      <c r="R850" s="165"/>
      <c r="S850" s="165"/>
      <c r="T850" s="165"/>
      <c r="U850" s="165"/>
      <c r="V850" s="165"/>
      <c r="W850" s="165"/>
      <c r="X850" s="165"/>
      <c r="Y850" s="165"/>
      <c r="Z850" s="165"/>
    </row>
    <row r="851" spans="16:26" ht="10.199999999999999" customHeight="1">
      <c r="P851" s="165"/>
      <c r="Q851" s="165"/>
      <c r="R851" s="165"/>
      <c r="S851" s="165"/>
      <c r="T851" s="165"/>
      <c r="U851" s="165"/>
      <c r="V851" s="165"/>
      <c r="W851" s="165"/>
      <c r="X851" s="165"/>
      <c r="Y851" s="165"/>
      <c r="Z851" s="165"/>
    </row>
    <row r="852" spans="16:26" ht="10.199999999999999" customHeight="1">
      <c r="P852" s="165"/>
      <c r="Q852" s="165"/>
      <c r="R852" s="165"/>
      <c r="S852" s="165"/>
      <c r="T852" s="165"/>
      <c r="U852" s="165"/>
      <c r="V852" s="165"/>
      <c r="W852" s="165"/>
      <c r="X852" s="165"/>
      <c r="Y852" s="165"/>
      <c r="Z852" s="165"/>
    </row>
    <row r="853" spans="16:26" ht="10.199999999999999" customHeight="1">
      <c r="P853" s="165"/>
      <c r="Q853" s="165"/>
      <c r="R853" s="165"/>
      <c r="S853" s="165"/>
      <c r="T853" s="165"/>
      <c r="U853" s="165"/>
      <c r="V853" s="165"/>
      <c r="W853" s="165"/>
      <c r="X853" s="165"/>
      <c r="Y853" s="165"/>
      <c r="Z853" s="165"/>
    </row>
    <row r="854" spans="16:26" ht="10.199999999999999" customHeight="1">
      <c r="P854" s="165"/>
      <c r="Q854" s="165"/>
      <c r="R854" s="165"/>
      <c r="S854" s="165"/>
      <c r="T854" s="165"/>
      <c r="U854" s="165"/>
      <c r="V854" s="165"/>
      <c r="W854" s="165"/>
      <c r="X854" s="165"/>
      <c r="Y854" s="165"/>
      <c r="Z854" s="165"/>
    </row>
    <row r="855" spans="16:26" ht="10.199999999999999" customHeight="1">
      <c r="P855" s="165"/>
      <c r="Q855" s="165"/>
      <c r="R855" s="165"/>
      <c r="S855" s="165"/>
      <c r="T855" s="165"/>
      <c r="U855" s="165"/>
      <c r="V855" s="165"/>
      <c r="W855" s="165"/>
      <c r="X855" s="165"/>
      <c r="Y855" s="165"/>
      <c r="Z855" s="165"/>
    </row>
    <row r="856" spans="16:26" ht="10.199999999999999" customHeight="1">
      <c r="P856" s="165"/>
      <c r="Q856" s="165"/>
      <c r="R856" s="165"/>
      <c r="S856" s="165"/>
      <c r="T856" s="165"/>
      <c r="U856" s="165"/>
      <c r="V856" s="165"/>
      <c r="W856" s="165"/>
      <c r="X856" s="165"/>
      <c r="Y856" s="165"/>
      <c r="Z856" s="165"/>
    </row>
    <row r="857" spans="16:26" ht="10.199999999999999" customHeight="1">
      <c r="P857" s="165"/>
      <c r="Q857" s="165"/>
      <c r="R857" s="165"/>
      <c r="S857" s="165"/>
      <c r="T857" s="165"/>
      <c r="U857" s="165"/>
      <c r="V857" s="165"/>
      <c r="W857" s="165"/>
      <c r="X857" s="165"/>
      <c r="Y857" s="165"/>
      <c r="Z857" s="165"/>
    </row>
    <row r="858" spans="16:26" ht="10.199999999999999" customHeight="1">
      <c r="P858" s="165"/>
      <c r="Q858" s="165"/>
      <c r="R858" s="165"/>
      <c r="S858" s="165"/>
      <c r="T858" s="165"/>
      <c r="U858" s="165"/>
      <c r="V858" s="165"/>
      <c r="W858" s="165"/>
      <c r="X858" s="165"/>
      <c r="Y858" s="165"/>
      <c r="Z858" s="165"/>
    </row>
    <row r="859" spans="16:26" ht="10.199999999999999" customHeight="1">
      <c r="P859" s="165"/>
      <c r="Q859" s="165"/>
      <c r="R859" s="165"/>
      <c r="S859" s="165"/>
      <c r="T859" s="165"/>
      <c r="U859" s="165"/>
      <c r="V859" s="165"/>
      <c r="W859" s="165"/>
      <c r="X859" s="165"/>
      <c r="Y859" s="165"/>
      <c r="Z859" s="165"/>
    </row>
    <row r="860" spans="16:26" ht="10.199999999999999" customHeight="1">
      <c r="P860" s="165"/>
      <c r="Q860" s="165"/>
      <c r="R860" s="165"/>
      <c r="S860" s="165"/>
      <c r="T860" s="165"/>
      <c r="U860" s="165"/>
      <c r="V860" s="165"/>
      <c r="W860" s="165"/>
      <c r="X860" s="165"/>
      <c r="Y860" s="165"/>
      <c r="Z860" s="165"/>
    </row>
    <row r="861" spans="16:26" ht="10.199999999999999" customHeight="1">
      <c r="P861" s="165"/>
      <c r="Q861" s="165"/>
      <c r="R861" s="165"/>
      <c r="S861" s="165"/>
      <c r="T861" s="165"/>
      <c r="U861" s="165"/>
      <c r="V861" s="165"/>
      <c r="W861" s="165"/>
      <c r="X861" s="165"/>
      <c r="Y861" s="165"/>
      <c r="Z861" s="165"/>
    </row>
    <row r="862" spans="16:26" ht="10.199999999999999" customHeight="1">
      <c r="P862" s="165"/>
      <c r="Q862" s="165"/>
      <c r="R862" s="165"/>
      <c r="S862" s="165"/>
      <c r="T862" s="165"/>
      <c r="U862" s="165"/>
      <c r="V862" s="165"/>
      <c r="W862" s="165"/>
      <c r="X862" s="165"/>
      <c r="Y862" s="165"/>
      <c r="Z862" s="165"/>
    </row>
    <row r="863" spans="16:26" ht="10.199999999999999" customHeight="1">
      <c r="P863" s="165"/>
      <c r="Q863" s="165"/>
      <c r="R863" s="165"/>
      <c r="S863" s="165"/>
      <c r="T863" s="165"/>
      <c r="U863" s="165"/>
      <c r="V863" s="165"/>
      <c r="W863" s="165"/>
      <c r="X863" s="165"/>
      <c r="Y863" s="165"/>
      <c r="Z863" s="165"/>
    </row>
    <row r="864" spans="16:26" ht="10.199999999999999" customHeight="1">
      <c r="P864" s="165"/>
      <c r="Q864" s="165"/>
      <c r="R864" s="165"/>
      <c r="S864" s="165"/>
      <c r="T864" s="165"/>
      <c r="U864" s="165"/>
      <c r="V864" s="165"/>
      <c r="W864" s="165"/>
      <c r="X864" s="165"/>
      <c r="Y864" s="165"/>
      <c r="Z864" s="165"/>
    </row>
    <row r="865" spans="16:26" ht="10.199999999999999" customHeight="1">
      <c r="P865" s="165"/>
      <c r="Q865" s="165"/>
      <c r="R865" s="165"/>
      <c r="S865" s="165"/>
      <c r="T865" s="165"/>
      <c r="U865" s="165"/>
      <c r="V865" s="165"/>
      <c r="W865" s="165"/>
      <c r="X865" s="165"/>
      <c r="Y865" s="165"/>
      <c r="Z865" s="165"/>
    </row>
    <row r="866" spans="16:26" ht="10.199999999999999" customHeight="1">
      <c r="P866" s="165"/>
      <c r="Q866" s="165"/>
      <c r="R866" s="165"/>
      <c r="S866" s="165"/>
      <c r="T866" s="165"/>
      <c r="U866" s="165"/>
      <c r="V866" s="165"/>
      <c r="W866" s="165"/>
      <c r="X866" s="165"/>
      <c r="Y866" s="165"/>
      <c r="Z866" s="165"/>
    </row>
    <row r="867" spans="16:26" ht="10.199999999999999" customHeight="1">
      <c r="P867" s="165"/>
      <c r="Q867" s="165"/>
      <c r="R867" s="165"/>
      <c r="S867" s="165"/>
      <c r="T867" s="165"/>
      <c r="U867" s="165"/>
      <c r="V867" s="165"/>
      <c r="W867" s="165"/>
      <c r="X867" s="165"/>
      <c r="Y867" s="165"/>
      <c r="Z867" s="165"/>
    </row>
    <row r="868" spans="16:26" ht="10.199999999999999" customHeight="1">
      <c r="P868" s="165"/>
      <c r="Q868" s="165"/>
      <c r="R868" s="165"/>
      <c r="S868" s="165"/>
      <c r="T868" s="165"/>
      <c r="U868" s="165"/>
      <c r="V868" s="165"/>
      <c r="W868" s="165"/>
      <c r="X868" s="165"/>
      <c r="Y868" s="165"/>
      <c r="Z868" s="165"/>
    </row>
    <row r="869" spans="16:26" ht="10.199999999999999" customHeight="1">
      <c r="P869" s="165"/>
      <c r="Q869" s="165"/>
      <c r="R869" s="165"/>
      <c r="S869" s="165"/>
      <c r="T869" s="165"/>
      <c r="U869" s="165"/>
      <c r="V869" s="165"/>
      <c r="W869" s="165"/>
      <c r="X869" s="165"/>
      <c r="Y869" s="165"/>
      <c r="Z869" s="165"/>
    </row>
    <row r="870" spans="16:26" ht="10.199999999999999" customHeight="1">
      <c r="P870" s="165"/>
      <c r="Q870" s="165"/>
      <c r="R870" s="165"/>
      <c r="S870" s="165"/>
      <c r="T870" s="165"/>
      <c r="U870" s="165"/>
      <c r="V870" s="165"/>
      <c r="W870" s="165"/>
      <c r="X870" s="165"/>
      <c r="Y870" s="165"/>
      <c r="Z870" s="165"/>
    </row>
    <row r="871" spans="16:26" ht="10.199999999999999" customHeight="1">
      <c r="P871" s="165"/>
      <c r="Q871" s="165"/>
      <c r="R871" s="165"/>
      <c r="S871" s="165"/>
      <c r="T871" s="165"/>
      <c r="U871" s="165"/>
      <c r="V871" s="165"/>
      <c r="W871" s="165"/>
      <c r="X871" s="165"/>
      <c r="Y871" s="165"/>
      <c r="Z871" s="165"/>
    </row>
    <row r="872" spans="16:26" ht="10.199999999999999" customHeight="1">
      <c r="P872" s="165"/>
      <c r="Q872" s="165"/>
      <c r="R872" s="165"/>
      <c r="S872" s="165"/>
      <c r="T872" s="165"/>
      <c r="U872" s="165"/>
      <c r="V872" s="165"/>
      <c r="W872" s="165"/>
      <c r="X872" s="165"/>
      <c r="Y872" s="165"/>
      <c r="Z872" s="165"/>
    </row>
    <row r="873" spans="16:26" ht="10.199999999999999" customHeight="1">
      <c r="P873" s="165"/>
      <c r="Q873" s="165"/>
      <c r="R873" s="165"/>
      <c r="S873" s="165"/>
      <c r="T873" s="165"/>
      <c r="U873" s="165"/>
      <c r="V873" s="165"/>
      <c r="W873" s="165"/>
      <c r="X873" s="165"/>
      <c r="Y873" s="165"/>
      <c r="Z873" s="165"/>
    </row>
    <row r="874" spans="16:26" ht="10.199999999999999" customHeight="1">
      <c r="P874" s="165"/>
      <c r="Q874" s="165"/>
      <c r="R874" s="165"/>
      <c r="S874" s="165"/>
      <c r="T874" s="165"/>
      <c r="U874" s="165"/>
      <c r="V874" s="165"/>
      <c r="W874" s="165"/>
      <c r="X874" s="165"/>
      <c r="Y874" s="165"/>
      <c r="Z874" s="165"/>
    </row>
    <row r="875" spans="16:26" ht="10.199999999999999" customHeight="1">
      <c r="P875" s="165"/>
      <c r="Q875" s="165"/>
      <c r="R875" s="165"/>
      <c r="S875" s="165"/>
      <c r="T875" s="165"/>
      <c r="U875" s="165"/>
      <c r="V875" s="165"/>
      <c r="W875" s="165"/>
      <c r="X875" s="165"/>
      <c r="Y875" s="165"/>
      <c r="Z875" s="165"/>
    </row>
    <row r="876" spans="16:26" ht="10.199999999999999" customHeight="1">
      <c r="P876" s="165"/>
      <c r="Q876" s="165"/>
      <c r="R876" s="165"/>
      <c r="S876" s="165"/>
      <c r="T876" s="165"/>
      <c r="U876" s="165"/>
      <c r="V876" s="165"/>
      <c r="W876" s="165"/>
      <c r="X876" s="165"/>
      <c r="Y876" s="165"/>
      <c r="Z876" s="165"/>
    </row>
    <row r="877" spans="16:26" ht="10.199999999999999" customHeight="1">
      <c r="P877" s="165"/>
      <c r="Q877" s="165"/>
      <c r="R877" s="165"/>
      <c r="S877" s="165"/>
      <c r="T877" s="165"/>
      <c r="U877" s="165"/>
      <c r="V877" s="165"/>
      <c r="W877" s="165"/>
      <c r="X877" s="165"/>
      <c r="Y877" s="165"/>
      <c r="Z877" s="165"/>
    </row>
    <row r="878" spans="16:26" ht="10.199999999999999" customHeight="1">
      <c r="P878" s="165"/>
      <c r="Q878" s="165"/>
      <c r="R878" s="165"/>
      <c r="S878" s="165"/>
      <c r="T878" s="165"/>
      <c r="U878" s="165"/>
      <c r="V878" s="165"/>
      <c r="W878" s="165"/>
      <c r="X878" s="165"/>
      <c r="Y878" s="165"/>
      <c r="Z878" s="165"/>
    </row>
    <row r="879" spans="16:26" ht="10.199999999999999" customHeight="1">
      <c r="P879" s="165"/>
      <c r="Q879" s="165"/>
      <c r="R879" s="165"/>
      <c r="S879" s="165"/>
      <c r="T879" s="165"/>
      <c r="U879" s="165"/>
      <c r="V879" s="165"/>
      <c r="W879" s="165"/>
      <c r="X879" s="165"/>
      <c r="Y879" s="165"/>
      <c r="Z879" s="165"/>
    </row>
    <row r="880" spans="16:26" ht="10.199999999999999" customHeight="1">
      <c r="P880" s="165"/>
      <c r="Q880" s="165"/>
      <c r="R880" s="165"/>
      <c r="S880" s="165"/>
      <c r="T880" s="165"/>
      <c r="U880" s="165"/>
      <c r="V880" s="165"/>
      <c r="W880" s="165"/>
      <c r="X880" s="165"/>
      <c r="Y880" s="165"/>
      <c r="Z880" s="165"/>
    </row>
    <row r="881" spans="16:26" ht="10.199999999999999" customHeight="1">
      <c r="P881" s="165"/>
      <c r="Q881" s="165"/>
      <c r="R881" s="165"/>
      <c r="S881" s="165"/>
      <c r="T881" s="165"/>
      <c r="U881" s="165"/>
      <c r="V881" s="165"/>
      <c r="W881" s="165"/>
      <c r="X881" s="165"/>
      <c r="Y881" s="165"/>
      <c r="Z881" s="165"/>
    </row>
    <row r="882" spans="16:26" ht="10.199999999999999" customHeight="1">
      <c r="P882" s="165"/>
      <c r="Q882" s="165"/>
      <c r="R882" s="165"/>
      <c r="S882" s="165"/>
      <c r="T882" s="165"/>
      <c r="U882" s="165"/>
      <c r="V882" s="165"/>
      <c r="W882" s="165"/>
      <c r="X882" s="165"/>
      <c r="Y882" s="165"/>
      <c r="Z882" s="165"/>
    </row>
    <row r="883" spans="16:26" ht="10.199999999999999" customHeight="1">
      <c r="P883" s="165"/>
      <c r="Q883" s="165"/>
      <c r="R883" s="165"/>
      <c r="S883" s="165"/>
      <c r="T883" s="165"/>
      <c r="U883" s="165"/>
      <c r="V883" s="165"/>
      <c r="W883" s="165"/>
      <c r="X883" s="165"/>
      <c r="Y883" s="165"/>
      <c r="Z883" s="165"/>
    </row>
    <row r="884" spans="16:26" ht="10.199999999999999" customHeight="1">
      <c r="P884" s="165"/>
      <c r="Q884" s="165"/>
      <c r="R884" s="165"/>
      <c r="S884" s="165"/>
      <c r="T884" s="165"/>
      <c r="U884" s="165"/>
      <c r="V884" s="165"/>
      <c r="W884" s="165"/>
      <c r="X884" s="165"/>
      <c r="Y884" s="165"/>
      <c r="Z884" s="165"/>
    </row>
  </sheetData>
  <sheetProtection password="83B1" sheet="1" objects="1" scenarios="1" selectLockedCells="1"/>
  <pageMargins left="0.75" right="0.75" top="1" bottom="1" header="0.5" footer="0.5"/>
  <pageSetup orientation="portrait" horizontalDpi="1200" verticalDpi="1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Z884"/>
  <sheetViews>
    <sheetView workbookViewId="0">
      <selection activeCell="P1" sqref="P1"/>
    </sheetView>
  </sheetViews>
  <sheetFormatPr defaultRowHeight="10.199999999999999" customHeight="1"/>
  <cols>
    <col min="1" max="15" width="8.88671875" style="98"/>
    <col min="16" max="26" width="8.88671875" style="166"/>
    <col min="27" max="16384" width="8.88671875" style="98"/>
  </cols>
  <sheetData>
    <row r="1" spans="2:26" ht="10.199999999999999" customHeight="1">
      <c r="B1" s="98" t="s">
        <v>144</v>
      </c>
      <c r="C1" s="98" t="s">
        <v>145</v>
      </c>
      <c r="D1" s="98" t="s">
        <v>146</v>
      </c>
      <c r="E1" s="98" t="s">
        <v>147</v>
      </c>
      <c r="F1" s="98" t="s">
        <v>148</v>
      </c>
      <c r="G1" s="98" t="s">
        <v>149</v>
      </c>
      <c r="H1" s="98" t="s">
        <v>150</v>
      </c>
      <c r="I1" s="98" t="s">
        <v>151</v>
      </c>
      <c r="J1" s="98" t="s">
        <v>152</v>
      </c>
      <c r="P1" s="167"/>
      <c r="Q1" s="167"/>
      <c r="R1" s="167"/>
      <c r="S1" s="167"/>
      <c r="T1" s="167"/>
      <c r="U1" s="167"/>
      <c r="V1" s="167"/>
      <c r="W1" s="167"/>
      <c r="X1" s="167"/>
      <c r="Y1" s="167"/>
      <c r="Z1" s="167"/>
    </row>
    <row r="2" spans="2:26" ht="10.199999999999999" customHeight="1">
      <c r="B2" s="98" t="s">
        <v>153</v>
      </c>
      <c r="C2" s="98" t="s">
        <v>154</v>
      </c>
      <c r="D2" s="98" t="s">
        <v>154</v>
      </c>
      <c r="E2" s="98" t="s">
        <v>155</v>
      </c>
      <c r="F2" s="98" t="s">
        <v>155</v>
      </c>
      <c r="G2" s="98" t="s">
        <v>156</v>
      </c>
      <c r="H2" s="98" t="s">
        <v>157</v>
      </c>
      <c r="I2" s="98" t="s">
        <v>158</v>
      </c>
      <c r="J2" s="98" t="s">
        <v>159</v>
      </c>
      <c r="K2" s="98" t="s">
        <v>160</v>
      </c>
      <c r="L2" s="98" t="s">
        <v>161</v>
      </c>
      <c r="P2" s="167"/>
      <c r="Q2" s="167"/>
      <c r="R2" s="167"/>
      <c r="S2" s="167"/>
      <c r="T2" s="167"/>
      <c r="U2" s="167"/>
      <c r="V2" s="167"/>
      <c r="W2" s="167"/>
      <c r="X2" s="167"/>
      <c r="Y2" s="167"/>
      <c r="Z2" s="167"/>
    </row>
    <row r="3" spans="2:26" ht="10.199999999999999" customHeight="1">
      <c r="P3" s="167"/>
      <c r="Q3" s="167"/>
      <c r="R3" s="167"/>
      <c r="S3" s="167"/>
      <c r="T3" s="167"/>
      <c r="U3" s="167"/>
      <c r="V3" s="167"/>
      <c r="W3" s="167"/>
      <c r="X3" s="167"/>
      <c r="Y3" s="167"/>
      <c r="Z3" s="167"/>
    </row>
    <row r="4" spans="2:26" ht="10.199999999999999" customHeight="1">
      <c r="B4" s="98" t="s">
        <v>162</v>
      </c>
      <c r="C4" s="95" t="str">
        <f ca="1">IF(P1="","","L"&amp;MID(INDIRECT("P"&amp;L4),6,2))</f>
        <v/>
      </c>
      <c r="D4" s="95" t="str">
        <f ca="1">IF(P1="","",MID(INDIRECT("P"&amp;L4),SEARCH("(",INDIRECT("P"&amp;L4),1)+1,3))</f>
        <v/>
      </c>
      <c r="E4" s="95" t="str">
        <f ca="1">IF(P1="","",MID(INDIRECT("P"&amp;L4),SEARCH(")",INDIRECT("P"&amp;L4),1)+2,LEN(INDIRECT("P"&amp;L4))))</f>
        <v/>
      </c>
      <c r="F4" s="95"/>
      <c r="G4" s="95"/>
      <c r="H4" s="95"/>
      <c r="I4" s="95"/>
      <c r="J4" s="95"/>
      <c r="K4" s="95"/>
      <c r="L4" s="95" t="str">
        <f>IF(P1="","",MATCH("CASE*",P1:P10,0))</f>
        <v/>
      </c>
      <c r="M4" s="99">
        <f>ROUND(COUNT(P:P)*1.6,0)</f>
        <v>0</v>
      </c>
      <c r="P4" s="167"/>
      <c r="Q4" s="167"/>
      <c r="R4" s="167"/>
      <c r="S4" s="167"/>
      <c r="T4" s="167"/>
      <c r="U4" s="167"/>
      <c r="V4" s="167"/>
      <c r="W4" s="167"/>
      <c r="X4" s="167"/>
      <c r="Y4" s="167"/>
      <c r="Z4" s="167"/>
    </row>
    <row r="5" spans="2:26" ht="10.199999999999999" customHeight="1">
      <c r="P5" s="167"/>
      <c r="Q5" s="167"/>
      <c r="R5" s="167"/>
      <c r="S5" s="167"/>
      <c r="T5" s="167"/>
      <c r="U5" s="167"/>
      <c r="V5" s="167"/>
      <c r="W5" s="167"/>
      <c r="X5" s="167"/>
      <c r="Y5" s="167"/>
      <c r="Z5" s="167"/>
    </row>
    <row r="6" spans="2:26" ht="10.199999999999999" customHeight="1">
      <c r="B6" s="97" t="str">
        <f>IF(Calculation!BE11="","",Calculation!BE11)</f>
        <v/>
      </c>
      <c r="C6" s="99" t="str">
        <f t="shared" ref="C6:L21" ca="1" si="0">IF($M$4=0,"",VLOOKUP($B6,INDIRECT("$P$1:$Z$"&amp;$M$4),COLUMN()-1,0))</f>
        <v/>
      </c>
      <c r="D6" s="99" t="str">
        <f t="shared" ca="1" si="0"/>
        <v/>
      </c>
      <c r="E6" s="99" t="str">
        <f t="shared" ca="1" si="0"/>
        <v/>
      </c>
      <c r="F6" s="99" t="str">
        <f t="shared" ca="1" si="0"/>
        <v/>
      </c>
      <c r="G6" s="99" t="str">
        <f t="shared" ca="1" si="0"/>
        <v/>
      </c>
      <c r="H6" s="99" t="str">
        <f t="shared" ca="1" si="0"/>
        <v/>
      </c>
      <c r="I6" s="99" t="str">
        <f t="shared" ca="1" si="0"/>
        <v/>
      </c>
      <c r="J6" s="99" t="str">
        <f t="shared" ca="1" si="0"/>
        <v/>
      </c>
      <c r="K6" s="99" t="str">
        <f t="shared" ca="1" si="0"/>
        <v/>
      </c>
      <c r="L6" s="99" t="str">
        <f t="shared" ca="1" si="0"/>
        <v/>
      </c>
      <c r="P6" s="167"/>
      <c r="Q6" s="167"/>
      <c r="R6" s="167"/>
      <c r="S6" s="167"/>
      <c r="T6" s="167"/>
      <c r="U6" s="167"/>
      <c r="V6" s="167"/>
      <c r="W6" s="167"/>
      <c r="X6" s="167"/>
      <c r="Y6" s="167"/>
      <c r="Z6" s="167"/>
    </row>
    <row r="7" spans="2:26" ht="10.199999999999999" customHeight="1">
      <c r="B7" s="97" t="str">
        <f>IF(Calculation!BE12="","",Calculation!BE12)</f>
        <v/>
      </c>
      <c r="C7" s="99" t="str">
        <f t="shared" ca="1" si="0"/>
        <v/>
      </c>
      <c r="D7" s="99" t="str">
        <f t="shared" ca="1" si="0"/>
        <v/>
      </c>
      <c r="E7" s="99" t="str">
        <f t="shared" ca="1" si="0"/>
        <v/>
      </c>
      <c r="F7" s="99" t="str">
        <f t="shared" ca="1" si="0"/>
        <v/>
      </c>
      <c r="G7" s="99" t="str">
        <f t="shared" ca="1" si="0"/>
        <v/>
      </c>
      <c r="H7" s="99" t="str">
        <f t="shared" ca="1" si="0"/>
        <v/>
      </c>
      <c r="I7" s="99" t="str">
        <f t="shared" ca="1" si="0"/>
        <v/>
      </c>
      <c r="J7" s="99" t="str">
        <f t="shared" ca="1" si="0"/>
        <v/>
      </c>
      <c r="K7" s="99" t="str">
        <f t="shared" ca="1" si="0"/>
        <v/>
      </c>
      <c r="L7" s="99" t="str">
        <f t="shared" ca="1" si="0"/>
        <v/>
      </c>
      <c r="P7" s="167"/>
      <c r="Q7" s="167"/>
      <c r="R7" s="167"/>
      <c r="S7" s="167"/>
      <c r="T7" s="167"/>
      <c r="U7" s="167"/>
      <c r="V7" s="167"/>
      <c r="W7" s="167"/>
      <c r="X7" s="167"/>
      <c r="Y7" s="167"/>
      <c r="Z7" s="167"/>
    </row>
    <row r="8" spans="2:26" ht="10.199999999999999" customHeight="1">
      <c r="B8" s="97" t="str">
        <f>IF(Calculation!BE13="","",Calculation!BE13)</f>
        <v/>
      </c>
      <c r="C8" s="99" t="str">
        <f t="shared" ca="1" si="0"/>
        <v/>
      </c>
      <c r="D8" s="99" t="str">
        <f t="shared" ca="1" si="0"/>
        <v/>
      </c>
      <c r="E8" s="99" t="str">
        <f t="shared" ca="1" si="0"/>
        <v/>
      </c>
      <c r="F8" s="99" t="str">
        <f t="shared" ca="1" si="0"/>
        <v/>
      </c>
      <c r="G8" s="99" t="str">
        <f t="shared" ca="1" si="0"/>
        <v/>
      </c>
      <c r="H8" s="99" t="str">
        <f t="shared" ca="1" si="0"/>
        <v/>
      </c>
      <c r="I8" s="99" t="str">
        <f t="shared" ca="1" si="0"/>
        <v/>
      </c>
      <c r="J8" s="99" t="str">
        <f t="shared" ca="1" si="0"/>
        <v/>
      </c>
      <c r="K8" s="99" t="str">
        <f t="shared" ca="1" si="0"/>
        <v/>
      </c>
      <c r="L8" s="99" t="str">
        <f t="shared" ca="1" si="0"/>
        <v/>
      </c>
      <c r="P8" s="169"/>
      <c r="Q8" s="169"/>
      <c r="R8" s="169"/>
      <c r="S8" s="169"/>
      <c r="T8" s="169"/>
      <c r="U8" s="169"/>
      <c r="V8" s="169"/>
      <c r="W8" s="169"/>
      <c r="X8" s="169"/>
      <c r="Y8" s="169"/>
      <c r="Z8" s="169"/>
    </row>
    <row r="9" spans="2:26" ht="10.199999999999999" customHeight="1">
      <c r="B9" s="97" t="str">
        <f>IF(Calculation!BE14="","",Calculation!BE14)</f>
        <v/>
      </c>
      <c r="C9" s="99" t="str">
        <f t="shared" ca="1" si="0"/>
        <v/>
      </c>
      <c r="D9" s="99" t="str">
        <f t="shared" ca="1" si="0"/>
        <v/>
      </c>
      <c r="E9" s="99" t="str">
        <f t="shared" ca="1" si="0"/>
        <v/>
      </c>
      <c r="F9" s="99" t="str">
        <f t="shared" ca="1" si="0"/>
        <v/>
      </c>
      <c r="G9" s="99" t="str">
        <f t="shared" ca="1" si="0"/>
        <v/>
      </c>
      <c r="H9" s="99" t="str">
        <f t="shared" ca="1" si="0"/>
        <v/>
      </c>
      <c r="I9" s="99" t="str">
        <f t="shared" ca="1" si="0"/>
        <v/>
      </c>
      <c r="J9" s="99" t="str">
        <f t="shared" ca="1" si="0"/>
        <v/>
      </c>
      <c r="K9" s="99" t="str">
        <f t="shared" ca="1" si="0"/>
        <v/>
      </c>
      <c r="L9" s="99" t="str">
        <f t="shared" ca="1" si="0"/>
        <v/>
      </c>
      <c r="P9" s="167"/>
      <c r="Q9" s="167"/>
      <c r="R9" s="167"/>
      <c r="S9" s="167"/>
      <c r="T9" s="167"/>
      <c r="U9" s="167"/>
      <c r="V9" s="167"/>
      <c r="W9" s="167"/>
      <c r="X9" s="167"/>
      <c r="Y9" s="167"/>
      <c r="Z9" s="167"/>
    </row>
    <row r="10" spans="2:26" ht="10.199999999999999" customHeight="1">
      <c r="B10" s="97" t="str">
        <f>IF(Calculation!BE15="","",Calculation!BE15)</f>
        <v/>
      </c>
      <c r="C10" s="99" t="str">
        <f t="shared" ca="1" si="0"/>
        <v/>
      </c>
      <c r="D10" s="99" t="str">
        <f t="shared" ca="1" si="0"/>
        <v/>
      </c>
      <c r="E10" s="99" t="str">
        <f t="shared" ca="1" si="0"/>
        <v/>
      </c>
      <c r="F10" s="99" t="str">
        <f t="shared" ca="1" si="0"/>
        <v/>
      </c>
      <c r="G10" s="99" t="str">
        <f t="shared" ca="1" si="0"/>
        <v/>
      </c>
      <c r="H10" s="99" t="str">
        <f t="shared" ca="1" si="0"/>
        <v/>
      </c>
      <c r="I10" s="99" t="str">
        <f t="shared" ca="1" si="0"/>
        <v/>
      </c>
      <c r="J10" s="99" t="str">
        <f t="shared" ca="1" si="0"/>
        <v/>
      </c>
      <c r="K10" s="99" t="str">
        <f t="shared" ca="1" si="0"/>
        <v/>
      </c>
      <c r="L10" s="99" t="str">
        <f t="shared" ca="1" si="0"/>
        <v/>
      </c>
      <c r="P10" s="167"/>
      <c r="Q10" s="167"/>
      <c r="R10" s="167"/>
      <c r="S10" s="167"/>
      <c r="T10" s="167"/>
      <c r="U10" s="167"/>
      <c r="V10" s="167"/>
      <c r="W10" s="167"/>
      <c r="X10" s="167"/>
      <c r="Y10" s="167"/>
      <c r="Z10" s="167"/>
    </row>
    <row r="11" spans="2:26" ht="10.199999999999999" customHeight="1">
      <c r="B11" s="97" t="str">
        <f>IF(Calculation!BE16="","",Calculation!BE16)</f>
        <v/>
      </c>
      <c r="C11" s="99" t="str">
        <f t="shared" ca="1" si="0"/>
        <v/>
      </c>
      <c r="D11" s="99" t="str">
        <f t="shared" ca="1" si="0"/>
        <v/>
      </c>
      <c r="E11" s="99" t="str">
        <f t="shared" ca="1" si="0"/>
        <v/>
      </c>
      <c r="F11" s="99" t="str">
        <f t="shared" ca="1" si="0"/>
        <v/>
      </c>
      <c r="G11" s="99" t="str">
        <f t="shared" ca="1" si="0"/>
        <v/>
      </c>
      <c r="H11" s="99" t="str">
        <f t="shared" ca="1" si="0"/>
        <v/>
      </c>
      <c r="I11" s="99" t="str">
        <f t="shared" ca="1" si="0"/>
        <v/>
      </c>
      <c r="J11" s="99" t="str">
        <f t="shared" ca="1" si="0"/>
        <v/>
      </c>
      <c r="K11" s="99" t="str">
        <f t="shared" ca="1" si="0"/>
        <v/>
      </c>
      <c r="L11" s="99" t="str">
        <f t="shared" ca="1" si="0"/>
        <v/>
      </c>
      <c r="P11" s="167"/>
      <c r="Q11" s="167"/>
      <c r="R11" s="167"/>
      <c r="S11" s="167"/>
      <c r="T11" s="167"/>
      <c r="U11" s="167"/>
      <c r="V11" s="167"/>
      <c r="W11" s="167"/>
      <c r="X11" s="167"/>
      <c r="Y11" s="167"/>
      <c r="Z11" s="167"/>
    </row>
    <row r="12" spans="2:26" ht="10.199999999999999" customHeight="1">
      <c r="B12" s="97" t="str">
        <f>IF(Calculation!BE17="","",Calculation!BE17)</f>
        <v/>
      </c>
      <c r="C12" s="99" t="str">
        <f t="shared" ca="1" si="0"/>
        <v/>
      </c>
      <c r="D12" s="99" t="str">
        <f t="shared" ca="1" si="0"/>
        <v/>
      </c>
      <c r="E12" s="99" t="str">
        <f t="shared" ca="1" si="0"/>
        <v/>
      </c>
      <c r="F12" s="99" t="str">
        <f t="shared" ca="1" si="0"/>
        <v/>
      </c>
      <c r="G12" s="99" t="str">
        <f t="shared" ca="1" si="0"/>
        <v/>
      </c>
      <c r="H12" s="99" t="str">
        <f t="shared" ca="1" si="0"/>
        <v/>
      </c>
      <c r="I12" s="99" t="str">
        <f t="shared" ca="1" si="0"/>
        <v/>
      </c>
      <c r="J12" s="99" t="str">
        <f t="shared" ca="1" si="0"/>
        <v/>
      </c>
      <c r="K12" s="99" t="str">
        <f t="shared" ca="1" si="0"/>
        <v/>
      </c>
      <c r="L12" s="99" t="str">
        <f t="shared" ca="1" si="0"/>
        <v/>
      </c>
      <c r="P12" s="169"/>
      <c r="Q12" s="169"/>
      <c r="R12" s="169"/>
      <c r="S12" s="169"/>
      <c r="T12" s="169"/>
      <c r="U12" s="169"/>
      <c r="V12" s="169"/>
      <c r="W12" s="169"/>
      <c r="X12" s="169"/>
      <c r="Y12" s="169"/>
      <c r="Z12" s="169"/>
    </row>
    <row r="13" spans="2:26" ht="10.199999999999999" customHeight="1">
      <c r="B13" s="97" t="str">
        <f>IF(Calculation!BE18="","",Calculation!BE18)</f>
        <v/>
      </c>
      <c r="C13" s="99" t="str">
        <f t="shared" ca="1" si="0"/>
        <v/>
      </c>
      <c r="D13" s="99" t="str">
        <f t="shared" ca="1" si="0"/>
        <v/>
      </c>
      <c r="E13" s="99" t="str">
        <f t="shared" ca="1" si="0"/>
        <v/>
      </c>
      <c r="F13" s="99" t="str">
        <f t="shared" ca="1" si="0"/>
        <v/>
      </c>
      <c r="G13" s="99" t="str">
        <f t="shared" ca="1" si="0"/>
        <v/>
      </c>
      <c r="H13" s="99" t="str">
        <f t="shared" ca="1" si="0"/>
        <v/>
      </c>
      <c r="I13" s="99" t="str">
        <f t="shared" ca="1" si="0"/>
        <v/>
      </c>
      <c r="J13" s="99" t="str">
        <f t="shared" ca="1" si="0"/>
        <v/>
      </c>
      <c r="K13" s="99" t="str">
        <f t="shared" ca="1" si="0"/>
        <v/>
      </c>
      <c r="L13" s="99" t="str">
        <f t="shared" ca="1" si="0"/>
        <v/>
      </c>
      <c r="P13" s="167"/>
      <c r="Q13" s="167"/>
      <c r="R13" s="167"/>
      <c r="S13" s="167"/>
      <c r="T13" s="167"/>
      <c r="U13" s="167"/>
      <c r="V13" s="167"/>
      <c r="W13" s="167"/>
      <c r="X13" s="167"/>
      <c r="Y13" s="167"/>
      <c r="Z13" s="167"/>
    </row>
    <row r="14" spans="2:26" ht="10.199999999999999" customHeight="1">
      <c r="B14" s="97" t="str">
        <f>IF(Calculation!BE19="","",Calculation!BE19)</f>
        <v/>
      </c>
      <c r="C14" s="99" t="str">
        <f t="shared" ca="1" si="0"/>
        <v/>
      </c>
      <c r="D14" s="99" t="str">
        <f t="shared" ca="1" si="0"/>
        <v/>
      </c>
      <c r="E14" s="99" t="str">
        <f t="shared" ca="1" si="0"/>
        <v/>
      </c>
      <c r="F14" s="99" t="str">
        <f t="shared" ca="1" si="0"/>
        <v/>
      </c>
      <c r="G14" s="99" t="str">
        <f t="shared" ca="1" si="0"/>
        <v/>
      </c>
      <c r="H14" s="99" t="str">
        <f t="shared" ca="1" si="0"/>
        <v/>
      </c>
      <c r="I14" s="99" t="str">
        <f t="shared" ca="1" si="0"/>
        <v/>
      </c>
      <c r="J14" s="99" t="str">
        <f t="shared" ca="1" si="0"/>
        <v/>
      </c>
      <c r="K14" s="99" t="str">
        <f t="shared" ca="1" si="0"/>
        <v/>
      </c>
      <c r="L14" s="99" t="str">
        <f t="shared" ca="1" si="0"/>
        <v/>
      </c>
      <c r="P14" s="167"/>
      <c r="Q14" s="167"/>
      <c r="R14" s="167"/>
      <c r="S14" s="167"/>
      <c r="T14" s="167"/>
      <c r="U14" s="167"/>
      <c r="V14" s="167"/>
      <c r="W14" s="167"/>
      <c r="X14" s="167"/>
      <c r="Y14" s="167"/>
      <c r="Z14" s="167"/>
    </row>
    <row r="15" spans="2:26" ht="10.199999999999999" customHeight="1">
      <c r="B15" s="97" t="str">
        <f>IF(Calculation!BE20="","",Calculation!BE20)</f>
        <v/>
      </c>
      <c r="C15" s="99" t="str">
        <f t="shared" ca="1" si="0"/>
        <v/>
      </c>
      <c r="D15" s="99" t="str">
        <f t="shared" ca="1" si="0"/>
        <v/>
      </c>
      <c r="E15" s="99" t="str">
        <f t="shared" ca="1" si="0"/>
        <v/>
      </c>
      <c r="F15" s="99" t="str">
        <f t="shared" ca="1" si="0"/>
        <v/>
      </c>
      <c r="G15" s="99" t="str">
        <f t="shared" ca="1" si="0"/>
        <v/>
      </c>
      <c r="H15" s="99" t="str">
        <f t="shared" ca="1" si="0"/>
        <v/>
      </c>
      <c r="I15" s="99" t="str">
        <f t="shared" ca="1" si="0"/>
        <v/>
      </c>
      <c r="J15" s="99" t="str">
        <f t="shared" ca="1" si="0"/>
        <v/>
      </c>
      <c r="K15" s="99" t="str">
        <f t="shared" ca="1" si="0"/>
        <v/>
      </c>
      <c r="L15" s="99" t="str">
        <f t="shared" ca="1" si="0"/>
        <v/>
      </c>
      <c r="P15" s="169"/>
      <c r="Q15" s="169"/>
      <c r="R15" s="169"/>
      <c r="S15" s="169"/>
      <c r="T15" s="169"/>
      <c r="U15" s="169"/>
      <c r="V15" s="169"/>
      <c r="W15" s="169"/>
      <c r="X15" s="169"/>
      <c r="Y15" s="169"/>
      <c r="Z15" s="169"/>
    </row>
    <row r="16" spans="2:26" ht="10.199999999999999" customHeight="1">
      <c r="B16" s="97" t="str">
        <f>IF(Calculation!BE21="","",Calculation!BE21)</f>
        <v/>
      </c>
      <c r="C16" s="99" t="str">
        <f t="shared" ca="1" si="0"/>
        <v/>
      </c>
      <c r="D16" s="99" t="str">
        <f t="shared" ca="1" si="0"/>
        <v/>
      </c>
      <c r="E16" s="99" t="str">
        <f t="shared" ca="1" si="0"/>
        <v/>
      </c>
      <c r="F16" s="99" t="str">
        <f t="shared" ca="1" si="0"/>
        <v/>
      </c>
      <c r="G16" s="99" t="str">
        <f t="shared" ca="1" si="0"/>
        <v/>
      </c>
      <c r="H16" s="99" t="str">
        <f t="shared" ca="1" si="0"/>
        <v/>
      </c>
      <c r="I16" s="99" t="str">
        <f t="shared" ca="1" si="0"/>
        <v/>
      </c>
      <c r="J16" s="99" t="str">
        <f t="shared" ca="1" si="0"/>
        <v/>
      </c>
      <c r="K16" s="99" t="str">
        <f t="shared" ca="1" si="0"/>
        <v/>
      </c>
      <c r="L16" s="99" t="str">
        <f t="shared" ca="1" si="0"/>
        <v/>
      </c>
      <c r="P16" s="167"/>
      <c r="Q16" s="167"/>
      <c r="R16" s="167"/>
      <c r="S16" s="167"/>
      <c r="T16" s="167"/>
      <c r="U16" s="167"/>
      <c r="V16" s="167"/>
      <c r="W16" s="167"/>
      <c r="X16" s="167"/>
      <c r="Y16" s="167"/>
      <c r="Z16" s="167"/>
    </row>
    <row r="17" spans="2:26" ht="10.199999999999999" customHeight="1">
      <c r="B17" s="97" t="str">
        <f>IF(Calculation!BE22="","",Calculation!BE22)</f>
        <v/>
      </c>
      <c r="C17" s="99" t="str">
        <f t="shared" ca="1" si="0"/>
        <v/>
      </c>
      <c r="D17" s="99" t="str">
        <f t="shared" ca="1" si="0"/>
        <v/>
      </c>
      <c r="E17" s="99" t="str">
        <f t="shared" ca="1" si="0"/>
        <v/>
      </c>
      <c r="F17" s="99" t="str">
        <f t="shared" ca="1" si="0"/>
        <v/>
      </c>
      <c r="G17" s="99" t="str">
        <f t="shared" ca="1" si="0"/>
        <v/>
      </c>
      <c r="H17" s="99" t="str">
        <f t="shared" ca="1" si="0"/>
        <v/>
      </c>
      <c r="I17" s="99" t="str">
        <f t="shared" ca="1" si="0"/>
        <v/>
      </c>
      <c r="J17" s="99" t="str">
        <f t="shared" ca="1" si="0"/>
        <v/>
      </c>
      <c r="K17" s="99" t="str">
        <f t="shared" ca="1" si="0"/>
        <v/>
      </c>
      <c r="L17" s="99" t="str">
        <f t="shared" ca="1" si="0"/>
        <v/>
      </c>
      <c r="P17" s="167"/>
      <c r="Q17" s="167"/>
      <c r="R17" s="167"/>
      <c r="S17" s="167"/>
      <c r="T17" s="167"/>
      <c r="U17" s="167"/>
      <c r="V17" s="167"/>
      <c r="W17" s="167"/>
      <c r="X17" s="167"/>
      <c r="Y17" s="167"/>
      <c r="Z17" s="167"/>
    </row>
    <row r="18" spans="2:26" ht="10.199999999999999" customHeight="1">
      <c r="B18" s="97" t="str">
        <f>IF(Calculation!BE23="","",Calculation!BE23)</f>
        <v/>
      </c>
      <c r="C18" s="99" t="str">
        <f t="shared" ca="1" si="0"/>
        <v/>
      </c>
      <c r="D18" s="99" t="str">
        <f t="shared" ca="1" si="0"/>
        <v/>
      </c>
      <c r="E18" s="99" t="str">
        <f t="shared" ca="1" si="0"/>
        <v/>
      </c>
      <c r="F18" s="99" t="str">
        <f t="shared" ca="1" si="0"/>
        <v/>
      </c>
      <c r="G18" s="99" t="str">
        <f t="shared" ca="1" si="0"/>
        <v/>
      </c>
      <c r="H18" s="99" t="str">
        <f t="shared" ca="1" si="0"/>
        <v/>
      </c>
      <c r="I18" s="99" t="str">
        <f t="shared" ca="1" si="0"/>
        <v/>
      </c>
      <c r="J18" s="99" t="str">
        <f t="shared" ca="1" si="0"/>
        <v/>
      </c>
      <c r="K18" s="99" t="str">
        <f t="shared" ca="1" si="0"/>
        <v/>
      </c>
      <c r="L18" s="99" t="str">
        <f t="shared" ca="1" si="0"/>
        <v/>
      </c>
      <c r="P18" s="169"/>
      <c r="Q18" s="169"/>
      <c r="R18" s="169"/>
      <c r="S18" s="169"/>
      <c r="T18" s="169"/>
      <c r="U18" s="169"/>
      <c r="V18" s="169"/>
      <c r="W18" s="169"/>
      <c r="X18" s="169"/>
      <c r="Y18" s="169"/>
      <c r="Z18" s="169"/>
    </row>
    <row r="19" spans="2:26" ht="10.199999999999999" customHeight="1">
      <c r="B19" s="97" t="str">
        <f>IF(Calculation!BE24="","",Calculation!BE24)</f>
        <v/>
      </c>
      <c r="C19" s="99" t="str">
        <f t="shared" ca="1" si="0"/>
        <v/>
      </c>
      <c r="D19" s="99" t="str">
        <f t="shared" ca="1" si="0"/>
        <v/>
      </c>
      <c r="E19" s="99" t="str">
        <f t="shared" ca="1" si="0"/>
        <v/>
      </c>
      <c r="F19" s="99" t="str">
        <f t="shared" ca="1" si="0"/>
        <v/>
      </c>
      <c r="G19" s="99" t="str">
        <f t="shared" ca="1" si="0"/>
        <v/>
      </c>
      <c r="H19" s="99" t="str">
        <f t="shared" ca="1" si="0"/>
        <v/>
      </c>
      <c r="I19" s="99" t="str">
        <f t="shared" ca="1" si="0"/>
        <v/>
      </c>
      <c r="J19" s="99" t="str">
        <f t="shared" ca="1" si="0"/>
        <v/>
      </c>
      <c r="K19" s="99" t="str">
        <f t="shared" ca="1" si="0"/>
        <v/>
      </c>
      <c r="L19" s="99" t="str">
        <f t="shared" ca="1" si="0"/>
        <v/>
      </c>
      <c r="P19" s="167"/>
      <c r="Q19" s="167"/>
      <c r="R19" s="167"/>
      <c r="S19" s="167"/>
      <c r="T19" s="167"/>
      <c r="U19" s="167"/>
      <c r="V19" s="167"/>
      <c r="W19" s="167"/>
      <c r="X19" s="167"/>
      <c r="Y19" s="167"/>
      <c r="Z19" s="167"/>
    </row>
    <row r="20" spans="2:26" ht="10.199999999999999" customHeight="1">
      <c r="B20" s="97" t="str">
        <f>IF(Calculation!BE25="","",Calculation!BE25)</f>
        <v/>
      </c>
      <c r="C20" s="99" t="str">
        <f t="shared" ca="1" si="0"/>
        <v/>
      </c>
      <c r="D20" s="99" t="str">
        <f t="shared" ca="1" si="0"/>
        <v/>
      </c>
      <c r="E20" s="99" t="str">
        <f t="shared" ca="1" si="0"/>
        <v/>
      </c>
      <c r="F20" s="99" t="str">
        <f t="shared" ca="1" si="0"/>
        <v/>
      </c>
      <c r="G20" s="99" t="str">
        <f t="shared" ca="1" si="0"/>
        <v/>
      </c>
      <c r="H20" s="99" t="str">
        <f t="shared" ca="1" si="0"/>
        <v/>
      </c>
      <c r="I20" s="99" t="str">
        <f t="shared" ca="1" si="0"/>
        <v/>
      </c>
      <c r="J20" s="99" t="str">
        <f t="shared" ca="1" si="0"/>
        <v/>
      </c>
      <c r="K20" s="99" t="str">
        <f t="shared" ca="1" si="0"/>
        <v/>
      </c>
      <c r="L20" s="99" t="str">
        <f t="shared" ca="1" si="0"/>
        <v/>
      </c>
      <c r="P20" s="167"/>
      <c r="Q20" s="167"/>
      <c r="R20" s="167"/>
      <c r="S20" s="167"/>
      <c r="T20" s="167"/>
      <c r="U20" s="167"/>
      <c r="V20" s="167"/>
      <c r="W20" s="167"/>
      <c r="X20" s="167"/>
      <c r="Y20" s="167"/>
      <c r="Z20" s="167"/>
    </row>
    <row r="21" spans="2:26" ht="10.199999999999999" customHeight="1">
      <c r="B21" s="97" t="str">
        <f>IF(Calculation!BE26="","",Calculation!BE26)</f>
        <v/>
      </c>
      <c r="C21" s="99" t="str">
        <f t="shared" ca="1" si="0"/>
        <v/>
      </c>
      <c r="D21" s="99" t="str">
        <f t="shared" ca="1" si="0"/>
        <v/>
      </c>
      <c r="E21" s="99" t="str">
        <f t="shared" ca="1" si="0"/>
        <v/>
      </c>
      <c r="F21" s="99" t="str">
        <f t="shared" ca="1" si="0"/>
        <v/>
      </c>
      <c r="G21" s="99" t="str">
        <f t="shared" ca="1" si="0"/>
        <v/>
      </c>
      <c r="H21" s="99" t="str">
        <f t="shared" ca="1" si="0"/>
        <v/>
      </c>
      <c r="I21" s="99" t="str">
        <f t="shared" ca="1" si="0"/>
        <v/>
      </c>
      <c r="J21" s="99" t="str">
        <f t="shared" ca="1" si="0"/>
        <v/>
      </c>
      <c r="K21" s="99" t="str">
        <f t="shared" ca="1" si="0"/>
        <v/>
      </c>
      <c r="L21" s="99" t="str">
        <f t="shared" ca="1" si="0"/>
        <v/>
      </c>
      <c r="P21" s="169"/>
      <c r="Q21" s="169"/>
      <c r="R21" s="169"/>
      <c r="S21" s="169"/>
      <c r="T21" s="169"/>
      <c r="U21" s="169"/>
      <c r="V21" s="169"/>
      <c r="W21" s="169"/>
      <c r="X21" s="169"/>
      <c r="Y21" s="169"/>
      <c r="Z21" s="169"/>
    </row>
    <row r="22" spans="2:26" ht="10.199999999999999" customHeight="1">
      <c r="B22" s="97" t="str">
        <f>IF(Calculation!BE27="","",Calculation!BE27)</f>
        <v/>
      </c>
      <c r="C22" s="99" t="str">
        <f t="shared" ref="C22:L37" ca="1" si="1">IF($M$4=0,"",VLOOKUP($B22,INDIRECT("$P$1:$Z$"&amp;$M$4),COLUMN()-1,0))</f>
        <v/>
      </c>
      <c r="D22" s="99" t="str">
        <f t="shared" ca="1" si="1"/>
        <v/>
      </c>
      <c r="E22" s="99" t="str">
        <f t="shared" ca="1" si="1"/>
        <v/>
      </c>
      <c r="F22" s="99" t="str">
        <f t="shared" ca="1" si="1"/>
        <v/>
      </c>
      <c r="G22" s="99" t="str">
        <f t="shared" ca="1" si="1"/>
        <v/>
      </c>
      <c r="H22" s="99" t="str">
        <f t="shared" ca="1" si="1"/>
        <v/>
      </c>
      <c r="I22" s="99" t="str">
        <f t="shared" ca="1" si="1"/>
        <v/>
      </c>
      <c r="J22" s="99" t="str">
        <f t="shared" ca="1" si="1"/>
        <v/>
      </c>
      <c r="K22" s="99" t="str">
        <f t="shared" ca="1" si="1"/>
        <v/>
      </c>
      <c r="L22" s="99" t="str">
        <f t="shared" ca="1" si="1"/>
        <v/>
      </c>
      <c r="P22" s="167"/>
      <c r="Q22" s="167"/>
      <c r="R22" s="167"/>
      <c r="S22" s="167"/>
      <c r="T22" s="167"/>
      <c r="U22" s="167"/>
      <c r="V22" s="167"/>
      <c r="W22" s="167"/>
      <c r="X22" s="167"/>
      <c r="Y22" s="167"/>
      <c r="Z22" s="167"/>
    </row>
    <row r="23" spans="2:26" ht="10.199999999999999" customHeight="1">
      <c r="B23" s="97" t="str">
        <f>IF(Calculation!BE28="","",Calculation!BE28)</f>
        <v/>
      </c>
      <c r="C23" s="99" t="str">
        <f t="shared" ca="1" si="1"/>
        <v/>
      </c>
      <c r="D23" s="99" t="str">
        <f t="shared" ca="1" si="1"/>
        <v/>
      </c>
      <c r="E23" s="99" t="str">
        <f t="shared" ca="1" si="1"/>
        <v/>
      </c>
      <c r="F23" s="99" t="str">
        <f t="shared" ca="1" si="1"/>
        <v/>
      </c>
      <c r="G23" s="99" t="str">
        <f t="shared" ca="1" si="1"/>
        <v/>
      </c>
      <c r="H23" s="99" t="str">
        <f t="shared" ca="1" si="1"/>
        <v/>
      </c>
      <c r="I23" s="99" t="str">
        <f t="shared" ca="1" si="1"/>
        <v/>
      </c>
      <c r="J23" s="99" t="str">
        <f t="shared" ca="1" si="1"/>
        <v/>
      </c>
      <c r="K23" s="99" t="str">
        <f t="shared" ca="1" si="1"/>
        <v/>
      </c>
      <c r="L23" s="99" t="str">
        <f t="shared" ca="1" si="1"/>
        <v/>
      </c>
      <c r="P23" s="167"/>
      <c r="Q23" s="167"/>
      <c r="R23" s="167"/>
      <c r="S23" s="167"/>
      <c r="T23" s="167"/>
      <c r="U23" s="167"/>
      <c r="V23" s="167"/>
      <c r="W23" s="167"/>
      <c r="X23" s="167"/>
      <c r="Y23" s="167"/>
      <c r="Z23" s="167"/>
    </row>
    <row r="24" spans="2:26" ht="10.199999999999999" customHeight="1">
      <c r="B24" s="97" t="str">
        <f>IF(Calculation!BE29="","",Calculation!BE29)</f>
        <v/>
      </c>
      <c r="C24" s="99" t="str">
        <f t="shared" ca="1" si="1"/>
        <v/>
      </c>
      <c r="D24" s="99" t="str">
        <f t="shared" ca="1" si="1"/>
        <v/>
      </c>
      <c r="E24" s="99" t="str">
        <f t="shared" ca="1" si="1"/>
        <v/>
      </c>
      <c r="F24" s="99" t="str">
        <f t="shared" ca="1" si="1"/>
        <v/>
      </c>
      <c r="G24" s="99" t="str">
        <f t="shared" ca="1" si="1"/>
        <v/>
      </c>
      <c r="H24" s="99" t="str">
        <f t="shared" ca="1" si="1"/>
        <v/>
      </c>
      <c r="I24" s="99" t="str">
        <f t="shared" ca="1" si="1"/>
        <v/>
      </c>
      <c r="J24" s="99" t="str">
        <f t="shared" ca="1" si="1"/>
        <v/>
      </c>
      <c r="K24" s="99" t="str">
        <f t="shared" ca="1" si="1"/>
        <v/>
      </c>
      <c r="L24" s="99" t="str">
        <f t="shared" ca="1" si="1"/>
        <v/>
      </c>
      <c r="P24" s="169"/>
      <c r="Q24" s="169"/>
      <c r="R24" s="169"/>
      <c r="S24" s="169"/>
      <c r="T24" s="169"/>
      <c r="U24" s="169"/>
      <c r="V24" s="169"/>
      <c r="W24" s="169"/>
      <c r="X24" s="169"/>
      <c r="Y24" s="169"/>
      <c r="Z24" s="169"/>
    </row>
    <row r="25" spans="2:26" ht="10.199999999999999" customHeight="1">
      <c r="B25" s="97" t="str">
        <f>IF(Calculation!BE30="","",Calculation!BE30)</f>
        <v/>
      </c>
      <c r="C25" s="99" t="str">
        <f t="shared" ca="1" si="1"/>
        <v/>
      </c>
      <c r="D25" s="99" t="str">
        <f t="shared" ca="1" si="1"/>
        <v/>
      </c>
      <c r="E25" s="99" t="str">
        <f t="shared" ca="1" si="1"/>
        <v/>
      </c>
      <c r="F25" s="99" t="str">
        <f t="shared" ca="1" si="1"/>
        <v/>
      </c>
      <c r="G25" s="99" t="str">
        <f t="shared" ca="1" si="1"/>
        <v/>
      </c>
      <c r="H25" s="99" t="str">
        <f t="shared" ca="1" si="1"/>
        <v/>
      </c>
      <c r="I25" s="99" t="str">
        <f t="shared" ca="1" si="1"/>
        <v/>
      </c>
      <c r="J25" s="99" t="str">
        <f t="shared" ca="1" si="1"/>
        <v/>
      </c>
      <c r="K25" s="99" t="str">
        <f t="shared" ca="1" si="1"/>
        <v/>
      </c>
      <c r="L25" s="99" t="str">
        <f t="shared" ca="1" si="1"/>
        <v/>
      </c>
      <c r="P25" s="167"/>
      <c r="Q25" s="167"/>
      <c r="R25" s="167"/>
      <c r="S25" s="167"/>
      <c r="T25" s="167"/>
      <c r="U25" s="167"/>
      <c r="V25" s="167"/>
      <c r="W25" s="167"/>
      <c r="X25" s="167"/>
      <c r="Y25" s="167"/>
      <c r="Z25" s="167"/>
    </row>
    <row r="26" spans="2:26" ht="10.199999999999999" customHeight="1">
      <c r="B26" s="97" t="str">
        <f>IF(Calculation!BE31="","",Calculation!BE31)</f>
        <v/>
      </c>
      <c r="C26" s="99" t="str">
        <f t="shared" ca="1" si="1"/>
        <v/>
      </c>
      <c r="D26" s="99" t="str">
        <f t="shared" ca="1" si="1"/>
        <v/>
      </c>
      <c r="E26" s="99" t="str">
        <f t="shared" ca="1" si="1"/>
        <v/>
      </c>
      <c r="F26" s="99" t="str">
        <f t="shared" ca="1" si="1"/>
        <v/>
      </c>
      <c r="G26" s="99" t="str">
        <f t="shared" ca="1" si="1"/>
        <v/>
      </c>
      <c r="H26" s="99" t="str">
        <f t="shared" ca="1" si="1"/>
        <v/>
      </c>
      <c r="I26" s="99" t="str">
        <f t="shared" ca="1" si="1"/>
        <v/>
      </c>
      <c r="J26" s="99" t="str">
        <f t="shared" ca="1" si="1"/>
        <v/>
      </c>
      <c r="K26" s="99" t="str">
        <f t="shared" ca="1" si="1"/>
        <v/>
      </c>
      <c r="L26" s="99" t="str">
        <f t="shared" ca="1" si="1"/>
        <v/>
      </c>
      <c r="P26" s="167"/>
      <c r="Q26" s="167"/>
      <c r="R26" s="167"/>
      <c r="S26" s="167"/>
      <c r="T26" s="167"/>
      <c r="U26" s="167"/>
      <c r="V26" s="167"/>
      <c r="W26" s="167"/>
      <c r="X26" s="167"/>
      <c r="Y26" s="167"/>
      <c r="Z26" s="167"/>
    </row>
    <row r="27" spans="2:26" ht="10.199999999999999" customHeight="1">
      <c r="B27" s="97" t="str">
        <f>IF(Calculation!BE32="","",Calculation!BE32)</f>
        <v/>
      </c>
      <c r="C27" s="99" t="str">
        <f t="shared" ca="1" si="1"/>
        <v/>
      </c>
      <c r="D27" s="99" t="str">
        <f t="shared" ca="1" si="1"/>
        <v/>
      </c>
      <c r="E27" s="99" t="str">
        <f t="shared" ca="1" si="1"/>
        <v/>
      </c>
      <c r="F27" s="99" t="str">
        <f t="shared" ca="1" si="1"/>
        <v/>
      </c>
      <c r="G27" s="99" t="str">
        <f t="shared" ca="1" si="1"/>
        <v/>
      </c>
      <c r="H27" s="99" t="str">
        <f t="shared" ca="1" si="1"/>
        <v/>
      </c>
      <c r="I27" s="99" t="str">
        <f t="shared" ca="1" si="1"/>
        <v/>
      </c>
      <c r="J27" s="99" t="str">
        <f t="shared" ca="1" si="1"/>
        <v/>
      </c>
      <c r="K27" s="99" t="str">
        <f t="shared" ca="1" si="1"/>
        <v/>
      </c>
      <c r="L27" s="99" t="str">
        <f t="shared" ca="1" si="1"/>
        <v/>
      </c>
      <c r="P27" s="169"/>
      <c r="Q27" s="169"/>
      <c r="R27" s="169"/>
      <c r="S27" s="169"/>
      <c r="T27" s="169"/>
      <c r="U27" s="169"/>
      <c r="V27" s="169"/>
      <c r="W27" s="169"/>
      <c r="X27" s="169"/>
      <c r="Y27" s="169"/>
      <c r="Z27" s="169"/>
    </row>
    <row r="28" spans="2:26" ht="10.199999999999999" customHeight="1">
      <c r="B28" s="97" t="str">
        <f>IF(Calculation!BE33="","",Calculation!BE33)</f>
        <v/>
      </c>
      <c r="C28" s="99" t="str">
        <f t="shared" ca="1" si="1"/>
        <v/>
      </c>
      <c r="D28" s="99" t="str">
        <f t="shared" ca="1" si="1"/>
        <v/>
      </c>
      <c r="E28" s="99" t="str">
        <f t="shared" ca="1" si="1"/>
        <v/>
      </c>
      <c r="F28" s="99" t="str">
        <f t="shared" ca="1" si="1"/>
        <v/>
      </c>
      <c r="G28" s="99" t="str">
        <f t="shared" ca="1" si="1"/>
        <v/>
      </c>
      <c r="H28" s="99" t="str">
        <f t="shared" ca="1" si="1"/>
        <v/>
      </c>
      <c r="I28" s="99" t="str">
        <f t="shared" ca="1" si="1"/>
        <v/>
      </c>
      <c r="J28" s="99" t="str">
        <f t="shared" ca="1" si="1"/>
        <v/>
      </c>
      <c r="K28" s="99" t="str">
        <f t="shared" ca="1" si="1"/>
        <v/>
      </c>
      <c r="L28" s="99" t="str">
        <f t="shared" ca="1" si="1"/>
        <v/>
      </c>
      <c r="P28" s="167"/>
      <c r="Q28" s="167"/>
      <c r="R28" s="167"/>
      <c r="S28" s="167"/>
      <c r="T28" s="167"/>
      <c r="U28" s="167"/>
      <c r="V28" s="167"/>
      <c r="W28" s="167"/>
      <c r="X28" s="167"/>
      <c r="Y28" s="167"/>
      <c r="Z28" s="167"/>
    </row>
    <row r="29" spans="2:26" ht="10.199999999999999" customHeight="1">
      <c r="B29" s="97" t="str">
        <f>IF(Calculation!BE34="","",Calculation!BE34)</f>
        <v/>
      </c>
      <c r="C29" s="99" t="str">
        <f t="shared" ca="1" si="1"/>
        <v/>
      </c>
      <c r="D29" s="99" t="str">
        <f t="shared" ca="1" si="1"/>
        <v/>
      </c>
      <c r="E29" s="99" t="str">
        <f t="shared" ca="1" si="1"/>
        <v/>
      </c>
      <c r="F29" s="99" t="str">
        <f t="shared" ca="1" si="1"/>
        <v/>
      </c>
      <c r="G29" s="99" t="str">
        <f t="shared" ca="1" si="1"/>
        <v/>
      </c>
      <c r="H29" s="99" t="str">
        <f t="shared" ca="1" si="1"/>
        <v/>
      </c>
      <c r="I29" s="99" t="str">
        <f t="shared" ca="1" si="1"/>
        <v/>
      </c>
      <c r="J29" s="99" t="str">
        <f t="shared" ca="1" si="1"/>
        <v/>
      </c>
      <c r="K29" s="99" t="str">
        <f t="shared" ca="1" si="1"/>
        <v/>
      </c>
      <c r="L29" s="99" t="str">
        <f t="shared" ca="1" si="1"/>
        <v/>
      </c>
      <c r="P29" s="167"/>
      <c r="Q29" s="167"/>
      <c r="R29" s="167"/>
      <c r="S29" s="167"/>
      <c r="T29" s="167"/>
      <c r="U29" s="167"/>
      <c r="V29" s="167"/>
      <c r="W29" s="167"/>
      <c r="X29" s="167"/>
      <c r="Y29" s="167"/>
      <c r="Z29" s="167"/>
    </row>
    <row r="30" spans="2:26" ht="10.199999999999999" customHeight="1">
      <c r="B30" s="97" t="str">
        <f>IF(Calculation!BE35="","",Calculation!BE35)</f>
        <v/>
      </c>
      <c r="C30" s="99" t="str">
        <f t="shared" ca="1" si="1"/>
        <v/>
      </c>
      <c r="D30" s="99" t="str">
        <f t="shared" ca="1" si="1"/>
        <v/>
      </c>
      <c r="E30" s="99" t="str">
        <f t="shared" ca="1" si="1"/>
        <v/>
      </c>
      <c r="F30" s="99" t="str">
        <f t="shared" ca="1" si="1"/>
        <v/>
      </c>
      <c r="G30" s="99" t="str">
        <f t="shared" ca="1" si="1"/>
        <v/>
      </c>
      <c r="H30" s="99" t="str">
        <f t="shared" ca="1" si="1"/>
        <v/>
      </c>
      <c r="I30" s="99" t="str">
        <f t="shared" ca="1" si="1"/>
        <v/>
      </c>
      <c r="J30" s="99" t="str">
        <f t="shared" ca="1" si="1"/>
        <v/>
      </c>
      <c r="K30" s="99" t="str">
        <f t="shared" ca="1" si="1"/>
        <v/>
      </c>
      <c r="L30" s="99" t="str">
        <f t="shared" ca="1" si="1"/>
        <v/>
      </c>
      <c r="P30" s="169"/>
      <c r="Q30" s="169"/>
      <c r="R30" s="169"/>
      <c r="S30" s="169"/>
      <c r="T30" s="169"/>
      <c r="U30" s="169"/>
      <c r="V30" s="169"/>
      <c r="W30" s="169"/>
      <c r="X30" s="169"/>
      <c r="Y30" s="169"/>
      <c r="Z30" s="169"/>
    </row>
    <row r="31" spans="2:26" ht="10.199999999999999" customHeight="1">
      <c r="B31" s="97" t="str">
        <f>IF(Calculation!BE36="","",Calculation!BE36)</f>
        <v/>
      </c>
      <c r="C31" s="99" t="str">
        <f t="shared" ca="1" si="1"/>
        <v/>
      </c>
      <c r="D31" s="99" t="str">
        <f t="shared" ca="1" si="1"/>
        <v/>
      </c>
      <c r="E31" s="99" t="str">
        <f t="shared" ca="1" si="1"/>
        <v/>
      </c>
      <c r="F31" s="99" t="str">
        <f t="shared" ca="1" si="1"/>
        <v/>
      </c>
      <c r="G31" s="99" t="str">
        <f t="shared" ca="1" si="1"/>
        <v/>
      </c>
      <c r="H31" s="99" t="str">
        <f t="shared" ca="1" si="1"/>
        <v/>
      </c>
      <c r="I31" s="99" t="str">
        <f t="shared" ca="1" si="1"/>
        <v/>
      </c>
      <c r="J31" s="99" t="str">
        <f t="shared" ca="1" si="1"/>
        <v/>
      </c>
      <c r="K31" s="99" t="str">
        <f t="shared" ca="1" si="1"/>
        <v/>
      </c>
      <c r="L31" s="99" t="str">
        <f t="shared" ca="1" si="1"/>
        <v/>
      </c>
      <c r="P31" s="167"/>
      <c r="Q31" s="167"/>
      <c r="R31" s="167"/>
      <c r="S31" s="167"/>
      <c r="T31" s="167"/>
      <c r="U31" s="167"/>
      <c r="V31" s="167"/>
      <c r="W31" s="167"/>
      <c r="X31" s="167"/>
      <c r="Y31" s="167"/>
      <c r="Z31" s="167"/>
    </row>
    <row r="32" spans="2:26" ht="10.199999999999999" customHeight="1">
      <c r="B32" s="97" t="str">
        <f>IF(Calculation!BE37="","",Calculation!BE37)</f>
        <v/>
      </c>
      <c r="C32" s="99" t="str">
        <f t="shared" ca="1" si="1"/>
        <v/>
      </c>
      <c r="D32" s="99" t="str">
        <f t="shared" ca="1" si="1"/>
        <v/>
      </c>
      <c r="E32" s="99" t="str">
        <f t="shared" ca="1" si="1"/>
        <v/>
      </c>
      <c r="F32" s="99" t="str">
        <f t="shared" ca="1" si="1"/>
        <v/>
      </c>
      <c r="G32" s="99" t="str">
        <f t="shared" ca="1" si="1"/>
        <v/>
      </c>
      <c r="H32" s="99" t="str">
        <f t="shared" ca="1" si="1"/>
        <v/>
      </c>
      <c r="I32" s="99" t="str">
        <f t="shared" ca="1" si="1"/>
        <v/>
      </c>
      <c r="J32" s="99" t="str">
        <f t="shared" ca="1" si="1"/>
        <v/>
      </c>
      <c r="K32" s="99" t="str">
        <f t="shared" ca="1" si="1"/>
        <v/>
      </c>
      <c r="L32" s="99" t="str">
        <f t="shared" ca="1" si="1"/>
        <v/>
      </c>
      <c r="P32" s="167"/>
      <c r="Q32" s="167"/>
      <c r="R32" s="167"/>
      <c r="S32" s="167"/>
      <c r="T32" s="167"/>
      <c r="U32" s="167"/>
      <c r="V32" s="167"/>
      <c r="W32" s="167"/>
      <c r="X32" s="167"/>
      <c r="Y32" s="167"/>
      <c r="Z32" s="167"/>
    </row>
    <row r="33" spans="2:26" ht="10.199999999999999" customHeight="1">
      <c r="B33" s="97" t="str">
        <f>IF(Calculation!BE38="","",Calculation!BE38)</f>
        <v/>
      </c>
      <c r="C33" s="99" t="str">
        <f t="shared" ca="1" si="1"/>
        <v/>
      </c>
      <c r="D33" s="99" t="str">
        <f t="shared" ca="1" si="1"/>
        <v/>
      </c>
      <c r="E33" s="99" t="str">
        <f t="shared" ca="1" si="1"/>
        <v/>
      </c>
      <c r="F33" s="99" t="str">
        <f t="shared" ca="1" si="1"/>
        <v/>
      </c>
      <c r="G33" s="99" t="str">
        <f t="shared" ca="1" si="1"/>
        <v/>
      </c>
      <c r="H33" s="99" t="str">
        <f t="shared" ca="1" si="1"/>
        <v/>
      </c>
      <c r="I33" s="99" t="str">
        <f t="shared" ca="1" si="1"/>
        <v/>
      </c>
      <c r="J33" s="99" t="str">
        <f t="shared" ca="1" si="1"/>
        <v/>
      </c>
      <c r="K33" s="99" t="str">
        <f t="shared" ca="1" si="1"/>
        <v/>
      </c>
      <c r="L33" s="99" t="str">
        <f t="shared" ca="1" si="1"/>
        <v/>
      </c>
      <c r="P33" s="169"/>
      <c r="Q33" s="169"/>
      <c r="R33" s="169"/>
      <c r="S33" s="169"/>
      <c r="T33" s="169"/>
      <c r="U33" s="169"/>
      <c r="V33" s="169"/>
      <c r="W33" s="169"/>
      <c r="X33" s="169"/>
      <c r="Y33" s="169"/>
      <c r="Z33" s="169"/>
    </row>
    <row r="34" spans="2:26" ht="10.199999999999999" customHeight="1">
      <c r="B34" s="97" t="str">
        <f>IF(Calculation!BE39="","",Calculation!BE39)</f>
        <v/>
      </c>
      <c r="C34" s="99" t="str">
        <f t="shared" ca="1" si="1"/>
        <v/>
      </c>
      <c r="D34" s="99" t="str">
        <f t="shared" ca="1" si="1"/>
        <v/>
      </c>
      <c r="E34" s="99" t="str">
        <f t="shared" ca="1" si="1"/>
        <v/>
      </c>
      <c r="F34" s="99" t="str">
        <f t="shared" ca="1" si="1"/>
        <v/>
      </c>
      <c r="G34" s="99" t="str">
        <f t="shared" ca="1" si="1"/>
        <v/>
      </c>
      <c r="H34" s="99" t="str">
        <f t="shared" ca="1" si="1"/>
        <v/>
      </c>
      <c r="I34" s="99" t="str">
        <f t="shared" ca="1" si="1"/>
        <v/>
      </c>
      <c r="J34" s="99" t="str">
        <f t="shared" ca="1" si="1"/>
        <v/>
      </c>
      <c r="K34" s="99" t="str">
        <f t="shared" ca="1" si="1"/>
        <v/>
      </c>
      <c r="L34" s="99" t="str">
        <f t="shared" ca="1" si="1"/>
        <v/>
      </c>
      <c r="P34" s="167"/>
      <c r="Q34" s="167"/>
      <c r="R34" s="167"/>
      <c r="S34" s="167"/>
      <c r="T34" s="167"/>
      <c r="U34" s="167"/>
      <c r="V34" s="167"/>
      <c r="W34" s="167"/>
      <c r="X34" s="167"/>
      <c r="Y34" s="167"/>
      <c r="Z34" s="167"/>
    </row>
    <row r="35" spans="2:26" ht="10.199999999999999" customHeight="1">
      <c r="B35" s="97" t="str">
        <f>IF(Calculation!BE40="","",Calculation!BE40)</f>
        <v/>
      </c>
      <c r="C35" s="99" t="str">
        <f t="shared" ca="1" si="1"/>
        <v/>
      </c>
      <c r="D35" s="99" t="str">
        <f t="shared" ca="1" si="1"/>
        <v/>
      </c>
      <c r="E35" s="99" t="str">
        <f t="shared" ca="1" si="1"/>
        <v/>
      </c>
      <c r="F35" s="99" t="str">
        <f t="shared" ca="1" si="1"/>
        <v/>
      </c>
      <c r="G35" s="99" t="str">
        <f t="shared" ca="1" si="1"/>
        <v/>
      </c>
      <c r="H35" s="99" t="str">
        <f t="shared" ca="1" si="1"/>
        <v/>
      </c>
      <c r="I35" s="99" t="str">
        <f t="shared" ca="1" si="1"/>
        <v/>
      </c>
      <c r="J35" s="99" t="str">
        <f t="shared" ca="1" si="1"/>
        <v/>
      </c>
      <c r="K35" s="99" t="str">
        <f t="shared" ca="1" si="1"/>
        <v/>
      </c>
      <c r="L35" s="99" t="str">
        <f t="shared" ca="1" si="1"/>
        <v/>
      </c>
      <c r="P35" s="167"/>
      <c r="Q35" s="167"/>
      <c r="R35" s="167"/>
      <c r="S35" s="167"/>
      <c r="T35" s="167"/>
      <c r="U35" s="167"/>
      <c r="V35" s="167"/>
      <c r="W35" s="167"/>
      <c r="X35" s="167"/>
      <c r="Y35" s="167"/>
      <c r="Z35" s="167"/>
    </row>
    <row r="36" spans="2:26" ht="10.199999999999999" customHeight="1">
      <c r="B36" s="97" t="str">
        <f>IF(Calculation!BE41="","",Calculation!BE41)</f>
        <v/>
      </c>
      <c r="C36" s="99" t="str">
        <f t="shared" ca="1" si="1"/>
        <v/>
      </c>
      <c r="D36" s="99" t="str">
        <f t="shared" ca="1" si="1"/>
        <v/>
      </c>
      <c r="E36" s="99" t="str">
        <f t="shared" ca="1" si="1"/>
        <v/>
      </c>
      <c r="F36" s="99" t="str">
        <f t="shared" ca="1" si="1"/>
        <v/>
      </c>
      <c r="G36" s="99" t="str">
        <f t="shared" ca="1" si="1"/>
        <v/>
      </c>
      <c r="H36" s="99" t="str">
        <f t="shared" ca="1" si="1"/>
        <v/>
      </c>
      <c r="I36" s="99" t="str">
        <f t="shared" ca="1" si="1"/>
        <v/>
      </c>
      <c r="J36" s="99" t="str">
        <f t="shared" ca="1" si="1"/>
        <v/>
      </c>
      <c r="K36" s="99" t="str">
        <f t="shared" ca="1" si="1"/>
        <v/>
      </c>
      <c r="L36" s="99" t="str">
        <f t="shared" ca="1" si="1"/>
        <v/>
      </c>
      <c r="P36" s="169"/>
      <c r="Q36" s="169"/>
      <c r="R36" s="169"/>
      <c r="S36" s="169"/>
      <c r="T36" s="169"/>
      <c r="U36" s="169"/>
      <c r="V36" s="169"/>
      <c r="W36" s="169"/>
      <c r="X36" s="169"/>
      <c r="Y36" s="169"/>
      <c r="Z36" s="169"/>
    </row>
    <row r="37" spans="2:26" ht="10.199999999999999" customHeight="1">
      <c r="B37" s="97" t="str">
        <f>IF(Calculation!BE42="","",Calculation!BE42)</f>
        <v/>
      </c>
      <c r="C37" s="99" t="str">
        <f t="shared" ca="1" si="1"/>
        <v/>
      </c>
      <c r="D37" s="99" t="str">
        <f t="shared" ca="1" si="1"/>
        <v/>
      </c>
      <c r="E37" s="99" t="str">
        <f t="shared" ca="1" si="1"/>
        <v/>
      </c>
      <c r="F37" s="99" t="str">
        <f t="shared" ca="1" si="1"/>
        <v/>
      </c>
      <c r="G37" s="99" t="str">
        <f t="shared" ca="1" si="1"/>
        <v/>
      </c>
      <c r="H37" s="99" t="str">
        <f t="shared" ca="1" si="1"/>
        <v/>
      </c>
      <c r="I37" s="99" t="str">
        <f t="shared" ca="1" si="1"/>
        <v/>
      </c>
      <c r="J37" s="99" t="str">
        <f t="shared" ca="1" si="1"/>
        <v/>
      </c>
      <c r="K37" s="99" t="str">
        <f t="shared" ca="1" si="1"/>
        <v/>
      </c>
      <c r="L37" s="99" t="str">
        <f t="shared" ca="1" si="1"/>
        <v/>
      </c>
      <c r="P37" s="167"/>
      <c r="Q37" s="167"/>
      <c r="R37" s="167"/>
      <c r="S37" s="167"/>
      <c r="T37" s="167"/>
      <c r="U37" s="167"/>
      <c r="V37" s="167"/>
      <c r="W37" s="167"/>
      <c r="X37" s="167"/>
      <c r="Y37" s="167"/>
      <c r="Z37" s="167"/>
    </row>
    <row r="38" spans="2:26" ht="10.199999999999999" customHeight="1">
      <c r="B38" s="97" t="str">
        <f>IF(Calculation!BE43="","",Calculation!BE43)</f>
        <v/>
      </c>
      <c r="C38" s="99" t="str">
        <f t="shared" ref="C38:L53" ca="1" si="2">IF($M$4=0,"",VLOOKUP($B38,INDIRECT("$P$1:$Z$"&amp;$M$4),COLUMN()-1,0))</f>
        <v/>
      </c>
      <c r="D38" s="99" t="str">
        <f t="shared" ca="1" si="2"/>
        <v/>
      </c>
      <c r="E38" s="99" t="str">
        <f t="shared" ca="1" si="2"/>
        <v/>
      </c>
      <c r="F38" s="99" t="str">
        <f t="shared" ca="1" si="2"/>
        <v/>
      </c>
      <c r="G38" s="99" t="str">
        <f t="shared" ca="1" si="2"/>
        <v/>
      </c>
      <c r="H38" s="99" t="str">
        <f t="shared" ca="1" si="2"/>
        <v/>
      </c>
      <c r="I38" s="99" t="str">
        <f t="shared" ca="1" si="2"/>
        <v/>
      </c>
      <c r="J38" s="99" t="str">
        <f t="shared" ca="1" si="2"/>
        <v/>
      </c>
      <c r="K38" s="99" t="str">
        <f t="shared" ca="1" si="2"/>
        <v/>
      </c>
      <c r="L38" s="99" t="str">
        <f t="shared" ca="1" si="2"/>
        <v/>
      </c>
      <c r="P38" s="167"/>
      <c r="Q38" s="167"/>
      <c r="R38" s="167"/>
      <c r="S38" s="167"/>
      <c r="T38" s="167"/>
      <c r="U38" s="167"/>
      <c r="V38" s="167"/>
      <c r="W38" s="167"/>
      <c r="X38" s="167"/>
      <c r="Y38" s="167"/>
      <c r="Z38" s="167"/>
    </row>
    <row r="39" spans="2:26" ht="10.199999999999999" customHeight="1">
      <c r="B39" s="97" t="str">
        <f>IF(Calculation!BE44="","",Calculation!BE44)</f>
        <v/>
      </c>
      <c r="C39" s="99" t="str">
        <f t="shared" ca="1" si="2"/>
        <v/>
      </c>
      <c r="D39" s="99" t="str">
        <f t="shared" ca="1" si="2"/>
        <v/>
      </c>
      <c r="E39" s="99" t="str">
        <f t="shared" ca="1" si="2"/>
        <v/>
      </c>
      <c r="F39" s="99" t="str">
        <f t="shared" ca="1" si="2"/>
        <v/>
      </c>
      <c r="G39" s="99" t="str">
        <f t="shared" ca="1" si="2"/>
        <v/>
      </c>
      <c r="H39" s="99" t="str">
        <f t="shared" ca="1" si="2"/>
        <v/>
      </c>
      <c r="I39" s="99" t="str">
        <f t="shared" ca="1" si="2"/>
        <v/>
      </c>
      <c r="J39" s="99" t="str">
        <f t="shared" ca="1" si="2"/>
        <v/>
      </c>
      <c r="K39" s="99" t="str">
        <f t="shared" ca="1" si="2"/>
        <v/>
      </c>
      <c r="L39" s="99" t="str">
        <f t="shared" ca="1" si="2"/>
        <v/>
      </c>
      <c r="P39" s="169"/>
      <c r="Q39" s="169"/>
      <c r="R39" s="169"/>
      <c r="S39" s="169"/>
      <c r="T39" s="169"/>
      <c r="U39" s="169"/>
      <c r="V39" s="169"/>
      <c r="W39" s="169"/>
      <c r="X39" s="169"/>
      <c r="Y39" s="169"/>
      <c r="Z39" s="169"/>
    </row>
    <row r="40" spans="2:26" ht="10.199999999999999" customHeight="1">
      <c r="B40" s="97" t="str">
        <f>IF(Calculation!BE45="","",Calculation!BE45)</f>
        <v/>
      </c>
      <c r="C40" s="99" t="str">
        <f t="shared" ca="1" si="2"/>
        <v/>
      </c>
      <c r="D40" s="99" t="str">
        <f t="shared" ca="1" si="2"/>
        <v/>
      </c>
      <c r="E40" s="99" t="str">
        <f t="shared" ca="1" si="2"/>
        <v/>
      </c>
      <c r="F40" s="99" t="str">
        <f t="shared" ca="1" si="2"/>
        <v/>
      </c>
      <c r="G40" s="99" t="str">
        <f t="shared" ca="1" si="2"/>
        <v/>
      </c>
      <c r="H40" s="99" t="str">
        <f t="shared" ca="1" si="2"/>
        <v/>
      </c>
      <c r="I40" s="99" t="str">
        <f t="shared" ca="1" si="2"/>
        <v/>
      </c>
      <c r="J40" s="99" t="str">
        <f t="shared" ca="1" si="2"/>
        <v/>
      </c>
      <c r="K40" s="99" t="str">
        <f t="shared" ca="1" si="2"/>
        <v/>
      </c>
      <c r="L40" s="99" t="str">
        <f t="shared" ca="1" si="2"/>
        <v/>
      </c>
      <c r="P40" s="167"/>
      <c r="Q40" s="167"/>
      <c r="R40" s="167"/>
      <c r="S40" s="167"/>
      <c r="T40" s="167"/>
      <c r="U40" s="167"/>
      <c r="V40" s="167"/>
      <c r="W40" s="167"/>
      <c r="X40" s="167"/>
      <c r="Y40" s="167"/>
      <c r="Z40" s="167"/>
    </row>
    <row r="41" spans="2:26" ht="10.199999999999999" customHeight="1">
      <c r="B41" s="97" t="str">
        <f>IF(Calculation!BE47="","",Calculation!BE47)</f>
        <v/>
      </c>
      <c r="C41" s="99" t="str">
        <f t="shared" ca="1" si="2"/>
        <v/>
      </c>
      <c r="D41" s="99" t="str">
        <f t="shared" ca="1" si="2"/>
        <v/>
      </c>
      <c r="E41" s="99" t="str">
        <f t="shared" ca="1" si="2"/>
        <v/>
      </c>
      <c r="F41" s="99" t="str">
        <f t="shared" ca="1" si="2"/>
        <v/>
      </c>
      <c r="G41" s="99" t="str">
        <f t="shared" ca="1" si="2"/>
        <v/>
      </c>
      <c r="H41" s="99" t="str">
        <f t="shared" ca="1" si="2"/>
        <v/>
      </c>
      <c r="I41" s="99" t="str">
        <f t="shared" ca="1" si="2"/>
        <v/>
      </c>
      <c r="J41" s="99" t="str">
        <f t="shared" ca="1" si="2"/>
        <v/>
      </c>
      <c r="K41" s="99" t="str">
        <f t="shared" ca="1" si="2"/>
        <v/>
      </c>
      <c r="L41" s="99" t="str">
        <f t="shared" ca="1" si="2"/>
        <v/>
      </c>
      <c r="P41" s="167"/>
      <c r="Q41" s="167"/>
      <c r="R41" s="167"/>
      <c r="S41" s="167"/>
      <c r="T41" s="167"/>
      <c r="U41" s="167"/>
      <c r="V41" s="167"/>
      <c r="W41" s="167"/>
      <c r="X41" s="167"/>
      <c r="Y41" s="167"/>
      <c r="Z41" s="167"/>
    </row>
    <row r="42" spans="2:26" ht="10.199999999999999" customHeight="1">
      <c r="B42" s="97" t="str">
        <f>IF(Calculation!BE48="","",Calculation!BE48)</f>
        <v/>
      </c>
      <c r="C42" s="99" t="str">
        <f t="shared" ca="1" si="2"/>
        <v/>
      </c>
      <c r="D42" s="99" t="str">
        <f t="shared" ca="1" si="2"/>
        <v/>
      </c>
      <c r="E42" s="99" t="str">
        <f t="shared" ca="1" si="2"/>
        <v/>
      </c>
      <c r="F42" s="99" t="str">
        <f t="shared" ca="1" si="2"/>
        <v/>
      </c>
      <c r="G42" s="99" t="str">
        <f t="shared" ca="1" si="2"/>
        <v/>
      </c>
      <c r="H42" s="99" t="str">
        <f t="shared" ca="1" si="2"/>
        <v/>
      </c>
      <c r="I42" s="99" t="str">
        <f t="shared" ca="1" si="2"/>
        <v/>
      </c>
      <c r="J42" s="99" t="str">
        <f t="shared" ca="1" si="2"/>
        <v/>
      </c>
      <c r="K42" s="99" t="str">
        <f t="shared" ca="1" si="2"/>
        <v/>
      </c>
      <c r="L42" s="99" t="str">
        <f t="shared" ca="1" si="2"/>
        <v/>
      </c>
      <c r="P42" s="169"/>
      <c r="Q42" s="169"/>
      <c r="R42" s="169"/>
      <c r="S42" s="169"/>
      <c r="T42" s="169"/>
      <c r="U42" s="169"/>
      <c r="V42" s="169"/>
      <c r="W42" s="169"/>
      <c r="X42" s="169"/>
      <c r="Y42" s="169"/>
      <c r="Z42" s="169"/>
    </row>
    <row r="43" spans="2:26" ht="10.199999999999999" customHeight="1">
      <c r="B43" s="97" t="str">
        <f>IF(Calculation!BE49="","",Calculation!BE49)</f>
        <v/>
      </c>
      <c r="C43" s="99" t="str">
        <f t="shared" ca="1" si="2"/>
        <v/>
      </c>
      <c r="D43" s="99" t="str">
        <f t="shared" ca="1" si="2"/>
        <v/>
      </c>
      <c r="E43" s="99" t="str">
        <f t="shared" ca="1" si="2"/>
        <v/>
      </c>
      <c r="F43" s="99" t="str">
        <f t="shared" ca="1" si="2"/>
        <v/>
      </c>
      <c r="G43" s="99" t="str">
        <f t="shared" ca="1" si="2"/>
        <v/>
      </c>
      <c r="H43" s="99" t="str">
        <f t="shared" ca="1" si="2"/>
        <v/>
      </c>
      <c r="I43" s="99" t="str">
        <f t="shared" ca="1" si="2"/>
        <v/>
      </c>
      <c r="J43" s="99" t="str">
        <f t="shared" ca="1" si="2"/>
        <v/>
      </c>
      <c r="K43" s="99" t="str">
        <f t="shared" ca="1" si="2"/>
        <v/>
      </c>
      <c r="L43" s="99" t="str">
        <f t="shared" ca="1" si="2"/>
        <v/>
      </c>
      <c r="P43" s="167"/>
      <c r="Q43" s="167"/>
      <c r="R43" s="167"/>
      <c r="S43" s="167"/>
      <c r="T43" s="167"/>
      <c r="U43" s="167"/>
      <c r="V43" s="167"/>
      <c r="W43" s="167"/>
      <c r="X43" s="167"/>
      <c r="Y43" s="167"/>
      <c r="Z43" s="167"/>
    </row>
    <row r="44" spans="2:26" ht="10.199999999999999" customHeight="1">
      <c r="B44" s="97" t="str">
        <f>IF(Calculation!BE50="","",Calculation!BE50)</f>
        <v/>
      </c>
      <c r="C44" s="99" t="str">
        <f t="shared" ca="1" si="2"/>
        <v/>
      </c>
      <c r="D44" s="99" t="str">
        <f t="shared" ca="1" si="2"/>
        <v/>
      </c>
      <c r="E44" s="99" t="str">
        <f t="shared" ca="1" si="2"/>
        <v/>
      </c>
      <c r="F44" s="99" t="str">
        <f t="shared" ca="1" si="2"/>
        <v/>
      </c>
      <c r="G44" s="99" t="str">
        <f t="shared" ca="1" si="2"/>
        <v/>
      </c>
      <c r="H44" s="99" t="str">
        <f t="shared" ca="1" si="2"/>
        <v/>
      </c>
      <c r="I44" s="99" t="str">
        <f t="shared" ca="1" si="2"/>
        <v/>
      </c>
      <c r="J44" s="99" t="str">
        <f t="shared" ca="1" si="2"/>
        <v/>
      </c>
      <c r="K44" s="99" t="str">
        <f t="shared" ca="1" si="2"/>
        <v/>
      </c>
      <c r="L44" s="99" t="str">
        <f t="shared" ca="1" si="2"/>
        <v/>
      </c>
      <c r="P44" s="167"/>
      <c r="Q44" s="167"/>
      <c r="R44" s="167"/>
      <c r="S44" s="167"/>
      <c r="T44" s="167"/>
      <c r="U44" s="167"/>
      <c r="V44" s="167"/>
      <c r="W44" s="167"/>
      <c r="X44" s="167"/>
      <c r="Y44" s="167"/>
      <c r="Z44" s="167"/>
    </row>
    <row r="45" spans="2:26" ht="10.199999999999999" customHeight="1">
      <c r="B45" s="97" t="str">
        <f>IF(Calculation!BE51="","",Calculation!BE51)</f>
        <v/>
      </c>
      <c r="C45" s="99" t="str">
        <f t="shared" ca="1" si="2"/>
        <v/>
      </c>
      <c r="D45" s="99" t="str">
        <f t="shared" ca="1" si="2"/>
        <v/>
      </c>
      <c r="E45" s="99" t="str">
        <f t="shared" ca="1" si="2"/>
        <v/>
      </c>
      <c r="F45" s="99" t="str">
        <f t="shared" ca="1" si="2"/>
        <v/>
      </c>
      <c r="G45" s="99" t="str">
        <f t="shared" ca="1" si="2"/>
        <v/>
      </c>
      <c r="H45" s="99" t="str">
        <f t="shared" ca="1" si="2"/>
        <v/>
      </c>
      <c r="I45" s="99" t="str">
        <f t="shared" ca="1" si="2"/>
        <v/>
      </c>
      <c r="J45" s="99" t="str">
        <f t="shared" ca="1" si="2"/>
        <v/>
      </c>
      <c r="K45" s="99" t="str">
        <f t="shared" ca="1" si="2"/>
        <v/>
      </c>
      <c r="L45" s="99" t="str">
        <f t="shared" ca="1" si="2"/>
        <v/>
      </c>
      <c r="P45" s="169"/>
      <c r="Q45" s="169"/>
      <c r="R45" s="169"/>
      <c r="S45" s="169"/>
      <c r="T45" s="169"/>
      <c r="U45" s="169"/>
      <c r="V45" s="169"/>
      <c r="W45" s="169"/>
      <c r="X45" s="169"/>
      <c r="Y45" s="169"/>
      <c r="Z45" s="169"/>
    </row>
    <row r="46" spans="2:26" ht="10.199999999999999" customHeight="1">
      <c r="B46" s="97" t="str">
        <f>IF(Calculation!BE52="","",Calculation!BE52)</f>
        <v/>
      </c>
      <c r="C46" s="99" t="str">
        <f t="shared" ca="1" si="2"/>
        <v/>
      </c>
      <c r="D46" s="99" t="str">
        <f t="shared" ca="1" si="2"/>
        <v/>
      </c>
      <c r="E46" s="99" t="str">
        <f t="shared" ca="1" si="2"/>
        <v/>
      </c>
      <c r="F46" s="99" t="str">
        <f t="shared" ca="1" si="2"/>
        <v/>
      </c>
      <c r="G46" s="99" t="str">
        <f t="shared" ca="1" si="2"/>
        <v/>
      </c>
      <c r="H46" s="99" t="str">
        <f t="shared" ca="1" si="2"/>
        <v/>
      </c>
      <c r="I46" s="99" t="str">
        <f t="shared" ca="1" si="2"/>
        <v/>
      </c>
      <c r="J46" s="99" t="str">
        <f t="shared" ca="1" si="2"/>
        <v/>
      </c>
      <c r="K46" s="99" t="str">
        <f t="shared" ca="1" si="2"/>
        <v/>
      </c>
      <c r="L46" s="99" t="str">
        <f t="shared" ca="1" si="2"/>
        <v/>
      </c>
      <c r="P46" s="167"/>
      <c r="Q46" s="167"/>
      <c r="R46" s="167"/>
      <c r="S46" s="167"/>
      <c r="T46" s="167"/>
      <c r="U46" s="167"/>
      <c r="V46" s="167"/>
      <c r="W46" s="167"/>
      <c r="X46" s="167"/>
      <c r="Y46" s="167"/>
      <c r="Z46" s="167"/>
    </row>
    <row r="47" spans="2:26" ht="10.199999999999999" customHeight="1">
      <c r="B47" s="97" t="str">
        <f>IF(Calculation!BE53="","",Calculation!BE53)</f>
        <v/>
      </c>
      <c r="C47" s="99" t="str">
        <f t="shared" ca="1" si="2"/>
        <v/>
      </c>
      <c r="D47" s="99" t="str">
        <f t="shared" ca="1" si="2"/>
        <v/>
      </c>
      <c r="E47" s="99" t="str">
        <f t="shared" ca="1" si="2"/>
        <v/>
      </c>
      <c r="F47" s="99" t="str">
        <f t="shared" ca="1" si="2"/>
        <v/>
      </c>
      <c r="G47" s="99" t="str">
        <f t="shared" ca="1" si="2"/>
        <v/>
      </c>
      <c r="H47" s="99" t="str">
        <f t="shared" ca="1" si="2"/>
        <v/>
      </c>
      <c r="I47" s="99" t="str">
        <f t="shared" ca="1" si="2"/>
        <v/>
      </c>
      <c r="J47" s="99" t="str">
        <f t="shared" ca="1" si="2"/>
        <v/>
      </c>
      <c r="K47" s="99" t="str">
        <f t="shared" ca="1" si="2"/>
        <v/>
      </c>
      <c r="L47" s="99" t="str">
        <f t="shared" ca="1" si="2"/>
        <v/>
      </c>
      <c r="P47" s="167"/>
      <c r="Q47" s="167"/>
      <c r="R47" s="167"/>
      <c r="S47" s="167"/>
      <c r="T47" s="167"/>
      <c r="U47" s="167"/>
      <c r="V47" s="167"/>
      <c r="W47" s="167"/>
      <c r="X47" s="167"/>
      <c r="Y47" s="167"/>
      <c r="Z47" s="167"/>
    </row>
    <row r="48" spans="2:26" ht="10.199999999999999" customHeight="1">
      <c r="B48" s="97" t="str">
        <f>IF(Calculation!BE54="","",Calculation!BE54)</f>
        <v/>
      </c>
      <c r="C48" s="99" t="str">
        <f t="shared" ca="1" si="2"/>
        <v/>
      </c>
      <c r="D48" s="99" t="str">
        <f t="shared" ca="1" si="2"/>
        <v/>
      </c>
      <c r="E48" s="99" t="str">
        <f t="shared" ca="1" si="2"/>
        <v/>
      </c>
      <c r="F48" s="99" t="str">
        <f t="shared" ca="1" si="2"/>
        <v/>
      </c>
      <c r="G48" s="99" t="str">
        <f t="shared" ca="1" si="2"/>
        <v/>
      </c>
      <c r="H48" s="99" t="str">
        <f t="shared" ca="1" si="2"/>
        <v/>
      </c>
      <c r="I48" s="99" t="str">
        <f t="shared" ca="1" si="2"/>
        <v/>
      </c>
      <c r="J48" s="99" t="str">
        <f t="shared" ca="1" si="2"/>
        <v/>
      </c>
      <c r="K48" s="99" t="str">
        <f t="shared" ca="1" si="2"/>
        <v/>
      </c>
      <c r="L48" s="99" t="str">
        <f t="shared" ca="1" si="2"/>
        <v/>
      </c>
      <c r="P48" s="169"/>
      <c r="Q48" s="169"/>
      <c r="R48" s="169"/>
      <c r="S48" s="169"/>
      <c r="T48" s="169"/>
      <c r="U48" s="169"/>
      <c r="V48" s="169"/>
      <c r="W48" s="169"/>
      <c r="X48" s="169"/>
      <c r="Y48" s="169"/>
      <c r="Z48" s="169"/>
    </row>
    <row r="49" spans="2:26" ht="10.199999999999999" customHeight="1">
      <c r="B49" s="97" t="str">
        <f>IF(Calculation!BE55="","",Calculation!BE55)</f>
        <v/>
      </c>
      <c r="C49" s="99" t="str">
        <f t="shared" ca="1" si="2"/>
        <v/>
      </c>
      <c r="D49" s="99" t="str">
        <f t="shared" ca="1" si="2"/>
        <v/>
      </c>
      <c r="E49" s="99" t="str">
        <f t="shared" ca="1" si="2"/>
        <v/>
      </c>
      <c r="F49" s="99" t="str">
        <f t="shared" ca="1" si="2"/>
        <v/>
      </c>
      <c r="G49" s="99" t="str">
        <f t="shared" ca="1" si="2"/>
        <v/>
      </c>
      <c r="H49" s="99" t="str">
        <f t="shared" ca="1" si="2"/>
        <v/>
      </c>
      <c r="I49" s="99" t="str">
        <f t="shared" ca="1" si="2"/>
        <v/>
      </c>
      <c r="J49" s="99" t="str">
        <f t="shared" ca="1" si="2"/>
        <v/>
      </c>
      <c r="K49" s="99" t="str">
        <f t="shared" ca="1" si="2"/>
        <v/>
      </c>
      <c r="L49" s="99" t="str">
        <f t="shared" ca="1" si="2"/>
        <v/>
      </c>
      <c r="P49" s="167"/>
      <c r="Q49" s="167"/>
      <c r="R49" s="167"/>
      <c r="S49" s="167"/>
      <c r="T49" s="167"/>
      <c r="U49" s="167"/>
      <c r="V49" s="167"/>
      <c r="W49" s="167"/>
      <c r="X49" s="167"/>
      <c r="Y49" s="167"/>
      <c r="Z49" s="167"/>
    </row>
    <row r="50" spans="2:26" ht="10.199999999999999" customHeight="1">
      <c r="B50" s="97" t="str">
        <f>IF(Calculation!BE56="","",Calculation!BE56)</f>
        <v/>
      </c>
      <c r="C50" s="99" t="str">
        <f t="shared" ca="1" si="2"/>
        <v/>
      </c>
      <c r="D50" s="99" t="str">
        <f t="shared" ca="1" si="2"/>
        <v/>
      </c>
      <c r="E50" s="99" t="str">
        <f t="shared" ca="1" si="2"/>
        <v/>
      </c>
      <c r="F50" s="99" t="str">
        <f t="shared" ca="1" si="2"/>
        <v/>
      </c>
      <c r="G50" s="99" t="str">
        <f t="shared" ca="1" si="2"/>
        <v/>
      </c>
      <c r="H50" s="99" t="str">
        <f t="shared" ca="1" si="2"/>
        <v/>
      </c>
      <c r="I50" s="99" t="str">
        <f t="shared" ca="1" si="2"/>
        <v/>
      </c>
      <c r="J50" s="99" t="str">
        <f t="shared" ca="1" si="2"/>
        <v/>
      </c>
      <c r="K50" s="99" t="str">
        <f t="shared" ca="1" si="2"/>
        <v/>
      </c>
      <c r="L50" s="99" t="str">
        <f t="shared" ca="1" si="2"/>
        <v/>
      </c>
      <c r="P50" s="167"/>
      <c r="Q50" s="167"/>
      <c r="R50" s="167"/>
      <c r="S50" s="167"/>
      <c r="T50" s="167"/>
      <c r="U50" s="167"/>
      <c r="V50" s="167"/>
      <c r="W50" s="167"/>
      <c r="X50" s="167"/>
      <c r="Y50" s="167"/>
      <c r="Z50" s="167"/>
    </row>
    <row r="51" spans="2:26" ht="10.199999999999999" customHeight="1">
      <c r="B51" s="97" t="str">
        <f>IF(Calculation!BE57="","",Calculation!BE57)</f>
        <v/>
      </c>
      <c r="C51" s="99" t="str">
        <f t="shared" ca="1" si="2"/>
        <v/>
      </c>
      <c r="D51" s="99" t="str">
        <f t="shared" ca="1" si="2"/>
        <v/>
      </c>
      <c r="E51" s="99" t="str">
        <f t="shared" ca="1" si="2"/>
        <v/>
      </c>
      <c r="F51" s="99" t="str">
        <f t="shared" ca="1" si="2"/>
        <v/>
      </c>
      <c r="G51" s="99" t="str">
        <f t="shared" ca="1" si="2"/>
        <v/>
      </c>
      <c r="H51" s="99" t="str">
        <f t="shared" ca="1" si="2"/>
        <v/>
      </c>
      <c r="I51" s="99" t="str">
        <f t="shared" ca="1" si="2"/>
        <v/>
      </c>
      <c r="J51" s="99" t="str">
        <f t="shared" ca="1" si="2"/>
        <v/>
      </c>
      <c r="K51" s="99" t="str">
        <f t="shared" ca="1" si="2"/>
        <v/>
      </c>
      <c r="L51" s="99" t="str">
        <f t="shared" ca="1" si="2"/>
        <v/>
      </c>
      <c r="P51" s="169"/>
      <c r="Q51" s="169"/>
      <c r="R51" s="169"/>
      <c r="S51" s="169"/>
      <c r="T51" s="169"/>
      <c r="U51" s="169"/>
      <c r="V51" s="169"/>
      <c r="W51" s="169"/>
      <c r="X51" s="169"/>
      <c r="Y51" s="169"/>
      <c r="Z51" s="169"/>
    </row>
    <row r="52" spans="2:26" ht="10.199999999999999" customHeight="1">
      <c r="B52" s="97" t="str">
        <f>IF(Calculation!BE58="","",Calculation!BE58)</f>
        <v/>
      </c>
      <c r="C52" s="99" t="str">
        <f t="shared" ca="1" si="2"/>
        <v/>
      </c>
      <c r="D52" s="99" t="str">
        <f t="shared" ca="1" si="2"/>
        <v/>
      </c>
      <c r="E52" s="99" t="str">
        <f t="shared" ca="1" si="2"/>
        <v/>
      </c>
      <c r="F52" s="99" t="str">
        <f t="shared" ca="1" si="2"/>
        <v/>
      </c>
      <c r="G52" s="99" t="str">
        <f t="shared" ca="1" si="2"/>
        <v/>
      </c>
      <c r="H52" s="99" t="str">
        <f t="shared" ca="1" si="2"/>
        <v/>
      </c>
      <c r="I52" s="99" t="str">
        <f t="shared" ca="1" si="2"/>
        <v/>
      </c>
      <c r="J52" s="99" t="str">
        <f t="shared" ca="1" si="2"/>
        <v/>
      </c>
      <c r="K52" s="99" t="str">
        <f t="shared" ca="1" si="2"/>
        <v/>
      </c>
      <c r="L52" s="99" t="str">
        <f t="shared" ca="1" si="2"/>
        <v/>
      </c>
      <c r="P52" s="167"/>
      <c r="Q52" s="167"/>
      <c r="R52" s="167"/>
      <c r="S52" s="167"/>
      <c r="T52" s="167"/>
      <c r="U52" s="167"/>
      <c r="V52" s="167"/>
      <c r="W52" s="167"/>
      <c r="X52" s="167"/>
      <c r="Y52" s="167"/>
      <c r="Z52" s="167"/>
    </row>
    <row r="53" spans="2:26" ht="10.199999999999999" customHeight="1">
      <c r="B53" s="97" t="str">
        <f>IF(Calculation!BE59="","",Calculation!BE59)</f>
        <v/>
      </c>
      <c r="C53" s="99" t="str">
        <f t="shared" ca="1" si="2"/>
        <v/>
      </c>
      <c r="D53" s="99" t="str">
        <f t="shared" ca="1" si="2"/>
        <v/>
      </c>
      <c r="E53" s="99" t="str">
        <f t="shared" ca="1" si="2"/>
        <v/>
      </c>
      <c r="F53" s="99" t="str">
        <f t="shared" ca="1" si="2"/>
        <v/>
      </c>
      <c r="G53" s="99" t="str">
        <f t="shared" ca="1" si="2"/>
        <v/>
      </c>
      <c r="H53" s="99" t="str">
        <f t="shared" ca="1" si="2"/>
        <v/>
      </c>
      <c r="I53" s="99" t="str">
        <f t="shared" ca="1" si="2"/>
        <v/>
      </c>
      <c r="J53" s="99" t="str">
        <f t="shared" ca="1" si="2"/>
        <v/>
      </c>
      <c r="K53" s="99" t="str">
        <f t="shared" ca="1" si="2"/>
        <v/>
      </c>
      <c r="L53" s="99" t="str">
        <f t="shared" ca="1" si="2"/>
        <v/>
      </c>
      <c r="P53" s="167"/>
      <c r="Q53" s="167"/>
      <c r="R53" s="167"/>
      <c r="S53" s="167"/>
      <c r="T53" s="167"/>
      <c r="U53" s="167"/>
      <c r="V53" s="167"/>
      <c r="W53" s="167"/>
      <c r="X53" s="167"/>
      <c r="Y53" s="167"/>
      <c r="Z53" s="167"/>
    </row>
    <row r="54" spans="2:26" ht="10.199999999999999" customHeight="1">
      <c r="B54" s="97" t="str">
        <f>IF(Calculation!BE60="","",Calculation!BE60)</f>
        <v/>
      </c>
      <c r="C54" s="99" t="str">
        <f t="shared" ref="C54:L55" ca="1" si="3">IF($M$4=0,"",VLOOKUP($B54,INDIRECT("$P$1:$Z$"&amp;$M$4),COLUMN()-1,0))</f>
        <v/>
      </c>
      <c r="D54" s="99" t="str">
        <f t="shared" ca="1" si="3"/>
        <v/>
      </c>
      <c r="E54" s="99" t="str">
        <f t="shared" ca="1" si="3"/>
        <v/>
      </c>
      <c r="F54" s="99" t="str">
        <f t="shared" ca="1" si="3"/>
        <v/>
      </c>
      <c r="G54" s="99" t="str">
        <f t="shared" ca="1" si="3"/>
        <v/>
      </c>
      <c r="H54" s="99" t="str">
        <f t="shared" ca="1" si="3"/>
        <v/>
      </c>
      <c r="I54" s="99" t="str">
        <f t="shared" ca="1" si="3"/>
        <v/>
      </c>
      <c r="J54" s="99" t="str">
        <f t="shared" ca="1" si="3"/>
        <v/>
      </c>
      <c r="K54" s="99" t="str">
        <f t="shared" ca="1" si="3"/>
        <v/>
      </c>
      <c r="L54" s="99" t="str">
        <f t="shared" ca="1" si="3"/>
        <v/>
      </c>
      <c r="P54" s="169"/>
      <c r="Q54" s="169"/>
      <c r="R54" s="169"/>
      <c r="S54" s="169"/>
      <c r="T54" s="169"/>
      <c r="U54" s="169"/>
      <c r="V54" s="169"/>
      <c r="W54" s="169"/>
      <c r="X54" s="169"/>
      <c r="Y54" s="169"/>
      <c r="Z54" s="169"/>
    </row>
    <row r="55" spans="2:26" ht="10.199999999999999" customHeight="1">
      <c r="B55" s="97" t="str">
        <f>IF(Calculation!BE61="","",Calculation!BE61)</f>
        <v/>
      </c>
      <c r="C55" s="99" t="str">
        <f t="shared" ca="1" si="3"/>
        <v/>
      </c>
      <c r="D55" s="99" t="str">
        <f t="shared" ca="1" si="3"/>
        <v/>
      </c>
      <c r="E55" s="99" t="str">
        <f t="shared" ca="1" si="3"/>
        <v/>
      </c>
      <c r="F55" s="99" t="str">
        <f t="shared" ca="1" si="3"/>
        <v/>
      </c>
      <c r="G55" s="99" t="str">
        <f t="shared" ca="1" si="3"/>
        <v/>
      </c>
      <c r="H55" s="99" t="str">
        <f t="shared" ca="1" si="3"/>
        <v/>
      </c>
      <c r="I55" s="99" t="str">
        <f t="shared" ca="1" si="3"/>
        <v/>
      </c>
      <c r="J55" s="99" t="str">
        <f t="shared" ca="1" si="3"/>
        <v/>
      </c>
      <c r="K55" s="99" t="str">
        <f t="shared" ca="1" si="3"/>
        <v/>
      </c>
      <c r="L55" s="99" t="str">
        <f t="shared" ca="1" si="3"/>
        <v/>
      </c>
      <c r="P55" s="167"/>
      <c r="Q55" s="167"/>
      <c r="R55" s="167"/>
      <c r="S55" s="167"/>
      <c r="T55" s="167"/>
      <c r="U55" s="167"/>
      <c r="V55" s="167"/>
      <c r="W55" s="167"/>
      <c r="X55" s="167"/>
      <c r="Y55" s="167"/>
      <c r="Z55" s="167"/>
    </row>
    <row r="56" spans="2:26" ht="10.199999999999999" customHeight="1">
      <c r="P56" s="167"/>
      <c r="Q56" s="167"/>
      <c r="R56" s="167"/>
      <c r="S56" s="167"/>
      <c r="T56" s="167"/>
      <c r="U56" s="167"/>
      <c r="V56" s="167"/>
      <c r="W56" s="167"/>
      <c r="X56" s="167"/>
      <c r="Y56" s="167"/>
      <c r="Z56" s="167"/>
    </row>
    <row r="57" spans="2:26" ht="10.199999999999999" customHeight="1">
      <c r="P57" s="169"/>
      <c r="Q57" s="169"/>
      <c r="R57" s="169"/>
      <c r="S57" s="169"/>
      <c r="T57" s="169"/>
      <c r="U57" s="169"/>
      <c r="V57" s="169"/>
      <c r="W57" s="169"/>
      <c r="X57" s="169"/>
      <c r="Y57" s="169"/>
      <c r="Z57" s="169"/>
    </row>
    <row r="58" spans="2:26" ht="10.199999999999999" customHeight="1">
      <c r="P58" s="167"/>
      <c r="Q58" s="167"/>
      <c r="R58" s="167"/>
      <c r="S58" s="167"/>
      <c r="T58" s="167"/>
      <c r="U58" s="167"/>
      <c r="V58" s="167"/>
      <c r="W58" s="167"/>
      <c r="X58" s="167"/>
      <c r="Y58" s="167"/>
      <c r="Z58" s="167"/>
    </row>
    <row r="59" spans="2:26" ht="10.199999999999999" customHeight="1">
      <c r="P59" s="167"/>
      <c r="Q59" s="167"/>
      <c r="R59" s="167"/>
      <c r="S59" s="167"/>
      <c r="T59" s="167"/>
      <c r="U59" s="167"/>
      <c r="V59" s="167"/>
      <c r="W59" s="167"/>
      <c r="X59" s="167"/>
      <c r="Y59" s="167"/>
      <c r="Z59" s="167"/>
    </row>
    <row r="60" spans="2:26" ht="10.199999999999999" customHeight="1">
      <c r="P60" s="169"/>
      <c r="Q60" s="169"/>
      <c r="R60" s="169"/>
      <c r="S60" s="169"/>
      <c r="T60" s="169"/>
      <c r="U60" s="169"/>
      <c r="V60" s="169"/>
      <c r="W60" s="169"/>
      <c r="X60" s="169"/>
      <c r="Y60" s="169"/>
      <c r="Z60" s="169"/>
    </row>
    <row r="61" spans="2:26" ht="10.199999999999999" customHeight="1">
      <c r="P61" s="167"/>
      <c r="Q61" s="167"/>
      <c r="R61" s="167"/>
      <c r="S61" s="167"/>
      <c r="T61" s="167"/>
      <c r="U61" s="167"/>
      <c r="V61" s="167"/>
      <c r="W61" s="167"/>
      <c r="X61" s="167"/>
      <c r="Y61" s="167"/>
      <c r="Z61" s="167"/>
    </row>
    <row r="62" spans="2:26" ht="10.199999999999999" customHeight="1">
      <c r="P62" s="167"/>
      <c r="Q62" s="167"/>
      <c r="R62" s="167"/>
      <c r="S62" s="167"/>
      <c r="T62" s="167"/>
      <c r="U62" s="167"/>
      <c r="V62" s="167"/>
      <c r="W62" s="167"/>
      <c r="X62" s="167"/>
      <c r="Y62" s="167"/>
      <c r="Z62" s="167"/>
    </row>
    <row r="63" spans="2:26" ht="10.199999999999999" customHeight="1">
      <c r="P63" s="169"/>
      <c r="Q63" s="169"/>
      <c r="R63" s="169"/>
      <c r="S63" s="169"/>
      <c r="T63" s="169"/>
      <c r="U63" s="169"/>
      <c r="V63" s="169"/>
      <c r="W63" s="169"/>
      <c r="X63" s="169"/>
      <c r="Y63" s="169"/>
      <c r="Z63" s="169"/>
    </row>
    <row r="64" spans="2:26" ht="10.199999999999999" customHeight="1">
      <c r="P64" s="167"/>
      <c r="Q64" s="167"/>
      <c r="R64" s="167"/>
      <c r="S64" s="167"/>
      <c r="T64" s="167"/>
      <c r="U64" s="167"/>
      <c r="V64" s="167"/>
      <c r="W64" s="167"/>
      <c r="X64" s="167"/>
      <c r="Y64" s="167"/>
      <c r="Z64" s="167"/>
    </row>
    <row r="65" spans="16:26" ht="10.199999999999999" customHeight="1">
      <c r="P65" s="167"/>
      <c r="Q65" s="167"/>
      <c r="R65" s="167"/>
      <c r="S65" s="167"/>
      <c r="T65" s="167"/>
      <c r="U65" s="167"/>
      <c r="V65" s="167"/>
      <c r="W65" s="167"/>
      <c r="X65" s="167"/>
      <c r="Y65" s="167"/>
      <c r="Z65" s="167"/>
    </row>
    <row r="66" spans="16:26" ht="10.199999999999999" customHeight="1">
      <c r="P66" s="169"/>
      <c r="Q66" s="169"/>
      <c r="R66" s="169"/>
      <c r="S66" s="169"/>
      <c r="T66" s="169"/>
      <c r="U66" s="169"/>
      <c r="V66" s="169"/>
      <c r="W66" s="169"/>
      <c r="X66" s="169"/>
      <c r="Y66" s="169"/>
      <c r="Z66" s="169"/>
    </row>
    <row r="67" spans="16:26" ht="10.199999999999999" customHeight="1">
      <c r="P67" s="167"/>
      <c r="Q67" s="167"/>
      <c r="R67" s="167"/>
      <c r="S67" s="167"/>
      <c r="T67" s="167"/>
      <c r="U67" s="167"/>
      <c r="V67" s="167"/>
      <c r="W67" s="167"/>
      <c r="X67" s="167"/>
      <c r="Y67" s="167"/>
      <c r="Z67" s="167"/>
    </row>
    <row r="68" spans="16:26" ht="10.199999999999999" customHeight="1">
      <c r="P68" s="167"/>
      <c r="Q68" s="167"/>
      <c r="R68" s="167"/>
      <c r="S68" s="167"/>
      <c r="T68" s="167"/>
      <c r="U68" s="167"/>
      <c r="V68" s="167"/>
      <c r="W68" s="167"/>
      <c r="X68" s="167"/>
      <c r="Y68" s="167"/>
      <c r="Z68" s="167"/>
    </row>
    <row r="69" spans="16:26" ht="10.199999999999999" customHeight="1">
      <c r="P69" s="169"/>
      <c r="Q69" s="169"/>
      <c r="R69" s="169"/>
      <c r="S69" s="169"/>
      <c r="T69" s="169"/>
      <c r="U69" s="169"/>
      <c r="V69" s="169"/>
      <c r="W69" s="169"/>
      <c r="X69" s="169"/>
      <c r="Y69" s="169"/>
      <c r="Z69" s="169"/>
    </row>
    <row r="70" spans="16:26" ht="10.199999999999999" customHeight="1">
      <c r="P70" s="167"/>
      <c r="Q70" s="167"/>
      <c r="R70" s="167"/>
      <c r="S70" s="167"/>
      <c r="T70" s="167"/>
      <c r="U70" s="167"/>
      <c r="V70" s="167"/>
      <c r="W70" s="167"/>
      <c r="X70" s="167"/>
      <c r="Y70" s="167"/>
      <c r="Z70" s="167"/>
    </row>
    <row r="71" spans="16:26" ht="10.199999999999999" customHeight="1">
      <c r="P71" s="167"/>
      <c r="Q71" s="167"/>
      <c r="R71" s="167"/>
      <c r="S71" s="167"/>
      <c r="T71" s="167"/>
      <c r="U71" s="167"/>
      <c r="V71" s="167"/>
      <c r="W71" s="167"/>
      <c r="X71" s="167"/>
      <c r="Y71" s="167"/>
      <c r="Z71" s="167"/>
    </row>
    <row r="72" spans="16:26" ht="10.199999999999999" customHeight="1">
      <c r="P72" s="169"/>
      <c r="Q72" s="169"/>
      <c r="R72" s="169"/>
      <c r="S72" s="169"/>
      <c r="T72" s="169"/>
      <c r="U72" s="169"/>
      <c r="V72" s="169"/>
      <c r="W72" s="169"/>
      <c r="X72" s="169"/>
      <c r="Y72" s="169"/>
      <c r="Z72" s="169"/>
    </row>
    <row r="73" spans="16:26" ht="10.199999999999999" customHeight="1">
      <c r="P73" s="167"/>
      <c r="Q73" s="167"/>
      <c r="R73" s="167"/>
      <c r="S73" s="167"/>
      <c r="T73" s="167"/>
      <c r="U73" s="167"/>
      <c r="V73" s="167"/>
      <c r="W73" s="167"/>
      <c r="X73" s="167"/>
      <c r="Y73" s="167"/>
      <c r="Z73" s="167"/>
    </row>
    <row r="74" spans="16:26" ht="10.199999999999999" customHeight="1">
      <c r="P74" s="167"/>
      <c r="Q74" s="167"/>
      <c r="R74" s="167"/>
      <c r="S74" s="167"/>
      <c r="T74" s="167"/>
      <c r="U74" s="167"/>
      <c r="V74" s="167"/>
      <c r="W74" s="167"/>
      <c r="X74" s="167"/>
      <c r="Y74" s="167"/>
      <c r="Z74" s="167"/>
    </row>
    <row r="75" spans="16:26" ht="10.199999999999999" customHeight="1">
      <c r="P75" s="169"/>
      <c r="Q75" s="169"/>
      <c r="R75" s="169"/>
      <c r="S75" s="169"/>
      <c r="T75" s="169"/>
      <c r="U75" s="169"/>
      <c r="V75" s="169"/>
      <c r="W75" s="169"/>
      <c r="X75" s="169"/>
      <c r="Y75" s="169"/>
      <c r="Z75" s="169"/>
    </row>
    <row r="76" spans="16:26" ht="10.199999999999999" customHeight="1">
      <c r="P76" s="167"/>
      <c r="Q76" s="167"/>
      <c r="R76" s="167"/>
      <c r="S76" s="167"/>
      <c r="T76" s="167"/>
      <c r="U76" s="167"/>
      <c r="V76" s="167"/>
      <c r="W76" s="167"/>
      <c r="X76" s="167"/>
      <c r="Y76" s="167"/>
      <c r="Z76" s="167"/>
    </row>
    <row r="77" spans="16:26" ht="10.199999999999999" customHeight="1">
      <c r="P77" s="167"/>
      <c r="Q77" s="167"/>
      <c r="R77" s="167"/>
      <c r="S77" s="167"/>
      <c r="T77" s="167"/>
      <c r="U77" s="167"/>
      <c r="V77" s="167"/>
      <c r="W77" s="167"/>
      <c r="X77" s="167"/>
      <c r="Y77" s="167"/>
      <c r="Z77" s="167"/>
    </row>
    <row r="78" spans="16:26" ht="10.199999999999999" customHeight="1">
      <c r="P78" s="169"/>
      <c r="Q78" s="169"/>
      <c r="R78" s="169"/>
      <c r="S78" s="169"/>
      <c r="T78" s="169"/>
      <c r="U78" s="169"/>
      <c r="V78" s="169"/>
      <c r="W78" s="169"/>
      <c r="X78" s="169"/>
      <c r="Y78" s="169"/>
      <c r="Z78" s="169"/>
    </row>
    <row r="79" spans="16:26" ht="10.199999999999999" customHeight="1">
      <c r="P79" s="167"/>
      <c r="Q79" s="167"/>
      <c r="R79" s="167"/>
      <c r="S79" s="167"/>
      <c r="T79" s="167"/>
      <c r="U79" s="167"/>
      <c r="V79" s="167"/>
      <c r="W79" s="167"/>
      <c r="X79" s="167"/>
      <c r="Y79" s="167"/>
      <c r="Z79" s="167"/>
    </row>
    <row r="80" spans="16:26" ht="10.199999999999999" customHeight="1">
      <c r="P80" s="167"/>
      <c r="Q80" s="167"/>
      <c r="R80" s="167"/>
      <c r="S80" s="167"/>
      <c r="T80" s="167"/>
      <c r="U80" s="167"/>
      <c r="V80" s="167"/>
      <c r="W80" s="167"/>
      <c r="X80" s="167"/>
      <c r="Y80" s="167"/>
      <c r="Z80" s="167"/>
    </row>
    <row r="81" spans="16:26" ht="10.199999999999999" customHeight="1">
      <c r="P81" s="169"/>
      <c r="Q81" s="169"/>
      <c r="R81" s="169"/>
      <c r="S81" s="169"/>
      <c r="T81" s="169"/>
      <c r="U81" s="169"/>
      <c r="V81" s="169"/>
      <c r="W81" s="169"/>
      <c r="X81" s="169"/>
      <c r="Y81" s="169"/>
      <c r="Z81" s="169"/>
    </row>
    <row r="82" spans="16:26" ht="10.199999999999999" customHeight="1">
      <c r="P82" s="167"/>
      <c r="Q82" s="167"/>
      <c r="R82" s="167"/>
      <c r="S82" s="167"/>
      <c r="T82" s="167"/>
      <c r="U82" s="167"/>
      <c r="V82" s="167"/>
      <c r="W82" s="167"/>
      <c r="X82" s="167"/>
      <c r="Y82" s="167"/>
      <c r="Z82" s="167"/>
    </row>
    <row r="83" spans="16:26" ht="10.199999999999999" customHeight="1">
      <c r="P83" s="167"/>
      <c r="Q83" s="167"/>
      <c r="R83" s="167"/>
      <c r="S83" s="167"/>
      <c r="T83" s="167"/>
      <c r="U83" s="167"/>
      <c r="V83" s="167"/>
      <c r="W83" s="167"/>
      <c r="X83" s="167"/>
      <c r="Y83" s="167"/>
      <c r="Z83" s="167"/>
    </row>
    <row r="84" spans="16:26" ht="10.199999999999999" customHeight="1">
      <c r="P84" s="169"/>
      <c r="Q84" s="169"/>
      <c r="R84" s="169"/>
      <c r="S84" s="169"/>
      <c r="T84" s="169"/>
      <c r="U84" s="169"/>
      <c r="V84" s="169"/>
      <c r="W84" s="169"/>
      <c r="X84" s="169"/>
      <c r="Y84" s="169"/>
      <c r="Z84" s="169"/>
    </row>
    <row r="85" spans="16:26" ht="10.199999999999999" customHeight="1">
      <c r="P85" s="167"/>
      <c r="Q85" s="167"/>
      <c r="R85" s="167"/>
      <c r="S85" s="167"/>
      <c r="T85" s="167"/>
      <c r="U85" s="167"/>
      <c r="V85" s="167"/>
      <c r="W85" s="167"/>
      <c r="X85" s="167"/>
      <c r="Y85" s="167"/>
      <c r="Z85" s="167"/>
    </row>
    <row r="86" spans="16:26" ht="10.199999999999999" customHeight="1">
      <c r="P86" s="167"/>
      <c r="Q86" s="167"/>
      <c r="R86" s="167"/>
      <c r="S86" s="167"/>
      <c r="T86" s="167"/>
      <c r="U86" s="167"/>
      <c r="V86" s="167"/>
      <c r="W86" s="167"/>
      <c r="X86" s="167"/>
      <c r="Y86" s="167"/>
      <c r="Z86" s="167"/>
    </row>
    <row r="87" spans="16:26" ht="10.199999999999999" customHeight="1">
      <c r="P87" s="169"/>
      <c r="Q87" s="169"/>
      <c r="R87" s="169"/>
      <c r="S87" s="169"/>
      <c r="T87" s="169"/>
      <c r="U87" s="169"/>
      <c r="V87" s="169"/>
      <c r="W87" s="169"/>
      <c r="X87" s="169"/>
      <c r="Y87" s="169"/>
      <c r="Z87" s="169"/>
    </row>
    <row r="88" spans="16:26" ht="10.199999999999999" customHeight="1">
      <c r="P88" s="167"/>
      <c r="Q88" s="167"/>
      <c r="R88" s="167"/>
      <c r="S88" s="167"/>
      <c r="T88" s="167"/>
      <c r="U88" s="167"/>
      <c r="V88" s="167"/>
      <c r="W88" s="167"/>
      <c r="X88" s="167"/>
      <c r="Y88" s="167"/>
      <c r="Z88" s="167"/>
    </row>
    <row r="89" spans="16:26" ht="10.199999999999999" customHeight="1">
      <c r="P89" s="167"/>
      <c r="Q89" s="167"/>
      <c r="R89" s="167"/>
      <c r="S89" s="167"/>
      <c r="T89" s="167"/>
      <c r="U89" s="167"/>
      <c r="V89" s="167"/>
      <c r="W89" s="167"/>
      <c r="X89" s="167"/>
      <c r="Y89" s="167"/>
      <c r="Z89" s="167"/>
    </row>
    <row r="90" spans="16:26" ht="10.199999999999999" customHeight="1">
      <c r="P90" s="169"/>
      <c r="Q90" s="169"/>
      <c r="R90" s="169"/>
      <c r="S90" s="169"/>
      <c r="T90" s="169"/>
      <c r="U90" s="169"/>
      <c r="V90" s="169"/>
      <c r="W90" s="169"/>
      <c r="X90" s="169"/>
      <c r="Y90" s="169"/>
      <c r="Z90" s="169"/>
    </row>
    <row r="91" spans="16:26" ht="10.199999999999999" customHeight="1">
      <c r="P91" s="167"/>
      <c r="Q91" s="167"/>
      <c r="R91" s="167"/>
      <c r="S91" s="167"/>
      <c r="T91" s="167"/>
      <c r="U91" s="167"/>
      <c r="V91" s="167"/>
      <c r="W91" s="167"/>
      <c r="X91" s="167"/>
      <c r="Y91" s="167"/>
      <c r="Z91" s="167"/>
    </row>
    <row r="92" spans="16:26" ht="10.199999999999999" customHeight="1">
      <c r="P92" s="167"/>
      <c r="Q92" s="167"/>
      <c r="R92" s="167"/>
      <c r="S92" s="167"/>
      <c r="T92" s="167"/>
      <c r="U92" s="167"/>
      <c r="V92" s="167"/>
      <c r="W92" s="167"/>
      <c r="X92" s="167"/>
      <c r="Y92" s="167"/>
      <c r="Z92" s="167"/>
    </row>
    <row r="93" spans="16:26" ht="10.199999999999999" customHeight="1">
      <c r="P93" s="169"/>
      <c r="Q93" s="169"/>
      <c r="R93" s="169"/>
      <c r="S93" s="169"/>
      <c r="T93" s="169"/>
      <c r="U93" s="169"/>
      <c r="V93" s="169"/>
      <c r="W93" s="169"/>
      <c r="X93" s="169"/>
      <c r="Y93" s="169"/>
      <c r="Z93" s="169"/>
    </row>
    <row r="94" spans="16:26" ht="10.199999999999999" customHeight="1">
      <c r="P94" s="167"/>
      <c r="Q94" s="167"/>
      <c r="R94" s="167"/>
      <c r="S94" s="167"/>
      <c r="T94" s="167"/>
      <c r="U94" s="167"/>
      <c r="V94" s="167"/>
      <c r="W94" s="167"/>
      <c r="X94" s="167"/>
      <c r="Y94" s="167"/>
      <c r="Z94" s="167"/>
    </row>
    <row r="95" spans="16:26" ht="10.199999999999999" customHeight="1">
      <c r="P95" s="167"/>
      <c r="Q95" s="167"/>
      <c r="R95" s="167"/>
      <c r="S95" s="167"/>
      <c r="T95" s="167"/>
      <c r="U95" s="167"/>
      <c r="V95" s="167"/>
      <c r="W95" s="167"/>
      <c r="X95" s="167"/>
      <c r="Y95" s="167"/>
      <c r="Z95" s="167"/>
    </row>
    <row r="96" spans="16:26" ht="10.199999999999999" customHeight="1">
      <c r="P96" s="169"/>
      <c r="Q96" s="169"/>
      <c r="R96" s="169"/>
      <c r="S96" s="169"/>
      <c r="T96" s="169"/>
      <c r="U96" s="169"/>
      <c r="V96" s="169"/>
      <c r="W96" s="169"/>
      <c r="X96" s="169"/>
      <c r="Y96" s="169"/>
      <c r="Z96" s="169"/>
    </row>
    <row r="97" spans="16:26" ht="10.199999999999999" customHeight="1">
      <c r="P97" s="167"/>
      <c r="Q97" s="167"/>
      <c r="R97" s="167"/>
      <c r="S97" s="167"/>
      <c r="T97" s="167"/>
      <c r="U97" s="167"/>
      <c r="V97" s="167"/>
      <c r="W97" s="167"/>
      <c r="X97" s="167"/>
      <c r="Y97" s="167"/>
      <c r="Z97" s="167"/>
    </row>
    <row r="98" spans="16:26" ht="10.199999999999999" customHeight="1">
      <c r="P98" s="167"/>
      <c r="Q98" s="167"/>
      <c r="R98" s="167"/>
      <c r="S98" s="167"/>
      <c r="T98" s="167"/>
      <c r="U98" s="167"/>
      <c r="V98" s="167"/>
      <c r="W98" s="167"/>
      <c r="X98" s="167"/>
      <c r="Y98" s="167"/>
      <c r="Z98" s="167"/>
    </row>
    <row r="99" spans="16:26" ht="10.199999999999999" customHeight="1">
      <c r="P99" s="169"/>
      <c r="Q99" s="169"/>
      <c r="R99" s="169"/>
      <c r="S99" s="169"/>
      <c r="T99" s="169"/>
      <c r="U99" s="169"/>
      <c r="V99" s="169"/>
      <c r="W99" s="169"/>
      <c r="X99" s="169"/>
      <c r="Y99" s="169"/>
      <c r="Z99" s="169"/>
    </row>
    <row r="100" spans="16:26" ht="10.199999999999999" customHeight="1">
      <c r="P100" s="167"/>
      <c r="Q100" s="167"/>
      <c r="R100" s="167"/>
      <c r="S100" s="167"/>
      <c r="T100" s="167"/>
      <c r="U100" s="167"/>
      <c r="V100" s="167"/>
      <c r="W100" s="167"/>
      <c r="X100" s="167"/>
      <c r="Y100" s="167"/>
      <c r="Z100" s="167"/>
    </row>
    <row r="101" spans="16:26" ht="10.199999999999999" customHeight="1">
      <c r="P101" s="167"/>
      <c r="Q101" s="167"/>
      <c r="R101" s="167"/>
      <c r="S101" s="167"/>
      <c r="T101" s="167"/>
      <c r="U101" s="167"/>
      <c r="V101" s="167"/>
      <c r="W101" s="167"/>
      <c r="X101" s="167"/>
      <c r="Y101" s="167"/>
      <c r="Z101" s="167"/>
    </row>
    <row r="102" spans="16:26" ht="10.199999999999999" customHeight="1">
      <c r="P102" s="169"/>
      <c r="Q102" s="169"/>
      <c r="R102" s="169"/>
      <c r="S102" s="169"/>
      <c r="T102" s="169"/>
      <c r="U102" s="169"/>
      <c r="V102" s="169"/>
      <c r="W102" s="169"/>
      <c r="X102" s="169"/>
      <c r="Y102" s="169"/>
      <c r="Z102" s="169"/>
    </row>
    <row r="103" spans="16:26" ht="10.199999999999999" customHeight="1">
      <c r="P103" s="167"/>
      <c r="Q103" s="167"/>
      <c r="R103" s="167"/>
      <c r="S103" s="167"/>
      <c r="T103" s="167"/>
      <c r="U103" s="167"/>
      <c r="V103" s="167"/>
      <c r="W103" s="167"/>
      <c r="X103" s="167"/>
      <c r="Y103" s="167"/>
      <c r="Z103" s="167"/>
    </row>
    <row r="104" spans="16:26" ht="10.199999999999999" customHeight="1">
      <c r="P104" s="167"/>
      <c r="Q104" s="167"/>
      <c r="R104" s="167"/>
      <c r="S104" s="167"/>
      <c r="T104" s="167"/>
      <c r="U104" s="167"/>
      <c r="V104" s="167"/>
      <c r="W104" s="167"/>
      <c r="X104" s="167"/>
      <c r="Y104" s="167"/>
      <c r="Z104" s="167"/>
    </row>
    <row r="105" spans="16:26" ht="10.199999999999999" customHeight="1">
      <c r="P105" s="169"/>
      <c r="Q105" s="169"/>
      <c r="R105" s="169"/>
      <c r="S105" s="169"/>
      <c r="T105" s="169"/>
      <c r="U105" s="169"/>
      <c r="V105" s="169"/>
      <c r="W105" s="169"/>
      <c r="X105" s="169"/>
      <c r="Y105" s="169"/>
      <c r="Z105" s="169"/>
    </row>
    <row r="106" spans="16:26" ht="10.199999999999999" customHeight="1">
      <c r="P106" s="167"/>
      <c r="Q106" s="167"/>
      <c r="R106" s="167"/>
      <c r="S106" s="167"/>
      <c r="T106" s="167"/>
      <c r="U106" s="167"/>
      <c r="V106" s="167"/>
      <c r="W106" s="167"/>
      <c r="X106" s="167"/>
      <c r="Y106" s="167"/>
      <c r="Z106" s="167"/>
    </row>
    <row r="107" spans="16:26" ht="10.199999999999999" customHeight="1">
      <c r="P107" s="167"/>
      <c r="Q107" s="167"/>
      <c r="R107" s="167"/>
      <c r="S107" s="167"/>
      <c r="T107" s="167"/>
      <c r="U107" s="167"/>
      <c r="V107" s="167"/>
      <c r="W107" s="167"/>
      <c r="X107" s="167"/>
      <c r="Y107" s="167"/>
      <c r="Z107" s="167"/>
    </row>
    <row r="108" spans="16:26" ht="10.199999999999999" customHeight="1">
      <c r="P108" s="169"/>
      <c r="Q108" s="169"/>
      <c r="R108" s="169"/>
      <c r="S108" s="169"/>
      <c r="T108" s="169"/>
      <c r="U108" s="169"/>
      <c r="V108" s="169"/>
      <c r="W108" s="169"/>
      <c r="X108" s="169"/>
      <c r="Y108" s="169"/>
      <c r="Z108" s="169"/>
    </row>
    <row r="109" spans="16:26" ht="10.199999999999999" customHeight="1">
      <c r="P109" s="167"/>
      <c r="Q109" s="167"/>
      <c r="R109" s="167"/>
      <c r="S109" s="167"/>
      <c r="T109" s="167"/>
      <c r="U109" s="167"/>
      <c r="V109" s="167"/>
      <c r="W109" s="167"/>
      <c r="X109" s="167"/>
      <c r="Y109" s="167"/>
      <c r="Z109" s="167"/>
    </row>
    <row r="110" spans="16:26" ht="10.199999999999999" customHeight="1">
      <c r="P110" s="167"/>
      <c r="Q110" s="167"/>
      <c r="R110" s="167"/>
      <c r="S110" s="167"/>
      <c r="T110" s="167"/>
      <c r="U110" s="167"/>
      <c r="V110" s="167"/>
      <c r="W110" s="167"/>
      <c r="X110" s="167"/>
      <c r="Y110" s="167"/>
      <c r="Z110" s="167"/>
    </row>
    <row r="111" spans="16:26" ht="10.199999999999999" customHeight="1">
      <c r="P111" s="169"/>
      <c r="Q111" s="169"/>
      <c r="R111" s="169"/>
      <c r="S111" s="169"/>
      <c r="T111" s="169"/>
      <c r="U111" s="169"/>
      <c r="V111" s="169"/>
      <c r="W111" s="169"/>
      <c r="X111" s="169"/>
      <c r="Y111" s="169"/>
      <c r="Z111" s="169"/>
    </row>
    <row r="112" spans="16:26" ht="10.199999999999999" customHeight="1">
      <c r="P112" s="167"/>
      <c r="Q112" s="167"/>
      <c r="R112" s="167"/>
      <c r="S112" s="167"/>
      <c r="T112" s="167"/>
      <c r="U112" s="167"/>
      <c r="V112" s="167"/>
      <c r="W112" s="167"/>
      <c r="X112" s="167"/>
      <c r="Y112" s="167"/>
      <c r="Z112" s="167"/>
    </row>
    <row r="113" spans="16:26" ht="10.199999999999999" customHeight="1">
      <c r="P113" s="167"/>
      <c r="Q113" s="167"/>
      <c r="R113" s="167"/>
      <c r="S113" s="167"/>
      <c r="T113" s="167"/>
      <c r="U113" s="167"/>
      <c r="V113" s="167"/>
      <c r="W113" s="167"/>
      <c r="X113" s="167"/>
      <c r="Y113" s="167"/>
      <c r="Z113" s="167"/>
    </row>
    <row r="114" spans="16:26" ht="10.199999999999999" customHeight="1">
      <c r="P114" s="169"/>
      <c r="Q114" s="169"/>
      <c r="R114" s="169"/>
      <c r="S114" s="169"/>
      <c r="T114" s="169"/>
      <c r="U114" s="169"/>
      <c r="V114" s="169"/>
      <c r="W114" s="169"/>
      <c r="X114" s="169"/>
      <c r="Y114" s="169"/>
      <c r="Z114" s="169"/>
    </row>
    <row r="115" spans="16:26" ht="10.199999999999999" customHeight="1">
      <c r="P115" s="167"/>
      <c r="Q115" s="167"/>
      <c r="R115" s="167"/>
      <c r="S115" s="167"/>
      <c r="T115" s="167"/>
      <c r="U115" s="167"/>
      <c r="V115" s="167"/>
      <c r="W115" s="167"/>
      <c r="X115" s="167"/>
      <c r="Y115" s="167"/>
      <c r="Z115" s="167"/>
    </row>
    <row r="116" spans="16:26" ht="10.199999999999999" customHeight="1">
      <c r="P116" s="167"/>
      <c r="Q116" s="167"/>
      <c r="R116" s="167"/>
      <c r="S116" s="167"/>
      <c r="T116" s="167"/>
      <c r="U116" s="167"/>
      <c r="V116" s="167"/>
      <c r="W116" s="167"/>
      <c r="X116" s="167"/>
      <c r="Y116" s="167"/>
      <c r="Z116" s="167"/>
    </row>
    <row r="117" spans="16:26" ht="10.199999999999999" customHeight="1">
      <c r="P117" s="169"/>
      <c r="Q117" s="169"/>
      <c r="R117" s="169"/>
      <c r="S117" s="169"/>
      <c r="T117" s="169"/>
      <c r="U117" s="169"/>
      <c r="V117" s="169"/>
      <c r="W117" s="169"/>
      <c r="X117" s="169"/>
      <c r="Y117" s="169"/>
      <c r="Z117" s="169"/>
    </row>
    <row r="118" spans="16:26" ht="10.199999999999999" customHeight="1">
      <c r="P118" s="167"/>
      <c r="Q118" s="167"/>
      <c r="R118" s="167"/>
      <c r="S118" s="167"/>
      <c r="T118" s="167"/>
      <c r="U118" s="167"/>
      <c r="V118" s="167"/>
      <c r="W118" s="167"/>
      <c r="X118" s="167"/>
      <c r="Y118" s="167"/>
      <c r="Z118" s="167"/>
    </row>
    <row r="119" spans="16:26" ht="10.199999999999999" customHeight="1">
      <c r="P119" s="167"/>
      <c r="Q119" s="167"/>
      <c r="R119" s="167"/>
      <c r="S119" s="167"/>
      <c r="T119" s="167"/>
      <c r="U119" s="167"/>
      <c r="V119" s="167"/>
      <c r="W119" s="167"/>
      <c r="X119" s="167"/>
      <c r="Y119" s="167"/>
      <c r="Z119" s="167"/>
    </row>
    <row r="120" spans="16:26" ht="10.199999999999999" customHeight="1">
      <c r="P120" s="169"/>
      <c r="Q120" s="169"/>
      <c r="R120" s="169"/>
      <c r="S120" s="169"/>
      <c r="T120" s="169"/>
      <c r="U120" s="169"/>
      <c r="V120" s="169"/>
      <c r="W120" s="169"/>
      <c r="X120" s="169"/>
      <c r="Y120" s="169"/>
      <c r="Z120" s="169"/>
    </row>
    <row r="121" spans="16:26" ht="10.199999999999999" customHeight="1">
      <c r="P121" s="167"/>
      <c r="Q121" s="167"/>
      <c r="R121" s="167"/>
      <c r="S121" s="167"/>
      <c r="T121" s="167"/>
      <c r="U121" s="167"/>
      <c r="V121" s="167"/>
      <c r="W121" s="167"/>
      <c r="X121" s="167"/>
      <c r="Y121" s="167"/>
      <c r="Z121" s="167"/>
    </row>
    <row r="122" spans="16:26" ht="10.199999999999999" customHeight="1">
      <c r="P122" s="167"/>
      <c r="Q122" s="167"/>
      <c r="R122" s="167"/>
      <c r="S122" s="167"/>
      <c r="T122" s="167"/>
      <c r="U122" s="167"/>
      <c r="V122" s="167"/>
      <c r="W122" s="167"/>
      <c r="X122" s="167"/>
      <c r="Y122" s="167"/>
      <c r="Z122" s="167"/>
    </row>
    <row r="123" spans="16:26" ht="10.199999999999999" customHeight="1">
      <c r="P123" s="169"/>
      <c r="Q123" s="169"/>
      <c r="R123" s="169"/>
      <c r="S123" s="169"/>
      <c r="T123" s="169"/>
      <c r="U123" s="169"/>
      <c r="V123" s="169"/>
      <c r="W123" s="169"/>
      <c r="X123" s="169"/>
      <c r="Y123" s="169"/>
      <c r="Z123" s="169"/>
    </row>
    <row r="124" spans="16:26" ht="10.199999999999999" customHeight="1">
      <c r="P124" s="167"/>
      <c r="Q124" s="167"/>
      <c r="R124" s="167"/>
      <c r="S124" s="167"/>
      <c r="T124" s="167"/>
      <c r="U124" s="167"/>
      <c r="V124" s="167"/>
      <c r="W124" s="167"/>
      <c r="X124" s="167"/>
      <c r="Y124" s="167"/>
      <c r="Z124" s="167"/>
    </row>
    <row r="125" spans="16:26" ht="10.199999999999999" customHeight="1">
      <c r="P125" s="167"/>
      <c r="Q125" s="167"/>
      <c r="R125" s="167"/>
      <c r="S125" s="167"/>
      <c r="T125" s="167"/>
      <c r="U125" s="167"/>
      <c r="V125" s="167"/>
      <c r="W125" s="167"/>
      <c r="X125" s="167"/>
      <c r="Y125" s="167"/>
      <c r="Z125" s="167"/>
    </row>
    <row r="126" spans="16:26" ht="10.199999999999999" customHeight="1">
      <c r="P126" s="169"/>
      <c r="Q126" s="169"/>
      <c r="R126" s="169"/>
      <c r="S126" s="169"/>
      <c r="T126" s="169"/>
      <c r="U126" s="169"/>
      <c r="V126" s="169"/>
      <c r="W126" s="169"/>
      <c r="X126" s="169"/>
      <c r="Y126" s="169"/>
      <c r="Z126" s="169"/>
    </row>
    <row r="127" spans="16:26" ht="10.199999999999999" customHeight="1">
      <c r="P127" s="167"/>
      <c r="Q127" s="167"/>
      <c r="R127" s="167"/>
      <c r="S127" s="167"/>
      <c r="T127" s="167"/>
      <c r="U127" s="167"/>
      <c r="V127" s="167"/>
      <c r="W127" s="167"/>
      <c r="X127" s="167"/>
      <c r="Y127" s="167"/>
      <c r="Z127" s="167"/>
    </row>
    <row r="128" spans="16:26" ht="10.199999999999999" customHeight="1">
      <c r="P128" s="167"/>
      <c r="Q128" s="167"/>
      <c r="R128" s="167"/>
      <c r="S128" s="167"/>
      <c r="T128" s="167"/>
      <c r="U128" s="167"/>
      <c r="V128" s="167"/>
      <c r="W128" s="167"/>
      <c r="X128" s="167"/>
      <c r="Y128" s="167"/>
      <c r="Z128" s="167"/>
    </row>
    <row r="129" spans="16:26" ht="10.199999999999999" customHeight="1">
      <c r="P129" s="169"/>
      <c r="Q129" s="169"/>
      <c r="R129" s="169"/>
      <c r="S129" s="169"/>
      <c r="T129" s="169"/>
      <c r="U129" s="169"/>
      <c r="V129" s="169"/>
      <c r="W129" s="169"/>
      <c r="X129" s="169"/>
      <c r="Y129" s="169"/>
      <c r="Z129" s="169"/>
    </row>
    <row r="130" spans="16:26" ht="10.199999999999999" customHeight="1">
      <c r="P130" s="167"/>
      <c r="Q130" s="167"/>
      <c r="R130" s="167"/>
      <c r="S130" s="167"/>
      <c r="T130" s="167"/>
      <c r="U130" s="167"/>
      <c r="V130" s="167"/>
      <c r="W130" s="167"/>
      <c r="X130" s="167"/>
      <c r="Y130" s="167"/>
      <c r="Z130" s="167"/>
    </row>
    <row r="131" spans="16:26" ht="10.199999999999999" customHeight="1">
      <c r="P131" s="167"/>
      <c r="Q131" s="167"/>
      <c r="R131" s="167"/>
      <c r="S131" s="167"/>
      <c r="T131" s="167"/>
      <c r="U131" s="167"/>
      <c r="V131" s="167"/>
      <c r="W131" s="167"/>
      <c r="X131" s="167"/>
      <c r="Y131" s="167"/>
      <c r="Z131" s="167"/>
    </row>
    <row r="132" spans="16:26" ht="10.199999999999999" customHeight="1">
      <c r="P132" s="169"/>
      <c r="Q132" s="169"/>
      <c r="R132" s="169"/>
      <c r="S132" s="169"/>
      <c r="T132" s="169"/>
      <c r="U132" s="169"/>
      <c r="V132" s="169"/>
      <c r="W132" s="169"/>
      <c r="X132" s="169"/>
      <c r="Y132" s="169"/>
      <c r="Z132" s="169"/>
    </row>
    <row r="133" spans="16:26" ht="10.199999999999999" customHeight="1">
      <c r="P133" s="167"/>
      <c r="Q133" s="167"/>
      <c r="R133" s="167"/>
      <c r="S133" s="167"/>
      <c r="T133" s="167"/>
      <c r="U133" s="167"/>
      <c r="V133" s="167"/>
      <c r="W133" s="167"/>
      <c r="X133" s="167"/>
      <c r="Y133" s="167"/>
      <c r="Z133" s="167"/>
    </row>
    <row r="134" spans="16:26" ht="10.199999999999999" customHeight="1">
      <c r="P134" s="167"/>
      <c r="Q134" s="167"/>
      <c r="R134" s="167"/>
      <c r="S134" s="167"/>
      <c r="T134" s="167"/>
      <c r="U134" s="167"/>
      <c r="V134" s="167"/>
      <c r="W134" s="167"/>
      <c r="X134" s="167"/>
      <c r="Y134" s="167"/>
      <c r="Z134" s="167"/>
    </row>
    <row r="135" spans="16:26" ht="10.199999999999999" customHeight="1">
      <c r="P135" s="169"/>
      <c r="Q135" s="169"/>
      <c r="R135" s="169"/>
      <c r="S135" s="169"/>
      <c r="T135" s="169"/>
      <c r="U135" s="169"/>
      <c r="V135" s="169"/>
      <c r="W135" s="169"/>
      <c r="X135" s="169"/>
      <c r="Y135" s="169"/>
      <c r="Z135" s="169"/>
    </row>
    <row r="136" spans="16:26" ht="10.199999999999999" customHeight="1">
      <c r="P136" s="167"/>
      <c r="Q136" s="167"/>
      <c r="R136" s="167"/>
      <c r="S136" s="167"/>
      <c r="T136" s="167"/>
      <c r="U136" s="167"/>
      <c r="V136" s="167"/>
      <c r="W136" s="167"/>
      <c r="X136" s="167"/>
      <c r="Y136" s="167"/>
      <c r="Z136" s="167"/>
    </row>
    <row r="137" spans="16:26" ht="10.199999999999999" customHeight="1">
      <c r="P137" s="167"/>
      <c r="Q137" s="167"/>
      <c r="R137" s="167"/>
      <c r="S137" s="167"/>
      <c r="T137" s="167"/>
      <c r="U137" s="167"/>
      <c r="V137" s="167"/>
      <c r="W137" s="167"/>
      <c r="X137" s="167"/>
      <c r="Y137" s="167"/>
      <c r="Z137" s="167"/>
    </row>
    <row r="138" spans="16:26" ht="10.199999999999999" customHeight="1">
      <c r="P138" s="169"/>
      <c r="Q138" s="169"/>
      <c r="R138" s="169"/>
      <c r="S138" s="169"/>
      <c r="T138" s="169"/>
      <c r="U138" s="169"/>
      <c r="V138" s="169"/>
      <c r="W138" s="169"/>
      <c r="X138" s="169"/>
      <c r="Y138" s="169"/>
      <c r="Z138" s="169"/>
    </row>
    <row r="139" spans="16:26" ht="10.199999999999999" customHeight="1">
      <c r="P139" s="167"/>
      <c r="Q139" s="167"/>
      <c r="R139" s="167"/>
      <c r="S139" s="167"/>
      <c r="T139" s="167"/>
      <c r="U139" s="167"/>
      <c r="V139" s="167"/>
      <c r="W139" s="167"/>
      <c r="X139" s="167"/>
      <c r="Y139" s="167"/>
      <c r="Z139" s="167"/>
    </row>
    <row r="140" spans="16:26" ht="10.199999999999999" customHeight="1">
      <c r="P140" s="167"/>
      <c r="Q140" s="167"/>
      <c r="R140" s="167"/>
      <c r="S140" s="167"/>
      <c r="T140" s="167"/>
      <c r="U140" s="167"/>
      <c r="V140" s="167"/>
      <c r="W140" s="167"/>
      <c r="X140" s="167"/>
      <c r="Y140" s="167"/>
      <c r="Z140" s="167"/>
    </row>
    <row r="141" spans="16:26" ht="10.199999999999999" customHeight="1">
      <c r="P141" s="169"/>
      <c r="Q141" s="169"/>
      <c r="R141" s="169"/>
      <c r="S141" s="169"/>
      <c r="T141" s="169"/>
      <c r="U141" s="169"/>
      <c r="V141" s="169"/>
      <c r="W141" s="169"/>
      <c r="X141" s="169"/>
      <c r="Y141" s="169"/>
      <c r="Z141" s="169"/>
    </row>
    <row r="142" spans="16:26" ht="10.199999999999999" customHeight="1">
      <c r="P142" s="167"/>
      <c r="Q142" s="167"/>
      <c r="R142" s="167"/>
      <c r="S142" s="167"/>
      <c r="T142" s="167"/>
      <c r="U142" s="167"/>
      <c r="V142" s="167"/>
      <c r="W142" s="167"/>
      <c r="X142" s="167"/>
      <c r="Y142" s="167"/>
      <c r="Z142" s="167"/>
    </row>
    <row r="143" spans="16:26" ht="10.199999999999999" customHeight="1">
      <c r="P143" s="167"/>
      <c r="Q143" s="167"/>
      <c r="R143" s="167"/>
      <c r="S143" s="167"/>
      <c r="T143" s="167"/>
      <c r="U143" s="167"/>
      <c r="V143" s="167"/>
      <c r="W143" s="167"/>
      <c r="X143" s="167"/>
      <c r="Y143" s="167"/>
      <c r="Z143" s="167"/>
    </row>
    <row r="144" spans="16:26" ht="10.199999999999999" customHeight="1">
      <c r="P144" s="169"/>
      <c r="Q144" s="169"/>
      <c r="R144" s="169"/>
      <c r="S144" s="169"/>
      <c r="T144" s="169"/>
      <c r="U144" s="169"/>
      <c r="V144" s="169"/>
      <c r="W144" s="169"/>
      <c r="X144" s="169"/>
      <c r="Y144" s="169"/>
      <c r="Z144" s="169"/>
    </row>
    <row r="145" spans="16:26" ht="10.199999999999999" customHeight="1">
      <c r="P145" s="167"/>
      <c r="Q145" s="167"/>
      <c r="R145" s="167"/>
      <c r="S145" s="167"/>
      <c r="T145" s="167"/>
      <c r="U145" s="167"/>
      <c r="V145" s="167"/>
      <c r="W145" s="167"/>
      <c r="X145" s="167"/>
      <c r="Y145" s="167"/>
      <c r="Z145" s="167"/>
    </row>
    <row r="146" spans="16:26" ht="10.199999999999999" customHeight="1">
      <c r="P146" s="167"/>
      <c r="Q146" s="167"/>
      <c r="R146" s="167"/>
      <c r="S146" s="167"/>
      <c r="T146" s="167"/>
      <c r="U146" s="167"/>
      <c r="V146" s="167"/>
      <c r="W146" s="167"/>
      <c r="X146" s="167"/>
      <c r="Y146" s="167"/>
      <c r="Z146" s="167"/>
    </row>
    <row r="147" spans="16:26" ht="10.199999999999999" customHeight="1">
      <c r="P147" s="169"/>
      <c r="Q147" s="169"/>
      <c r="R147" s="169"/>
      <c r="S147" s="169"/>
      <c r="T147" s="169"/>
      <c r="U147" s="169"/>
      <c r="V147" s="169"/>
      <c r="W147" s="169"/>
      <c r="X147" s="169"/>
      <c r="Y147" s="169"/>
      <c r="Z147" s="169"/>
    </row>
    <row r="148" spans="16:26" ht="10.199999999999999" customHeight="1">
      <c r="P148" s="167"/>
      <c r="Q148" s="167"/>
      <c r="R148" s="167"/>
      <c r="S148" s="167"/>
      <c r="T148" s="167"/>
      <c r="U148" s="167"/>
      <c r="V148" s="167"/>
      <c r="W148" s="167"/>
      <c r="X148" s="167"/>
      <c r="Y148" s="167"/>
      <c r="Z148" s="167"/>
    </row>
    <row r="149" spans="16:26" ht="10.199999999999999" customHeight="1">
      <c r="P149" s="167"/>
      <c r="Q149" s="167"/>
      <c r="R149" s="167"/>
      <c r="S149" s="167"/>
      <c r="T149" s="167"/>
      <c r="U149" s="167"/>
      <c r="V149" s="167"/>
      <c r="W149" s="167"/>
      <c r="X149" s="167"/>
      <c r="Y149" s="167"/>
      <c r="Z149" s="167"/>
    </row>
    <row r="150" spans="16:26" ht="10.199999999999999" customHeight="1">
      <c r="P150" s="169"/>
      <c r="Q150" s="169"/>
      <c r="R150" s="169"/>
      <c r="S150" s="169"/>
      <c r="T150" s="169"/>
      <c r="U150" s="169"/>
      <c r="V150" s="169"/>
      <c r="W150" s="169"/>
      <c r="X150" s="169"/>
      <c r="Y150" s="169"/>
      <c r="Z150" s="169"/>
    </row>
    <row r="151" spans="16:26" ht="10.199999999999999" customHeight="1">
      <c r="P151" s="167"/>
      <c r="Q151" s="167"/>
      <c r="R151" s="167"/>
      <c r="S151" s="167"/>
      <c r="T151" s="167"/>
      <c r="U151" s="167"/>
      <c r="V151" s="167"/>
      <c r="W151" s="167"/>
      <c r="X151" s="167"/>
      <c r="Y151" s="167"/>
      <c r="Z151" s="167"/>
    </row>
    <row r="152" spans="16:26" ht="10.199999999999999" customHeight="1">
      <c r="P152" s="167"/>
      <c r="Q152" s="167"/>
      <c r="R152" s="167"/>
      <c r="S152" s="167"/>
      <c r="T152" s="167"/>
      <c r="U152" s="167"/>
      <c r="V152" s="167"/>
      <c r="W152" s="167"/>
      <c r="X152" s="167"/>
      <c r="Y152" s="167"/>
      <c r="Z152" s="167"/>
    </row>
    <row r="153" spans="16:26" ht="10.199999999999999" customHeight="1">
      <c r="P153" s="169"/>
      <c r="Q153" s="169"/>
      <c r="R153" s="169"/>
      <c r="S153" s="169"/>
      <c r="T153" s="169"/>
      <c r="U153" s="169"/>
      <c r="V153" s="169"/>
      <c r="W153" s="169"/>
      <c r="X153" s="169"/>
      <c r="Y153" s="169"/>
      <c r="Z153" s="169"/>
    </row>
    <row r="154" spans="16:26" ht="10.199999999999999" customHeight="1">
      <c r="P154" s="167"/>
      <c r="Q154" s="167"/>
      <c r="R154" s="167"/>
      <c r="S154" s="167"/>
      <c r="T154" s="167"/>
      <c r="U154" s="167"/>
      <c r="V154" s="167"/>
      <c r="W154" s="167"/>
      <c r="X154" s="167"/>
      <c r="Y154" s="167"/>
      <c r="Z154" s="167"/>
    </row>
    <row r="155" spans="16:26" ht="10.199999999999999" customHeight="1">
      <c r="P155" s="167"/>
      <c r="Q155" s="167"/>
      <c r="R155" s="167"/>
      <c r="S155" s="167"/>
      <c r="T155" s="167"/>
      <c r="U155" s="167"/>
      <c r="V155" s="167"/>
      <c r="W155" s="167"/>
      <c r="X155" s="167"/>
      <c r="Y155" s="167"/>
      <c r="Z155" s="167"/>
    </row>
    <row r="156" spans="16:26" ht="10.199999999999999" customHeight="1">
      <c r="P156" s="169"/>
      <c r="Q156" s="169"/>
      <c r="R156" s="169"/>
      <c r="S156" s="169"/>
      <c r="T156" s="169"/>
      <c r="U156" s="169"/>
      <c r="V156" s="169"/>
      <c r="W156" s="169"/>
      <c r="X156" s="169"/>
      <c r="Y156" s="169"/>
      <c r="Z156" s="169"/>
    </row>
    <row r="157" spans="16:26" ht="10.199999999999999" customHeight="1">
      <c r="P157" s="167"/>
      <c r="Q157" s="167"/>
      <c r="R157" s="167"/>
      <c r="S157" s="167"/>
      <c r="T157" s="167"/>
      <c r="U157" s="167"/>
      <c r="V157" s="167"/>
      <c r="W157" s="167"/>
      <c r="X157" s="167"/>
      <c r="Y157" s="167"/>
      <c r="Z157" s="167"/>
    </row>
    <row r="158" spans="16:26" ht="10.199999999999999" customHeight="1">
      <c r="P158" s="167"/>
      <c r="Q158" s="167"/>
      <c r="R158" s="167"/>
      <c r="S158" s="167"/>
      <c r="T158" s="167"/>
      <c r="U158" s="167"/>
      <c r="V158" s="167"/>
      <c r="W158" s="167"/>
      <c r="X158" s="167"/>
      <c r="Y158" s="167"/>
      <c r="Z158" s="167"/>
    </row>
    <row r="159" spans="16:26" ht="10.199999999999999" customHeight="1">
      <c r="P159" s="169"/>
      <c r="Q159" s="169"/>
      <c r="R159" s="169"/>
      <c r="S159" s="169"/>
      <c r="T159" s="169"/>
      <c r="U159" s="169"/>
      <c r="V159" s="169"/>
      <c r="W159" s="169"/>
      <c r="X159" s="169"/>
      <c r="Y159" s="169"/>
      <c r="Z159" s="169"/>
    </row>
    <row r="160" spans="16:26" ht="10.199999999999999" customHeight="1">
      <c r="P160" s="167"/>
      <c r="Q160" s="167"/>
      <c r="R160" s="167"/>
      <c r="S160" s="167"/>
      <c r="T160" s="167"/>
      <c r="U160" s="167"/>
      <c r="V160" s="167"/>
      <c r="W160" s="167"/>
      <c r="X160" s="167"/>
      <c r="Y160" s="167"/>
      <c r="Z160" s="167"/>
    </row>
    <row r="161" spans="16:26" ht="10.199999999999999" customHeight="1">
      <c r="P161" s="167"/>
      <c r="Q161" s="167"/>
      <c r="R161" s="167"/>
      <c r="S161" s="167"/>
      <c r="T161" s="167"/>
      <c r="U161" s="167"/>
      <c r="V161" s="167"/>
      <c r="W161" s="167"/>
      <c r="X161" s="167"/>
      <c r="Y161" s="167"/>
      <c r="Z161" s="167"/>
    </row>
    <row r="162" spans="16:26" ht="10.199999999999999" customHeight="1">
      <c r="P162" s="169"/>
      <c r="Q162" s="169"/>
      <c r="R162" s="169"/>
      <c r="S162" s="169"/>
      <c r="T162" s="169"/>
      <c r="U162" s="169"/>
      <c r="V162" s="169"/>
      <c r="W162" s="169"/>
      <c r="X162" s="169"/>
      <c r="Y162" s="169"/>
      <c r="Z162" s="169"/>
    </row>
    <row r="163" spans="16:26" ht="10.199999999999999" customHeight="1">
      <c r="P163" s="167"/>
      <c r="Q163" s="167"/>
      <c r="R163" s="167"/>
      <c r="S163" s="167"/>
      <c r="T163" s="167"/>
      <c r="U163" s="167"/>
      <c r="V163" s="167"/>
      <c r="W163" s="167"/>
      <c r="X163" s="167"/>
      <c r="Y163" s="167"/>
      <c r="Z163" s="167"/>
    </row>
    <row r="164" spans="16:26" ht="10.199999999999999" customHeight="1">
      <c r="P164" s="167"/>
      <c r="Q164" s="167"/>
      <c r="R164" s="167"/>
      <c r="S164" s="167"/>
      <c r="T164" s="167"/>
      <c r="U164" s="167"/>
      <c r="V164" s="167"/>
      <c r="W164" s="167"/>
      <c r="X164" s="167"/>
      <c r="Y164" s="167"/>
      <c r="Z164" s="167"/>
    </row>
    <row r="165" spans="16:26" ht="10.199999999999999" customHeight="1">
      <c r="P165" s="169"/>
      <c r="Q165" s="169"/>
      <c r="R165" s="169"/>
      <c r="S165" s="169"/>
      <c r="T165" s="169"/>
      <c r="U165" s="169"/>
      <c r="V165" s="169"/>
      <c r="W165" s="169"/>
      <c r="X165" s="169"/>
      <c r="Y165" s="169"/>
      <c r="Z165" s="169"/>
    </row>
    <row r="166" spans="16:26" ht="10.199999999999999" customHeight="1">
      <c r="P166" s="167"/>
      <c r="Q166" s="167"/>
      <c r="R166" s="167"/>
      <c r="S166" s="167"/>
      <c r="T166" s="167"/>
      <c r="U166" s="167"/>
      <c r="V166" s="167"/>
      <c r="W166" s="167"/>
      <c r="X166" s="167"/>
      <c r="Y166" s="167"/>
      <c r="Z166" s="167"/>
    </row>
    <row r="167" spans="16:26" ht="10.199999999999999" customHeight="1">
      <c r="P167" s="167"/>
      <c r="Q167" s="167"/>
      <c r="R167" s="167"/>
      <c r="S167" s="167"/>
      <c r="T167" s="167"/>
      <c r="U167" s="167"/>
      <c r="V167" s="167"/>
      <c r="W167" s="167"/>
      <c r="X167" s="167"/>
      <c r="Y167" s="167"/>
      <c r="Z167" s="167"/>
    </row>
    <row r="168" spans="16:26" ht="10.199999999999999" customHeight="1">
      <c r="P168" s="169"/>
      <c r="Q168" s="169"/>
      <c r="R168" s="169"/>
      <c r="S168" s="169"/>
      <c r="T168" s="169"/>
      <c r="U168" s="169"/>
      <c r="V168" s="169"/>
      <c r="W168" s="169"/>
      <c r="X168" s="169"/>
      <c r="Y168" s="169"/>
      <c r="Z168" s="169"/>
    </row>
    <row r="169" spans="16:26" ht="10.199999999999999" customHeight="1">
      <c r="P169" s="167"/>
      <c r="Q169" s="167"/>
      <c r="R169" s="167"/>
      <c r="S169" s="167"/>
      <c r="T169" s="167"/>
      <c r="U169" s="167"/>
      <c r="V169" s="167"/>
      <c r="W169" s="167"/>
      <c r="X169" s="167"/>
      <c r="Y169" s="167"/>
      <c r="Z169" s="167"/>
    </row>
    <row r="170" spans="16:26" ht="10.199999999999999" customHeight="1">
      <c r="P170" s="167"/>
      <c r="Q170" s="167"/>
      <c r="R170" s="167"/>
      <c r="S170" s="167"/>
      <c r="T170" s="167"/>
      <c r="U170" s="167"/>
      <c r="V170" s="167"/>
      <c r="W170" s="167"/>
      <c r="X170" s="167"/>
      <c r="Y170" s="167"/>
      <c r="Z170" s="167"/>
    </row>
    <row r="171" spans="16:26" ht="10.199999999999999" customHeight="1">
      <c r="P171" s="169"/>
      <c r="Q171" s="169"/>
      <c r="R171" s="169"/>
      <c r="S171" s="169"/>
      <c r="T171" s="169"/>
      <c r="U171" s="169"/>
      <c r="V171" s="169"/>
      <c r="W171" s="169"/>
      <c r="X171" s="169"/>
      <c r="Y171" s="169"/>
      <c r="Z171" s="169"/>
    </row>
    <row r="172" spans="16:26" ht="10.199999999999999" customHeight="1">
      <c r="P172" s="167"/>
      <c r="Q172" s="167"/>
      <c r="R172" s="167"/>
      <c r="S172" s="167"/>
      <c r="T172" s="167"/>
      <c r="U172" s="167"/>
      <c r="V172" s="167"/>
      <c r="W172" s="167"/>
      <c r="X172" s="167"/>
      <c r="Y172" s="167"/>
      <c r="Z172" s="167"/>
    </row>
    <row r="173" spans="16:26" ht="10.199999999999999" customHeight="1">
      <c r="P173" s="167"/>
      <c r="Q173" s="167"/>
      <c r="R173" s="167"/>
      <c r="S173" s="167"/>
      <c r="T173" s="167"/>
      <c r="U173" s="167"/>
      <c r="V173" s="167"/>
      <c r="W173" s="167"/>
      <c r="X173" s="167"/>
      <c r="Y173" s="167"/>
      <c r="Z173" s="167"/>
    </row>
    <row r="174" spans="16:26" ht="10.199999999999999" customHeight="1">
      <c r="P174" s="169"/>
      <c r="Q174" s="169"/>
      <c r="R174" s="169"/>
      <c r="S174" s="169"/>
      <c r="T174" s="169"/>
      <c r="U174" s="169"/>
      <c r="V174" s="169"/>
      <c r="W174" s="169"/>
      <c r="X174" s="169"/>
      <c r="Y174" s="169"/>
      <c r="Z174" s="169"/>
    </row>
    <row r="175" spans="16:26" ht="10.199999999999999" customHeight="1">
      <c r="P175" s="167"/>
      <c r="Q175" s="167"/>
      <c r="R175" s="167"/>
      <c r="S175" s="167"/>
      <c r="T175" s="167"/>
      <c r="U175" s="167"/>
      <c r="V175" s="167"/>
      <c r="W175" s="167"/>
      <c r="X175" s="167"/>
      <c r="Y175" s="167"/>
      <c r="Z175" s="167"/>
    </row>
    <row r="176" spans="16:26" ht="10.199999999999999" customHeight="1">
      <c r="P176" s="167"/>
      <c r="Q176" s="167"/>
      <c r="R176" s="167"/>
      <c r="S176" s="167"/>
      <c r="T176" s="167"/>
      <c r="U176" s="167"/>
      <c r="V176" s="167"/>
      <c r="W176" s="167"/>
      <c r="X176" s="167"/>
      <c r="Y176" s="167"/>
      <c r="Z176" s="167"/>
    </row>
    <row r="177" spans="16:26" ht="10.199999999999999" customHeight="1">
      <c r="P177" s="169"/>
      <c r="Q177" s="169"/>
      <c r="R177" s="169"/>
      <c r="S177" s="169"/>
      <c r="T177" s="169"/>
      <c r="U177" s="169"/>
      <c r="V177" s="169"/>
      <c r="W177" s="169"/>
      <c r="X177" s="169"/>
      <c r="Y177" s="169"/>
      <c r="Z177" s="169"/>
    </row>
    <row r="178" spans="16:26" ht="10.199999999999999" customHeight="1">
      <c r="P178" s="167"/>
      <c r="Q178" s="167"/>
      <c r="R178" s="167"/>
      <c r="S178" s="167"/>
      <c r="T178" s="167"/>
      <c r="U178" s="167"/>
      <c r="V178" s="167"/>
      <c r="W178" s="167"/>
      <c r="X178" s="167"/>
      <c r="Y178" s="167"/>
      <c r="Z178" s="167"/>
    </row>
    <row r="179" spans="16:26" ht="10.199999999999999" customHeight="1">
      <c r="P179" s="167"/>
      <c r="Q179" s="167"/>
      <c r="R179" s="167"/>
      <c r="S179" s="167"/>
      <c r="T179" s="167"/>
      <c r="U179" s="167"/>
      <c r="V179" s="167"/>
      <c r="W179" s="167"/>
      <c r="X179" s="167"/>
      <c r="Y179" s="167"/>
      <c r="Z179" s="167"/>
    </row>
    <row r="180" spans="16:26" ht="10.199999999999999" customHeight="1">
      <c r="P180" s="169"/>
      <c r="Q180" s="169"/>
      <c r="R180" s="169"/>
      <c r="S180" s="169"/>
      <c r="T180" s="169"/>
      <c r="U180" s="169"/>
      <c r="V180" s="169"/>
      <c r="W180" s="169"/>
      <c r="X180" s="169"/>
      <c r="Y180" s="169"/>
      <c r="Z180" s="169"/>
    </row>
    <row r="181" spans="16:26" ht="10.199999999999999" customHeight="1">
      <c r="P181" s="167"/>
      <c r="Q181" s="167"/>
      <c r="R181" s="167"/>
      <c r="S181" s="167"/>
      <c r="T181" s="167"/>
      <c r="U181" s="167"/>
      <c r="V181" s="167"/>
      <c r="W181" s="167"/>
      <c r="X181" s="167"/>
      <c r="Y181" s="167"/>
      <c r="Z181" s="167"/>
    </row>
    <row r="182" spans="16:26" ht="10.199999999999999" customHeight="1">
      <c r="P182" s="167"/>
      <c r="Q182" s="167"/>
      <c r="R182" s="167"/>
      <c r="S182" s="167"/>
      <c r="T182" s="167"/>
      <c r="U182" s="167"/>
      <c r="V182" s="167"/>
      <c r="W182" s="167"/>
      <c r="X182" s="167"/>
      <c r="Y182" s="167"/>
      <c r="Z182" s="167"/>
    </row>
    <row r="183" spans="16:26" ht="10.199999999999999" customHeight="1">
      <c r="P183" s="169"/>
      <c r="Q183" s="169"/>
      <c r="R183" s="169"/>
      <c r="S183" s="169"/>
      <c r="T183" s="169"/>
      <c r="U183" s="169"/>
      <c r="V183" s="169"/>
      <c r="W183" s="169"/>
      <c r="X183" s="169"/>
      <c r="Y183" s="169"/>
      <c r="Z183" s="169"/>
    </row>
    <row r="184" spans="16:26" ht="10.199999999999999" customHeight="1">
      <c r="P184" s="167"/>
      <c r="Q184" s="167"/>
      <c r="R184" s="167"/>
      <c r="S184" s="167"/>
      <c r="T184" s="167"/>
      <c r="U184" s="167"/>
      <c r="V184" s="167"/>
      <c r="W184" s="167"/>
      <c r="X184" s="167"/>
      <c r="Y184" s="167"/>
      <c r="Z184" s="167"/>
    </row>
    <row r="185" spans="16:26" ht="10.199999999999999" customHeight="1">
      <c r="P185" s="167"/>
      <c r="Q185" s="167"/>
      <c r="R185" s="167"/>
      <c r="S185" s="167"/>
      <c r="T185" s="167"/>
      <c r="U185" s="167"/>
      <c r="V185" s="167"/>
      <c r="W185" s="167"/>
      <c r="X185" s="167"/>
      <c r="Y185" s="167"/>
      <c r="Z185" s="167"/>
    </row>
    <row r="186" spans="16:26" ht="10.199999999999999" customHeight="1">
      <c r="P186" s="169"/>
      <c r="Q186" s="169"/>
      <c r="R186" s="169"/>
      <c r="S186" s="169"/>
      <c r="T186" s="169"/>
      <c r="U186" s="169"/>
      <c r="V186" s="169"/>
      <c r="W186" s="169"/>
      <c r="X186" s="169"/>
      <c r="Y186" s="169"/>
      <c r="Z186" s="169"/>
    </row>
    <row r="187" spans="16:26" ht="10.199999999999999" customHeight="1">
      <c r="P187" s="167"/>
      <c r="Q187" s="167"/>
      <c r="R187" s="167"/>
      <c r="S187" s="167"/>
      <c r="T187" s="167"/>
      <c r="U187" s="167"/>
      <c r="V187" s="167"/>
      <c r="W187" s="167"/>
      <c r="X187" s="167"/>
      <c r="Y187" s="167"/>
      <c r="Z187" s="167"/>
    </row>
    <row r="188" spans="16:26" ht="10.199999999999999" customHeight="1">
      <c r="P188" s="167"/>
      <c r="Q188" s="167"/>
      <c r="R188" s="167"/>
      <c r="S188" s="167"/>
      <c r="T188" s="167"/>
      <c r="U188" s="167"/>
      <c r="V188" s="167"/>
      <c r="W188" s="167"/>
      <c r="X188" s="167"/>
      <c r="Y188" s="167"/>
      <c r="Z188" s="167"/>
    </row>
    <row r="189" spans="16:26" ht="10.199999999999999" customHeight="1">
      <c r="P189" s="169"/>
      <c r="Q189" s="169"/>
      <c r="R189" s="169"/>
      <c r="S189" s="169"/>
      <c r="T189" s="169"/>
      <c r="U189" s="169"/>
      <c r="V189" s="169"/>
      <c r="W189" s="169"/>
      <c r="X189" s="169"/>
      <c r="Y189" s="169"/>
      <c r="Z189" s="169"/>
    </row>
    <row r="190" spans="16:26" ht="10.199999999999999" customHeight="1">
      <c r="P190" s="167"/>
      <c r="Q190" s="167"/>
      <c r="R190" s="167"/>
      <c r="S190" s="167"/>
      <c r="T190" s="167"/>
      <c r="U190" s="167"/>
      <c r="V190" s="167"/>
      <c r="W190" s="167"/>
      <c r="X190" s="167"/>
      <c r="Y190" s="167"/>
      <c r="Z190" s="167"/>
    </row>
    <row r="191" spans="16:26" ht="10.199999999999999" customHeight="1">
      <c r="P191" s="167"/>
      <c r="Q191" s="167"/>
      <c r="R191" s="167"/>
      <c r="S191" s="167"/>
      <c r="T191" s="167"/>
      <c r="U191" s="167"/>
      <c r="V191" s="167"/>
      <c r="W191" s="167"/>
      <c r="X191" s="167"/>
      <c r="Y191" s="167"/>
      <c r="Z191" s="167"/>
    </row>
    <row r="192" spans="16:26" ht="10.199999999999999" customHeight="1">
      <c r="P192" s="169"/>
      <c r="Q192" s="169"/>
      <c r="R192" s="169"/>
      <c r="S192" s="169"/>
      <c r="T192" s="169"/>
      <c r="U192" s="169"/>
      <c r="V192" s="169"/>
      <c r="W192" s="169"/>
      <c r="X192" s="169"/>
      <c r="Y192" s="169"/>
      <c r="Z192" s="169"/>
    </row>
    <row r="193" spans="16:26" ht="10.199999999999999" customHeight="1">
      <c r="P193" s="167"/>
      <c r="Q193" s="167"/>
      <c r="R193" s="167"/>
      <c r="S193" s="167"/>
      <c r="T193" s="167"/>
      <c r="U193" s="167"/>
      <c r="V193" s="167"/>
      <c r="W193" s="167"/>
      <c r="X193" s="167"/>
      <c r="Y193" s="167"/>
      <c r="Z193" s="167"/>
    </row>
    <row r="194" spans="16:26" ht="10.199999999999999" customHeight="1">
      <c r="P194" s="167"/>
      <c r="Q194" s="167"/>
      <c r="R194" s="167"/>
      <c r="S194" s="167"/>
      <c r="T194" s="167"/>
      <c r="U194" s="167"/>
      <c r="V194" s="167"/>
      <c r="W194" s="167"/>
      <c r="X194" s="167"/>
      <c r="Y194" s="167"/>
      <c r="Z194" s="167"/>
    </row>
    <row r="195" spans="16:26" ht="10.199999999999999" customHeight="1">
      <c r="P195" s="169"/>
      <c r="Q195" s="169"/>
      <c r="R195" s="169"/>
      <c r="S195" s="169"/>
      <c r="T195" s="169"/>
      <c r="U195" s="169"/>
      <c r="V195" s="169"/>
      <c r="W195" s="169"/>
      <c r="X195" s="169"/>
      <c r="Y195" s="169"/>
      <c r="Z195" s="169"/>
    </row>
    <row r="196" spans="16:26" ht="10.199999999999999" customHeight="1">
      <c r="P196" s="167"/>
      <c r="Q196" s="167"/>
      <c r="R196" s="167"/>
      <c r="S196" s="167"/>
      <c r="T196" s="167"/>
      <c r="U196" s="167"/>
      <c r="V196" s="167"/>
      <c r="W196" s="167"/>
      <c r="X196" s="167"/>
      <c r="Y196" s="167"/>
      <c r="Z196" s="167"/>
    </row>
    <row r="197" spans="16:26" ht="10.199999999999999" customHeight="1">
      <c r="P197" s="167"/>
      <c r="Q197" s="167"/>
      <c r="R197" s="167"/>
      <c r="S197" s="167"/>
      <c r="T197" s="167"/>
      <c r="U197" s="167"/>
      <c r="V197" s="167"/>
      <c r="W197" s="167"/>
      <c r="X197" s="167"/>
      <c r="Y197" s="167"/>
      <c r="Z197" s="167"/>
    </row>
    <row r="198" spans="16:26" ht="10.199999999999999" customHeight="1">
      <c r="P198" s="169"/>
      <c r="Q198" s="169"/>
      <c r="R198" s="169"/>
      <c r="S198" s="169"/>
      <c r="T198" s="169"/>
      <c r="U198" s="169"/>
      <c r="V198" s="169"/>
      <c r="W198" s="169"/>
      <c r="X198" s="169"/>
      <c r="Y198" s="169"/>
      <c r="Z198" s="169"/>
    </row>
    <row r="199" spans="16:26" ht="10.199999999999999" customHeight="1">
      <c r="P199" s="167"/>
      <c r="Q199" s="167"/>
      <c r="R199" s="167"/>
      <c r="S199" s="167"/>
      <c r="T199" s="167"/>
      <c r="U199" s="167"/>
      <c r="V199" s="167"/>
      <c r="W199" s="167"/>
      <c r="X199" s="167"/>
      <c r="Y199" s="167"/>
      <c r="Z199" s="167"/>
    </row>
    <row r="200" spans="16:26" ht="10.199999999999999" customHeight="1">
      <c r="P200" s="167"/>
      <c r="Q200" s="167"/>
      <c r="R200" s="167"/>
      <c r="S200" s="167"/>
      <c r="T200" s="167"/>
      <c r="U200" s="167"/>
      <c r="V200" s="167"/>
      <c r="W200" s="167"/>
      <c r="X200" s="167"/>
      <c r="Y200" s="167"/>
      <c r="Z200" s="167"/>
    </row>
    <row r="201" spans="16:26" ht="10.199999999999999" customHeight="1">
      <c r="P201" s="169"/>
      <c r="Q201" s="169"/>
      <c r="R201" s="169"/>
      <c r="S201" s="169"/>
      <c r="T201" s="169"/>
      <c r="U201" s="169"/>
      <c r="V201" s="169"/>
      <c r="W201" s="169"/>
      <c r="X201" s="169"/>
      <c r="Y201" s="169"/>
      <c r="Z201" s="169"/>
    </row>
    <row r="202" spans="16:26" ht="10.199999999999999" customHeight="1">
      <c r="P202" s="167"/>
      <c r="Q202" s="167"/>
      <c r="R202" s="167"/>
      <c r="S202" s="167"/>
      <c r="T202" s="167"/>
      <c r="U202" s="167"/>
      <c r="V202" s="167"/>
      <c r="W202" s="167"/>
      <c r="X202" s="167"/>
      <c r="Y202" s="167"/>
      <c r="Z202" s="167"/>
    </row>
    <row r="203" spans="16:26" ht="10.199999999999999" customHeight="1">
      <c r="P203" s="167"/>
      <c r="Q203" s="167"/>
      <c r="R203" s="167"/>
      <c r="S203" s="167"/>
      <c r="T203" s="167"/>
      <c r="U203" s="167"/>
      <c r="V203" s="167"/>
      <c r="W203" s="167"/>
      <c r="X203" s="167"/>
      <c r="Y203" s="167"/>
      <c r="Z203" s="167"/>
    </row>
    <row r="204" spans="16:26" ht="10.199999999999999" customHeight="1">
      <c r="P204" s="169"/>
      <c r="Q204" s="169"/>
      <c r="R204" s="169"/>
      <c r="S204" s="169"/>
      <c r="T204" s="169"/>
      <c r="U204" s="169"/>
      <c r="V204" s="169"/>
      <c r="W204" s="169"/>
      <c r="X204" s="169"/>
      <c r="Y204" s="169"/>
      <c r="Z204" s="169"/>
    </row>
    <row r="205" spans="16:26" ht="10.199999999999999" customHeight="1">
      <c r="P205" s="167"/>
      <c r="Q205" s="167"/>
      <c r="R205" s="167"/>
      <c r="S205" s="167"/>
      <c r="T205" s="167"/>
      <c r="U205" s="167"/>
      <c r="V205" s="167"/>
      <c r="W205" s="167"/>
      <c r="X205" s="167"/>
      <c r="Y205" s="167"/>
      <c r="Z205" s="167"/>
    </row>
    <row r="206" spans="16:26" ht="10.199999999999999" customHeight="1">
      <c r="P206" s="167"/>
      <c r="Q206" s="167"/>
      <c r="R206" s="167"/>
      <c r="S206" s="167"/>
      <c r="T206" s="167"/>
      <c r="U206" s="167"/>
      <c r="V206" s="167"/>
      <c r="W206" s="167"/>
      <c r="X206" s="167"/>
      <c r="Y206" s="167"/>
      <c r="Z206" s="167"/>
    </row>
    <row r="207" spans="16:26" ht="10.199999999999999" customHeight="1">
      <c r="P207" s="169"/>
      <c r="Q207" s="169"/>
      <c r="R207" s="169"/>
      <c r="S207" s="169"/>
      <c r="T207" s="169"/>
      <c r="U207" s="169"/>
      <c r="V207" s="169"/>
      <c r="W207" s="169"/>
      <c r="X207" s="169"/>
      <c r="Y207" s="169"/>
      <c r="Z207" s="169"/>
    </row>
    <row r="208" spans="16:26" ht="10.199999999999999" customHeight="1">
      <c r="P208" s="167"/>
      <c r="Q208" s="167"/>
      <c r="R208" s="167"/>
      <c r="S208" s="167"/>
      <c r="T208" s="167"/>
      <c r="U208" s="167"/>
      <c r="V208" s="167"/>
      <c r="W208" s="167"/>
      <c r="X208" s="167"/>
      <c r="Y208" s="167"/>
      <c r="Z208" s="167"/>
    </row>
    <row r="209" spans="16:26" ht="10.199999999999999" customHeight="1">
      <c r="P209" s="167"/>
      <c r="Q209" s="167"/>
      <c r="R209" s="167"/>
      <c r="S209" s="167"/>
      <c r="T209" s="167"/>
      <c r="U209" s="167"/>
      <c r="V209" s="167"/>
      <c r="W209" s="167"/>
      <c r="X209" s="167"/>
      <c r="Y209" s="167"/>
      <c r="Z209" s="167"/>
    </row>
    <row r="210" spans="16:26" ht="10.199999999999999" customHeight="1">
      <c r="P210" s="169"/>
      <c r="Q210" s="169"/>
      <c r="R210" s="169"/>
      <c r="S210" s="169"/>
      <c r="T210" s="169"/>
      <c r="U210" s="169"/>
      <c r="V210" s="169"/>
      <c r="W210" s="169"/>
      <c r="X210" s="169"/>
      <c r="Y210" s="169"/>
      <c r="Z210" s="169"/>
    </row>
    <row r="211" spans="16:26" ht="10.199999999999999" customHeight="1">
      <c r="P211" s="167"/>
      <c r="Q211" s="167"/>
      <c r="R211" s="167"/>
      <c r="S211" s="167"/>
      <c r="T211" s="167"/>
      <c r="U211" s="167"/>
      <c r="V211" s="167"/>
      <c r="W211" s="167"/>
      <c r="X211" s="167"/>
      <c r="Y211" s="167"/>
      <c r="Z211" s="167"/>
    </row>
    <row r="212" spans="16:26" ht="10.199999999999999" customHeight="1">
      <c r="P212" s="167"/>
      <c r="Q212" s="167"/>
      <c r="R212" s="167"/>
      <c r="S212" s="167"/>
      <c r="T212" s="167"/>
      <c r="U212" s="167"/>
      <c r="V212" s="167"/>
      <c r="W212" s="167"/>
      <c r="X212" s="167"/>
      <c r="Y212" s="167"/>
      <c r="Z212" s="167"/>
    </row>
    <row r="213" spans="16:26" ht="10.199999999999999" customHeight="1">
      <c r="P213" s="169"/>
      <c r="Q213" s="169"/>
      <c r="R213" s="169"/>
      <c r="S213" s="169"/>
      <c r="T213" s="169"/>
      <c r="U213" s="169"/>
      <c r="V213" s="169"/>
      <c r="W213" s="169"/>
      <c r="X213" s="169"/>
      <c r="Y213" s="169"/>
      <c r="Z213" s="169"/>
    </row>
    <row r="214" spans="16:26" ht="10.199999999999999" customHeight="1">
      <c r="P214" s="167"/>
      <c r="Q214" s="167"/>
      <c r="R214" s="167"/>
      <c r="S214" s="167"/>
      <c r="T214" s="167"/>
      <c r="U214" s="167"/>
      <c r="V214" s="167"/>
      <c r="W214" s="167"/>
      <c r="X214" s="167"/>
      <c r="Y214" s="167"/>
      <c r="Z214" s="167"/>
    </row>
    <row r="215" spans="16:26" ht="10.199999999999999" customHeight="1">
      <c r="P215" s="167"/>
      <c r="Q215" s="167"/>
      <c r="R215" s="167"/>
      <c r="S215" s="167"/>
      <c r="T215" s="167"/>
      <c r="U215" s="167"/>
      <c r="V215" s="167"/>
      <c r="W215" s="167"/>
      <c r="X215" s="167"/>
      <c r="Y215" s="167"/>
      <c r="Z215" s="167"/>
    </row>
    <row r="216" spans="16:26" ht="10.199999999999999" customHeight="1">
      <c r="P216" s="169"/>
      <c r="Q216" s="169"/>
      <c r="R216" s="169"/>
      <c r="S216" s="169"/>
      <c r="T216" s="169"/>
      <c r="U216" s="169"/>
      <c r="V216" s="169"/>
      <c r="W216" s="169"/>
      <c r="X216" s="169"/>
      <c r="Y216" s="169"/>
      <c r="Z216" s="169"/>
    </row>
    <row r="217" spans="16:26" ht="10.199999999999999" customHeight="1">
      <c r="P217" s="167"/>
      <c r="Q217" s="167"/>
      <c r="R217" s="167"/>
      <c r="S217" s="167"/>
      <c r="T217" s="167"/>
      <c r="U217" s="167"/>
      <c r="V217" s="167"/>
      <c r="W217" s="167"/>
      <c r="X217" s="167"/>
      <c r="Y217" s="167"/>
      <c r="Z217" s="167"/>
    </row>
    <row r="218" spans="16:26" ht="10.199999999999999" customHeight="1">
      <c r="P218" s="167"/>
      <c r="Q218" s="167"/>
      <c r="R218" s="167"/>
      <c r="S218" s="167"/>
      <c r="T218" s="167"/>
      <c r="U218" s="167"/>
      <c r="V218" s="167"/>
      <c r="W218" s="167"/>
      <c r="X218" s="167"/>
      <c r="Y218" s="167"/>
      <c r="Z218" s="167"/>
    </row>
    <row r="219" spans="16:26" ht="10.199999999999999" customHeight="1">
      <c r="P219" s="169"/>
      <c r="Q219" s="169"/>
      <c r="R219" s="169"/>
      <c r="S219" s="169"/>
      <c r="T219" s="169"/>
      <c r="U219" s="169"/>
      <c r="V219" s="169"/>
      <c r="W219" s="169"/>
      <c r="X219" s="169"/>
      <c r="Y219" s="169"/>
      <c r="Z219" s="169"/>
    </row>
    <row r="220" spans="16:26" ht="10.199999999999999" customHeight="1">
      <c r="P220" s="167"/>
      <c r="Q220" s="167"/>
      <c r="R220" s="167"/>
      <c r="S220" s="167"/>
      <c r="T220" s="167"/>
      <c r="U220" s="167"/>
      <c r="V220" s="167"/>
      <c r="W220" s="167"/>
      <c r="X220" s="167"/>
      <c r="Y220" s="167"/>
      <c r="Z220" s="167"/>
    </row>
    <row r="221" spans="16:26" ht="10.199999999999999" customHeight="1">
      <c r="P221" s="167"/>
      <c r="Q221" s="167"/>
      <c r="R221" s="167"/>
      <c r="S221" s="167"/>
      <c r="T221" s="167"/>
      <c r="U221" s="167"/>
      <c r="V221" s="167"/>
      <c r="W221" s="167"/>
      <c r="X221" s="167"/>
      <c r="Y221" s="167"/>
      <c r="Z221" s="167"/>
    </row>
    <row r="222" spans="16:26" ht="10.199999999999999" customHeight="1">
      <c r="P222" s="169"/>
      <c r="Q222" s="169"/>
      <c r="R222" s="169"/>
      <c r="S222" s="169"/>
      <c r="T222" s="169"/>
      <c r="U222" s="169"/>
      <c r="V222" s="169"/>
      <c r="W222" s="169"/>
      <c r="X222" s="169"/>
      <c r="Y222" s="169"/>
      <c r="Z222" s="169"/>
    </row>
    <row r="223" spans="16:26" ht="10.199999999999999" customHeight="1">
      <c r="P223" s="167"/>
      <c r="Q223" s="167"/>
      <c r="R223" s="167"/>
      <c r="S223" s="167"/>
      <c r="T223" s="167"/>
      <c r="U223" s="167"/>
      <c r="V223" s="167"/>
      <c r="W223" s="167"/>
      <c r="X223" s="167"/>
      <c r="Y223" s="167"/>
      <c r="Z223" s="167"/>
    </row>
    <row r="224" spans="16:26" ht="10.199999999999999" customHeight="1">
      <c r="P224" s="167"/>
      <c r="Q224" s="167"/>
      <c r="R224" s="167"/>
      <c r="S224" s="167"/>
      <c r="T224" s="167"/>
      <c r="U224" s="167"/>
      <c r="V224" s="167"/>
      <c r="W224" s="167"/>
      <c r="X224" s="167"/>
      <c r="Y224" s="167"/>
      <c r="Z224" s="167"/>
    </row>
    <row r="225" spans="16:26" ht="10.199999999999999" customHeight="1">
      <c r="P225" s="169"/>
      <c r="Q225" s="169"/>
      <c r="R225" s="169"/>
      <c r="S225" s="169"/>
      <c r="T225" s="169"/>
      <c r="U225" s="169"/>
      <c r="V225" s="169"/>
      <c r="W225" s="169"/>
      <c r="X225" s="169"/>
      <c r="Y225" s="169"/>
      <c r="Z225" s="169"/>
    </row>
    <row r="226" spans="16:26" ht="10.199999999999999" customHeight="1">
      <c r="P226" s="167"/>
      <c r="Q226" s="167"/>
      <c r="R226" s="167"/>
      <c r="S226" s="167"/>
      <c r="T226" s="167"/>
      <c r="U226" s="167"/>
      <c r="V226" s="167"/>
      <c r="W226" s="167"/>
      <c r="X226" s="167"/>
      <c r="Y226" s="167"/>
      <c r="Z226" s="167"/>
    </row>
    <row r="227" spans="16:26" ht="10.199999999999999" customHeight="1">
      <c r="P227" s="167"/>
      <c r="Q227" s="167"/>
      <c r="R227" s="167"/>
      <c r="S227" s="167"/>
      <c r="T227" s="167"/>
      <c r="U227" s="167"/>
      <c r="V227" s="167"/>
      <c r="W227" s="167"/>
      <c r="X227" s="167"/>
      <c r="Y227" s="167"/>
      <c r="Z227" s="167"/>
    </row>
    <row r="228" spans="16:26" ht="10.199999999999999" customHeight="1">
      <c r="P228" s="169"/>
      <c r="Q228" s="169"/>
      <c r="R228" s="169"/>
      <c r="S228" s="169"/>
      <c r="T228" s="169"/>
      <c r="U228" s="169"/>
      <c r="V228" s="169"/>
      <c r="W228" s="169"/>
      <c r="X228" s="169"/>
      <c r="Y228" s="169"/>
      <c r="Z228" s="169"/>
    </row>
    <row r="229" spans="16:26" ht="10.199999999999999" customHeight="1">
      <c r="P229" s="167"/>
      <c r="Q229" s="167"/>
      <c r="R229" s="167"/>
      <c r="S229" s="167"/>
      <c r="T229" s="167"/>
      <c r="U229" s="167"/>
      <c r="V229" s="167"/>
      <c r="W229" s="167"/>
      <c r="X229" s="167"/>
      <c r="Y229" s="167"/>
      <c r="Z229" s="167"/>
    </row>
    <row r="230" spans="16:26" ht="10.199999999999999" customHeight="1">
      <c r="P230" s="167"/>
      <c r="Q230" s="167"/>
      <c r="R230" s="167"/>
      <c r="S230" s="167"/>
      <c r="T230" s="167"/>
      <c r="U230" s="167"/>
      <c r="V230" s="167"/>
      <c r="W230" s="167"/>
      <c r="X230" s="167"/>
      <c r="Y230" s="167"/>
      <c r="Z230" s="167"/>
    </row>
    <row r="231" spans="16:26" ht="10.199999999999999" customHeight="1">
      <c r="P231" s="169"/>
      <c r="Q231" s="169"/>
      <c r="R231" s="169"/>
      <c r="S231" s="169"/>
      <c r="T231" s="169"/>
      <c r="U231" s="169"/>
      <c r="V231" s="169"/>
      <c r="W231" s="169"/>
      <c r="X231" s="169"/>
      <c r="Y231" s="169"/>
      <c r="Z231" s="169"/>
    </row>
    <row r="232" spans="16:26" ht="10.199999999999999" customHeight="1">
      <c r="P232" s="167"/>
      <c r="Q232" s="167"/>
      <c r="R232" s="167"/>
      <c r="S232" s="167"/>
      <c r="T232" s="167"/>
      <c r="U232" s="167"/>
      <c r="V232" s="167"/>
      <c r="W232" s="167"/>
      <c r="X232" s="167"/>
      <c r="Y232" s="167"/>
      <c r="Z232" s="167"/>
    </row>
    <row r="233" spans="16:26" ht="10.199999999999999" customHeight="1">
      <c r="P233" s="167"/>
      <c r="Q233" s="167"/>
      <c r="R233" s="167"/>
      <c r="S233" s="167"/>
      <c r="T233" s="167"/>
      <c r="U233" s="167"/>
      <c r="V233" s="167"/>
      <c r="W233" s="167"/>
      <c r="X233" s="167"/>
      <c r="Y233" s="167"/>
      <c r="Z233" s="167"/>
    </row>
    <row r="234" spans="16:26" ht="10.199999999999999" customHeight="1">
      <c r="P234" s="169"/>
      <c r="Q234" s="169"/>
      <c r="R234" s="169"/>
      <c r="S234" s="169"/>
      <c r="T234" s="169"/>
      <c r="U234" s="169"/>
      <c r="V234" s="169"/>
      <c r="W234" s="169"/>
      <c r="X234" s="169"/>
      <c r="Y234" s="169"/>
      <c r="Z234" s="169"/>
    </row>
    <row r="235" spans="16:26" ht="10.199999999999999" customHeight="1">
      <c r="P235" s="167"/>
      <c r="Q235" s="167"/>
      <c r="R235" s="167"/>
      <c r="S235" s="167"/>
      <c r="T235" s="167"/>
      <c r="U235" s="167"/>
      <c r="V235" s="167"/>
      <c r="W235" s="167"/>
      <c r="X235" s="167"/>
      <c r="Y235" s="167"/>
      <c r="Z235" s="167"/>
    </row>
    <row r="236" spans="16:26" ht="10.199999999999999" customHeight="1">
      <c r="P236" s="167"/>
      <c r="Q236" s="167"/>
      <c r="R236" s="167"/>
      <c r="S236" s="167"/>
      <c r="T236" s="167"/>
      <c r="U236" s="167"/>
      <c r="V236" s="167"/>
      <c r="W236" s="167"/>
      <c r="X236" s="167"/>
      <c r="Y236" s="167"/>
      <c r="Z236" s="167"/>
    </row>
    <row r="237" spans="16:26" ht="10.199999999999999" customHeight="1">
      <c r="P237" s="169"/>
      <c r="Q237" s="169"/>
      <c r="R237" s="169"/>
      <c r="S237" s="169"/>
      <c r="T237" s="169"/>
      <c r="U237" s="169"/>
      <c r="V237" s="169"/>
      <c r="W237" s="169"/>
      <c r="X237" s="169"/>
      <c r="Y237" s="169"/>
      <c r="Z237" s="169"/>
    </row>
    <row r="238" spans="16:26" ht="10.199999999999999" customHeight="1">
      <c r="P238" s="167"/>
      <c r="Q238" s="167"/>
      <c r="R238" s="167"/>
      <c r="S238" s="167"/>
      <c r="T238" s="167"/>
      <c r="U238" s="167"/>
      <c r="V238" s="167"/>
      <c r="W238" s="167"/>
      <c r="X238" s="167"/>
      <c r="Y238" s="167"/>
      <c r="Z238" s="167"/>
    </row>
    <row r="239" spans="16:26" ht="10.199999999999999" customHeight="1">
      <c r="P239" s="167"/>
      <c r="Q239" s="167"/>
      <c r="R239" s="167"/>
      <c r="S239" s="167"/>
      <c r="T239" s="167"/>
      <c r="U239" s="167"/>
      <c r="V239" s="167"/>
      <c r="W239" s="167"/>
      <c r="X239" s="167"/>
      <c r="Y239" s="167"/>
      <c r="Z239" s="167"/>
    </row>
    <row r="240" spans="16:26" ht="10.199999999999999" customHeight="1">
      <c r="P240" s="169"/>
      <c r="Q240" s="169"/>
      <c r="R240" s="169"/>
      <c r="S240" s="169"/>
      <c r="T240" s="169"/>
      <c r="U240" s="169"/>
      <c r="V240" s="169"/>
      <c r="W240" s="169"/>
      <c r="X240" s="169"/>
      <c r="Y240" s="169"/>
      <c r="Z240" s="169"/>
    </row>
    <row r="241" spans="16:26" ht="10.199999999999999" customHeight="1">
      <c r="P241" s="167"/>
      <c r="Q241" s="167"/>
      <c r="R241" s="167"/>
      <c r="S241" s="167"/>
      <c r="T241" s="167"/>
      <c r="U241" s="167"/>
      <c r="V241" s="167"/>
      <c r="W241" s="167"/>
      <c r="X241" s="167"/>
      <c r="Y241" s="167"/>
      <c r="Z241" s="167"/>
    </row>
    <row r="242" spans="16:26" ht="10.199999999999999" customHeight="1">
      <c r="P242" s="167"/>
      <c r="Q242" s="167"/>
      <c r="R242" s="167"/>
      <c r="S242" s="167"/>
      <c r="T242" s="167"/>
      <c r="U242" s="167"/>
      <c r="V242" s="167"/>
      <c r="W242" s="167"/>
      <c r="X242" s="167"/>
      <c r="Y242" s="167"/>
      <c r="Z242" s="167"/>
    </row>
    <row r="243" spans="16:26" ht="10.199999999999999" customHeight="1">
      <c r="P243" s="169"/>
      <c r="Q243" s="169"/>
      <c r="R243" s="169"/>
      <c r="S243" s="169"/>
      <c r="T243" s="169"/>
      <c r="U243" s="169"/>
      <c r="V243" s="169"/>
      <c r="W243" s="169"/>
      <c r="X243" s="169"/>
      <c r="Y243" s="169"/>
      <c r="Z243" s="169"/>
    </row>
    <row r="244" spans="16:26" ht="10.199999999999999" customHeight="1">
      <c r="P244" s="167"/>
      <c r="Q244" s="167"/>
      <c r="R244" s="167"/>
      <c r="S244" s="167"/>
      <c r="T244" s="167"/>
      <c r="U244" s="167"/>
      <c r="V244" s="167"/>
      <c r="W244" s="167"/>
      <c r="X244" s="167"/>
      <c r="Y244" s="167"/>
      <c r="Z244" s="167"/>
    </row>
    <row r="245" spans="16:26" ht="10.199999999999999" customHeight="1">
      <c r="P245" s="167"/>
      <c r="Q245" s="167"/>
      <c r="R245" s="167"/>
      <c r="S245" s="167"/>
      <c r="T245" s="167"/>
      <c r="U245" s="167"/>
      <c r="V245" s="167"/>
      <c r="W245" s="167"/>
      <c r="X245" s="167"/>
      <c r="Y245" s="167"/>
      <c r="Z245" s="167"/>
    </row>
    <row r="246" spans="16:26" ht="10.199999999999999" customHeight="1">
      <c r="P246" s="169"/>
      <c r="Q246" s="169"/>
      <c r="R246" s="169"/>
      <c r="S246" s="169"/>
      <c r="T246" s="169"/>
      <c r="U246" s="169"/>
      <c r="V246" s="169"/>
      <c r="W246" s="169"/>
      <c r="X246" s="169"/>
      <c r="Y246" s="169"/>
      <c r="Z246" s="169"/>
    </row>
    <row r="247" spans="16:26" ht="10.199999999999999" customHeight="1">
      <c r="P247" s="167"/>
      <c r="Q247" s="167"/>
      <c r="R247" s="167"/>
      <c r="S247" s="167"/>
      <c r="T247" s="167"/>
      <c r="U247" s="167"/>
      <c r="V247" s="167"/>
      <c r="W247" s="167"/>
      <c r="X247" s="167"/>
      <c r="Y247" s="167"/>
      <c r="Z247" s="167"/>
    </row>
    <row r="248" spans="16:26" ht="10.199999999999999" customHeight="1">
      <c r="P248" s="167"/>
      <c r="Q248" s="167"/>
      <c r="R248" s="167"/>
      <c r="S248" s="167"/>
      <c r="T248" s="167"/>
      <c r="U248" s="167"/>
      <c r="V248" s="167"/>
      <c r="W248" s="167"/>
      <c r="X248" s="167"/>
      <c r="Y248" s="167"/>
      <c r="Z248" s="167"/>
    </row>
    <row r="249" spans="16:26" ht="10.199999999999999" customHeight="1">
      <c r="P249" s="169"/>
      <c r="Q249" s="169"/>
      <c r="R249" s="169"/>
      <c r="S249" s="169"/>
      <c r="T249" s="169"/>
      <c r="U249" s="169"/>
      <c r="V249" s="169"/>
      <c r="W249" s="169"/>
      <c r="X249" s="169"/>
      <c r="Y249" s="169"/>
      <c r="Z249" s="169"/>
    </row>
    <row r="250" spans="16:26" ht="10.199999999999999" customHeight="1">
      <c r="P250" s="167"/>
      <c r="Q250" s="167"/>
      <c r="R250" s="167"/>
      <c r="S250" s="167"/>
      <c r="T250" s="167"/>
      <c r="U250" s="167"/>
      <c r="V250" s="167"/>
      <c r="W250" s="167"/>
      <c r="X250" s="167"/>
      <c r="Y250" s="167"/>
      <c r="Z250" s="167"/>
    </row>
    <row r="251" spans="16:26" ht="10.199999999999999" customHeight="1">
      <c r="P251" s="167"/>
      <c r="Q251" s="167"/>
      <c r="R251" s="167"/>
      <c r="S251" s="167"/>
      <c r="T251" s="167"/>
      <c r="U251" s="167"/>
      <c r="V251" s="167"/>
      <c r="W251" s="167"/>
      <c r="X251" s="167"/>
      <c r="Y251" s="167"/>
      <c r="Z251" s="167"/>
    </row>
    <row r="252" spans="16:26" ht="10.199999999999999" customHeight="1">
      <c r="P252" s="169"/>
      <c r="Q252" s="169"/>
      <c r="R252" s="169"/>
      <c r="S252" s="169"/>
      <c r="T252" s="169"/>
      <c r="U252" s="169"/>
      <c r="V252" s="169"/>
      <c r="W252" s="169"/>
      <c r="X252" s="169"/>
      <c r="Y252" s="169"/>
      <c r="Z252" s="169"/>
    </row>
    <row r="253" spans="16:26" ht="10.199999999999999" customHeight="1">
      <c r="P253" s="167"/>
      <c r="Q253" s="167"/>
      <c r="R253" s="167"/>
      <c r="S253" s="167"/>
      <c r="T253" s="167"/>
      <c r="U253" s="167"/>
      <c r="V253" s="167"/>
      <c r="W253" s="167"/>
      <c r="X253" s="167"/>
      <c r="Y253" s="167"/>
      <c r="Z253" s="167"/>
    </row>
    <row r="254" spans="16:26" ht="10.199999999999999" customHeight="1">
      <c r="P254" s="167"/>
      <c r="Q254" s="167"/>
      <c r="R254" s="167"/>
      <c r="S254" s="167"/>
      <c r="T254" s="167"/>
      <c r="U254" s="167"/>
      <c r="V254" s="167"/>
      <c r="W254" s="167"/>
      <c r="X254" s="167"/>
      <c r="Y254" s="167"/>
      <c r="Z254" s="167"/>
    </row>
    <row r="255" spans="16:26" ht="10.199999999999999" customHeight="1">
      <c r="P255" s="169"/>
      <c r="Q255" s="169"/>
      <c r="R255" s="169"/>
      <c r="S255" s="169"/>
      <c r="T255" s="169"/>
      <c r="U255" s="169"/>
      <c r="V255" s="169"/>
      <c r="W255" s="169"/>
      <c r="X255" s="169"/>
      <c r="Y255" s="169"/>
      <c r="Z255" s="169"/>
    </row>
    <row r="256" spans="16:26" ht="10.199999999999999" customHeight="1">
      <c r="P256" s="167"/>
      <c r="Q256" s="167"/>
      <c r="R256" s="167"/>
      <c r="S256" s="167"/>
      <c r="T256" s="167"/>
      <c r="U256" s="167"/>
      <c r="V256" s="167"/>
      <c r="W256" s="167"/>
      <c r="X256" s="167"/>
      <c r="Y256" s="167"/>
      <c r="Z256" s="167"/>
    </row>
    <row r="257" spans="16:26" ht="10.199999999999999" customHeight="1">
      <c r="P257" s="167"/>
      <c r="Q257" s="167"/>
      <c r="R257" s="167"/>
      <c r="S257" s="167"/>
      <c r="T257" s="167"/>
      <c r="U257" s="167"/>
      <c r="V257" s="167"/>
      <c r="W257" s="167"/>
      <c r="X257" s="167"/>
      <c r="Y257" s="167"/>
      <c r="Z257" s="167"/>
    </row>
    <row r="258" spans="16:26" ht="10.199999999999999" customHeight="1">
      <c r="P258" s="169"/>
      <c r="Q258" s="169"/>
      <c r="R258" s="169"/>
      <c r="S258" s="169"/>
      <c r="T258" s="169"/>
      <c r="U258" s="169"/>
      <c r="V258" s="169"/>
      <c r="W258" s="169"/>
      <c r="X258" s="169"/>
      <c r="Y258" s="169"/>
      <c r="Z258" s="169"/>
    </row>
    <row r="259" spans="16:26" ht="10.199999999999999" customHeight="1">
      <c r="P259" s="167"/>
      <c r="Q259" s="167"/>
      <c r="R259" s="167"/>
      <c r="S259" s="167"/>
      <c r="T259" s="167"/>
      <c r="U259" s="167"/>
      <c r="V259" s="167"/>
      <c r="W259" s="167"/>
      <c r="X259" s="167"/>
      <c r="Y259" s="167"/>
      <c r="Z259" s="167"/>
    </row>
    <row r="260" spans="16:26" ht="10.199999999999999" customHeight="1">
      <c r="P260" s="167"/>
      <c r="Q260" s="167"/>
      <c r="R260" s="167"/>
      <c r="S260" s="167"/>
      <c r="T260" s="167"/>
      <c r="U260" s="167"/>
      <c r="V260" s="167"/>
      <c r="W260" s="167"/>
      <c r="X260" s="167"/>
      <c r="Y260" s="167"/>
      <c r="Z260" s="167"/>
    </row>
    <row r="261" spans="16:26" ht="10.199999999999999" customHeight="1">
      <c r="P261" s="169"/>
      <c r="Q261" s="169"/>
      <c r="R261" s="169"/>
      <c r="S261" s="169"/>
      <c r="T261" s="169"/>
      <c r="U261" s="169"/>
      <c r="V261" s="169"/>
      <c r="W261" s="169"/>
      <c r="X261" s="169"/>
      <c r="Y261" s="169"/>
      <c r="Z261" s="169"/>
    </row>
    <row r="262" spans="16:26" ht="10.199999999999999" customHeight="1">
      <c r="P262" s="167"/>
      <c r="Q262" s="167"/>
      <c r="R262" s="167"/>
      <c r="S262" s="167"/>
      <c r="T262" s="167"/>
      <c r="U262" s="167"/>
      <c r="V262" s="167"/>
      <c r="W262" s="167"/>
      <c r="X262" s="167"/>
      <c r="Y262" s="167"/>
      <c r="Z262" s="167"/>
    </row>
    <row r="263" spans="16:26" ht="10.199999999999999" customHeight="1">
      <c r="P263" s="167"/>
      <c r="Q263" s="167"/>
      <c r="R263" s="167"/>
      <c r="S263" s="167"/>
      <c r="T263" s="167"/>
      <c r="U263" s="167"/>
      <c r="V263" s="167"/>
      <c r="W263" s="167"/>
      <c r="X263" s="167"/>
      <c r="Y263" s="167"/>
      <c r="Z263" s="167"/>
    </row>
    <row r="264" spans="16:26" ht="10.199999999999999" customHeight="1">
      <c r="P264" s="169"/>
      <c r="Q264" s="169"/>
      <c r="R264" s="169"/>
      <c r="S264" s="169"/>
      <c r="T264" s="169"/>
      <c r="U264" s="169"/>
      <c r="V264" s="169"/>
      <c r="W264" s="169"/>
      <c r="X264" s="169"/>
      <c r="Y264" s="169"/>
      <c r="Z264" s="169"/>
    </row>
    <row r="265" spans="16:26" ht="10.199999999999999" customHeight="1">
      <c r="P265" s="167"/>
      <c r="Q265" s="167"/>
      <c r="R265" s="167"/>
      <c r="S265" s="167"/>
      <c r="T265" s="167"/>
      <c r="U265" s="167"/>
      <c r="V265" s="167"/>
      <c r="W265" s="167"/>
      <c r="X265" s="167"/>
      <c r="Y265" s="167"/>
      <c r="Z265" s="167"/>
    </row>
    <row r="266" spans="16:26" ht="10.199999999999999" customHeight="1">
      <c r="P266" s="167"/>
      <c r="Q266" s="167"/>
      <c r="R266" s="167"/>
      <c r="S266" s="167"/>
      <c r="T266" s="167"/>
      <c r="U266" s="167"/>
      <c r="V266" s="167"/>
      <c r="W266" s="167"/>
      <c r="X266" s="167"/>
      <c r="Y266" s="167"/>
      <c r="Z266" s="167"/>
    </row>
    <row r="267" spans="16:26" ht="10.199999999999999" customHeight="1">
      <c r="P267" s="165"/>
      <c r="Q267" s="165"/>
      <c r="R267" s="165"/>
      <c r="S267" s="165"/>
      <c r="T267" s="165"/>
      <c r="U267" s="165"/>
      <c r="V267" s="165"/>
      <c r="W267" s="165"/>
      <c r="X267" s="165"/>
      <c r="Y267" s="165"/>
      <c r="Z267" s="165"/>
    </row>
    <row r="268" spans="16:26" ht="10.199999999999999" customHeight="1">
      <c r="P268" s="165"/>
      <c r="Q268" s="165"/>
      <c r="R268" s="165"/>
      <c r="S268" s="165"/>
      <c r="T268" s="165"/>
      <c r="U268" s="165"/>
      <c r="V268" s="165"/>
      <c r="W268" s="165"/>
      <c r="X268" s="165"/>
      <c r="Y268" s="165"/>
      <c r="Z268" s="165"/>
    </row>
    <row r="269" spans="16:26" ht="10.199999999999999" customHeight="1">
      <c r="P269" s="165"/>
      <c r="Q269" s="165"/>
      <c r="R269" s="165"/>
      <c r="S269" s="165"/>
      <c r="T269" s="165"/>
      <c r="U269" s="165"/>
      <c r="V269" s="165"/>
      <c r="W269" s="165"/>
      <c r="X269" s="165"/>
      <c r="Y269" s="165"/>
      <c r="Z269" s="165"/>
    </row>
    <row r="270" spans="16:26" ht="10.199999999999999" customHeight="1">
      <c r="P270" s="165"/>
      <c r="Q270" s="165"/>
      <c r="R270" s="165"/>
      <c r="S270" s="165"/>
      <c r="T270" s="165"/>
      <c r="U270" s="165"/>
      <c r="V270" s="165"/>
      <c r="W270" s="165"/>
      <c r="X270" s="165"/>
      <c r="Y270" s="165"/>
      <c r="Z270" s="165"/>
    </row>
    <row r="271" spans="16:26" ht="10.199999999999999" customHeight="1">
      <c r="P271" s="165"/>
      <c r="Q271" s="165"/>
      <c r="R271" s="165"/>
      <c r="S271" s="165"/>
      <c r="T271" s="165"/>
      <c r="U271" s="165"/>
      <c r="V271" s="165"/>
      <c r="W271" s="165"/>
      <c r="X271" s="165"/>
      <c r="Y271" s="165"/>
      <c r="Z271" s="165"/>
    </row>
    <row r="272" spans="16:26" ht="10.199999999999999" customHeight="1">
      <c r="P272" s="165"/>
      <c r="Q272" s="165"/>
      <c r="R272" s="165"/>
      <c r="S272" s="165"/>
      <c r="T272" s="165"/>
      <c r="U272" s="165"/>
      <c r="V272" s="165"/>
      <c r="W272" s="165"/>
      <c r="X272" s="165"/>
      <c r="Y272" s="165"/>
      <c r="Z272" s="165"/>
    </row>
    <row r="273" spans="16:26" ht="10.199999999999999" customHeight="1">
      <c r="P273" s="165"/>
      <c r="Q273" s="165"/>
      <c r="R273" s="165"/>
      <c r="S273" s="165"/>
      <c r="T273" s="165"/>
      <c r="U273" s="165"/>
      <c r="V273" s="165"/>
      <c r="W273" s="165"/>
      <c r="X273" s="165"/>
      <c r="Y273" s="165"/>
      <c r="Z273" s="165"/>
    </row>
    <row r="274" spans="16:26" ht="10.199999999999999" customHeight="1">
      <c r="P274" s="165"/>
      <c r="Q274" s="165"/>
      <c r="R274" s="165"/>
      <c r="S274" s="165"/>
      <c r="T274" s="165"/>
      <c r="U274" s="165"/>
      <c r="V274" s="165"/>
      <c r="W274" s="165"/>
      <c r="X274" s="165"/>
      <c r="Y274" s="165"/>
      <c r="Z274" s="165"/>
    </row>
    <row r="275" spans="16:26" ht="10.199999999999999" customHeight="1">
      <c r="P275" s="165"/>
      <c r="Q275" s="165"/>
      <c r="R275" s="165"/>
      <c r="S275" s="165"/>
      <c r="T275" s="165"/>
      <c r="U275" s="165"/>
      <c r="V275" s="165"/>
      <c r="W275" s="165"/>
      <c r="X275" s="165"/>
      <c r="Y275" s="165"/>
      <c r="Z275" s="165"/>
    </row>
    <row r="276" spans="16:26" ht="10.199999999999999" customHeight="1">
      <c r="P276" s="165"/>
      <c r="Q276" s="165"/>
      <c r="R276" s="165"/>
      <c r="S276" s="165"/>
      <c r="T276" s="165"/>
      <c r="U276" s="165"/>
      <c r="V276" s="165"/>
      <c r="W276" s="165"/>
      <c r="X276" s="165"/>
      <c r="Y276" s="165"/>
      <c r="Z276" s="165"/>
    </row>
    <row r="277" spans="16:26" ht="10.199999999999999" customHeight="1">
      <c r="P277" s="165"/>
      <c r="Q277" s="165"/>
      <c r="R277" s="165"/>
      <c r="S277" s="165"/>
      <c r="T277" s="165"/>
      <c r="U277" s="165"/>
      <c r="V277" s="165"/>
      <c r="W277" s="165"/>
      <c r="X277" s="165"/>
      <c r="Y277" s="165"/>
      <c r="Z277" s="165"/>
    </row>
    <row r="278" spans="16:26" ht="10.199999999999999" customHeight="1">
      <c r="P278" s="165"/>
      <c r="Q278" s="165"/>
      <c r="R278" s="165"/>
      <c r="S278" s="165"/>
      <c r="T278" s="165"/>
      <c r="U278" s="165"/>
      <c r="V278" s="165"/>
      <c r="W278" s="165"/>
      <c r="X278" s="165"/>
      <c r="Y278" s="165"/>
      <c r="Z278" s="165"/>
    </row>
    <row r="279" spans="16:26" ht="10.199999999999999" customHeight="1">
      <c r="P279" s="165"/>
      <c r="Q279" s="165"/>
      <c r="R279" s="165"/>
      <c r="S279" s="165"/>
      <c r="T279" s="165"/>
      <c r="U279" s="165"/>
      <c r="V279" s="165"/>
      <c r="W279" s="165"/>
      <c r="X279" s="165"/>
      <c r="Y279" s="165"/>
      <c r="Z279" s="165"/>
    </row>
    <row r="280" spans="16:26" ht="10.199999999999999" customHeight="1">
      <c r="P280" s="165"/>
      <c r="Q280" s="165"/>
      <c r="R280" s="165"/>
      <c r="S280" s="165"/>
      <c r="T280" s="165"/>
      <c r="U280" s="165"/>
      <c r="V280" s="165"/>
      <c r="W280" s="165"/>
      <c r="X280" s="165"/>
      <c r="Y280" s="165"/>
      <c r="Z280" s="165"/>
    </row>
    <row r="281" spans="16:26" ht="10.199999999999999" customHeight="1">
      <c r="P281" s="165"/>
      <c r="Q281" s="165"/>
      <c r="R281" s="165"/>
      <c r="S281" s="165"/>
      <c r="T281" s="165"/>
      <c r="U281" s="165"/>
      <c r="V281" s="165"/>
      <c r="W281" s="165"/>
      <c r="X281" s="165"/>
      <c r="Y281" s="165"/>
      <c r="Z281" s="165"/>
    </row>
    <row r="282" spans="16:26" ht="10.199999999999999" customHeight="1">
      <c r="P282" s="165"/>
      <c r="Q282" s="165"/>
      <c r="R282" s="165"/>
      <c r="S282" s="165"/>
      <c r="T282" s="165"/>
      <c r="U282" s="165"/>
      <c r="V282" s="165"/>
      <c r="W282" s="165"/>
      <c r="X282" s="165"/>
      <c r="Y282" s="165"/>
      <c r="Z282" s="165"/>
    </row>
    <row r="283" spans="16:26" ht="10.199999999999999" customHeight="1">
      <c r="P283" s="165"/>
      <c r="Q283" s="165"/>
      <c r="R283" s="165"/>
      <c r="S283" s="165"/>
      <c r="T283" s="165"/>
      <c r="U283" s="165"/>
      <c r="V283" s="165"/>
      <c r="W283" s="165"/>
      <c r="X283" s="165"/>
      <c r="Y283" s="165"/>
      <c r="Z283" s="165"/>
    </row>
    <row r="284" spans="16:26" ht="10.199999999999999" customHeight="1">
      <c r="P284" s="165"/>
      <c r="Q284" s="165"/>
      <c r="R284" s="165"/>
      <c r="S284" s="165"/>
      <c r="T284" s="165"/>
      <c r="U284" s="165"/>
      <c r="V284" s="165"/>
      <c r="W284" s="165"/>
      <c r="X284" s="165"/>
      <c r="Y284" s="165"/>
      <c r="Z284" s="165"/>
    </row>
    <row r="285" spans="16:26" ht="10.199999999999999" customHeight="1">
      <c r="P285" s="165"/>
      <c r="Q285" s="165"/>
      <c r="R285" s="165"/>
      <c r="S285" s="165"/>
      <c r="T285" s="165"/>
      <c r="U285" s="165"/>
      <c r="V285" s="165"/>
      <c r="W285" s="165"/>
      <c r="X285" s="165"/>
      <c r="Y285" s="165"/>
      <c r="Z285" s="165"/>
    </row>
    <row r="286" spans="16:26" ht="10.199999999999999" customHeight="1">
      <c r="P286" s="165"/>
      <c r="Q286" s="165"/>
      <c r="R286" s="165"/>
      <c r="S286" s="165"/>
      <c r="T286" s="165"/>
      <c r="U286" s="165"/>
      <c r="V286" s="165"/>
      <c r="W286" s="165"/>
      <c r="X286" s="165"/>
      <c r="Y286" s="165"/>
      <c r="Z286" s="165"/>
    </row>
    <row r="287" spans="16:26" ht="10.199999999999999" customHeight="1">
      <c r="P287" s="165"/>
      <c r="Q287" s="165"/>
      <c r="R287" s="165"/>
      <c r="S287" s="165"/>
      <c r="T287" s="165"/>
      <c r="U287" s="165"/>
      <c r="V287" s="165"/>
      <c r="W287" s="165"/>
      <c r="X287" s="165"/>
      <c r="Y287" s="165"/>
      <c r="Z287" s="165"/>
    </row>
    <row r="288" spans="16:26" ht="10.199999999999999" customHeight="1">
      <c r="P288" s="165"/>
      <c r="Q288" s="165"/>
      <c r="R288" s="165"/>
      <c r="S288" s="165"/>
      <c r="T288" s="165"/>
      <c r="U288" s="165"/>
      <c r="V288" s="165"/>
      <c r="W288" s="165"/>
      <c r="X288" s="165"/>
      <c r="Y288" s="165"/>
      <c r="Z288" s="165"/>
    </row>
    <row r="289" spans="16:26" ht="10.199999999999999" customHeight="1">
      <c r="P289" s="165"/>
      <c r="Q289" s="165"/>
      <c r="R289" s="165"/>
      <c r="S289" s="165"/>
      <c r="T289" s="165"/>
      <c r="U289" s="165"/>
      <c r="V289" s="165"/>
      <c r="W289" s="165"/>
      <c r="X289" s="165"/>
      <c r="Y289" s="165"/>
      <c r="Z289" s="165"/>
    </row>
    <row r="290" spans="16:26" ht="10.199999999999999" customHeight="1">
      <c r="P290" s="165"/>
      <c r="Q290" s="165"/>
      <c r="R290" s="165"/>
      <c r="S290" s="165"/>
      <c r="T290" s="165"/>
      <c r="U290" s="165"/>
      <c r="V290" s="165"/>
      <c r="W290" s="165"/>
      <c r="X290" s="165"/>
      <c r="Y290" s="165"/>
      <c r="Z290" s="165"/>
    </row>
    <row r="291" spans="16:26" ht="10.199999999999999" customHeight="1">
      <c r="P291" s="165"/>
      <c r="Q291" s="165"/>
      <c r="R291" s="165"/>
      <c r="S291" s="165"/>
      <c r="T291" s="165"/>
      <c r="U291" s="165"/>
      <c r="V291" s="165"/>
      <c r="W291" s="165"/>
      <c r="X291" s="165"/>
      <c r="Y291" s="165"/>
      <c r="Z291" s="165"/>
    </row>
    <row r="292" spans="16:26" ht="10.199999999999999" customHeight="1">
      <c r="P292" s="165"/>
      <c r="Q292" s="165"/>
      <c r="R292" s="165"/>
      <c r="S292" s="165"/>
      <c r="T292" s="165"/>
      <c r="U292" s="165"/>
      <c r="V292" s="165"/>
      <c r="W292" s="165"/>
      <c r="X292" s="165"/>
      <c r="Y292" s="165"/>
      <c r="Z292" s="165"/>
    </row>
    <row r="293" spans="16:26" ht="10.199999999999999" customHeight="1">
      <c r="P293" s="165"/>
      <c r="Q293" s="165"/>
      <c r="R293" s="165"/>
      <c r="S293" s="165"/>
      <c r="T293" s="165"/>
      <c r="U293" s="165"/>
      <c r="V293" s="165"/>
      <c r="W293" s="165"/>
      <c r="X293" s="165"/>
      <c r="Y293" s="165"/>
      <c r="Z293" s="165"/>
    </row>
    <row r="294" spans="16:26" ht="10.199999999999999" customHeight="1">
      <c r="P294" s="165"/>
      <c r="Q294" s="165"/>
      <c r="R294" s="165"/>
      <c r="S294" s="165"/>
      <c r="T294" s="165"/>
      <c r="U294" s="165"/>
      <c r="V294" s="165"/>
      <c r="W294" s="165"/>
      <c r="X294" s="165"/>
      <c r="Y294" s="165"/>
      <c r="Z294" s="165"/>
    </row>
    <row r="295" spans="16:26" ht="10.199999999999999" customHeight="1">
      <c r="P295" s="165"/>
      <c r="Q295" s="165"/>
      <c r="R295" s="165"/>
      <c r="S295" s="165"/>
      <c r="T295" s="165"/>
      <c r="U295" s="165"/>
      <c r="V295" s="165"/>
      <c r="W295" s="165"/>
      <c r="X295" s="165"/>
      <c r="Y295" s="165"/>
      <c r="Z295" s="165"/>
    </row>
    <row r="296" spans="16:26" ht="10.199999999999999" customHeight="1">
      <c r="P296" s="165"/>
      <c r="Q296" s="165"/>
      <c r="R296" s="165"/>
      <c r="S296" s="165"/>
      <c r="T296" s="165"/>
      <c r="U296" s="165"/>
      <c r="V296" s="165"/>
      <c r="W296" s="165"/>
      <c r="X296" s="165"/>
      <c r="Y296" s="165"/>
      <c r="Z296" s="165"/>
    </row>
    <row r="297" spans="16:26" ht="10.199999999999999" customHeight="1">
      <c r="P297" s="165"/>
      <c r="Q297" s="165"/>
      <c r="R297" s="165"/>
      <c r="S297" s="165"/>
      <c r="T297" s="165"/>
      <c r="U297" s="165"/>
      <c r="V297" s="165"/>
      <c r="W297" s="165"/>
      <c r="X297" s="165"/>
      <c r="Y297" s="165"/>
      <c r="Z297" s="165"/>
    </row>
    <row r="298" spans="16:26" ht="10.199999999999999" customHeight="1">
      <c r="P298" s="165"/>
      <c r="Q298" s="165"/>
      <c r="R298" s="165"/>
      <c r="S298" s="165"/>
      <c r="T298" s="165"/>
      <c r="U298" s="165"/>
      <c r="V298" s="165"/>
      <c r="W298" s="165"/>
      <c r="X298" s="165"/>
      <c r="Y298" s="165"/>
      <c r="Z298" s="165"/>
    </row>
    <row r="299" spans="16:26" ht="10.199999999999999" customHeight="1">
      <c r="P299" s="165"/>
      <c r="Q299" s="165"/>
      <c r="R299" s="165"/>
      <c r="S299" s="165"/>
      <c r="T299" s="165"/>
      <c r="U299" s="165"/>
      <c r="V299" s="165"/>
      <c r="W299" s="165"/>
      <c r="X299" s="165"/>
      <c r="Y299" s="165"/>
      <c r="Z299" s="165"/>
    </row>
    <row r="300" spans="16:26" ht="10.199999999999999" customHeight="1">
      <c r="P300" s="165"/>
      <c r="Q300" s="165"/>
      <c r="R300" s="165"/>
      <c r="S300" s="165"/>
      <c r="T300" s="165"/>
      <c r="U300" s="165"/>
      <c r="V300" s="165"/>
      <c r="W300" s="165"/>
      <c r="X300" s="165"/>
      <c r="Y300" s="165"/>
      <c r="Z300" s="165"/>
    </row>
    <row r="301" spans="16:26" ht="10.199999999999999" customHeight="1">
      <c r="P301" s="165"/>
      <c r="Q301" s="165"/>
      <c r="R301" s="165"/>
      <c r="S301" s="165"/>
      <c r="T301" s="165"/>
      <c r="U301" s="165"/>
      <c r="V301" s="165"/>
      <c r="W301" s="165"/>
      <c r="X301" s="165"/>
      <c r="Y301" s="165"/>
      <c r="Z301" s="165"/>
    </row>
    <row r="302" spans="16:26" ht="10.199999999999999" customHeight="1">
      <c r="P302" s="165"/>
      <c r="Q302" s="165"/>
      <c r="R302" s="165"/>
      <c r="S302" s="165"/>
      <c r="T302" s="165"/>
      <c r="U302" s="165"/>
      <c r="V302" s="165"/>
      <c r="W302" s="165"/>
      <c r="X302" s="165"/>
      <c r="Y302" s="165"/>
      <c r="Z302" s="165"/>
    </row>
    <row r="303" spans="16:26" ht="10.199999999999999" customHeight="1">
      <c r="P303" s="165"/>
      <c r="Q303" s="165"/>
      <c r="R303" s="165"/>
      <c r="S303" s="165"/>
      <c r="T303" s="165"/>
      <c r="U303" s="165"/>
      <c r="V303" s="165"/>
      <c r="W303" s="165"/>
      <c r="X303" s="165"/>
      <c r="Y303" s="165"/>
      <c r="Z303" s="165"/>
    </row>
    <row r="304" spans="16:26" ht="10.199999999999999" customHeight="1">
      <c r="P304" s="165"/>
      <c r="Q304" s="165"/>
      <c r="R304" s="165"/>
      <c r="S304" s="165"/>
      <c r="T304" s="165"/>
      <c r="U304" s="165"/>
      <c r="V304" s="165"/>
      <c r="W304" s="165"/>
      <c r="X304" s="165"/>
      <c r="Y304" s="165"/>
      <c r="Z304" s="165"/>
    </row>
    <row r="305" spans="16:26" ht="10.199999999999999" customHeight="1">
      <c r="P305" s="165"/>
      <c r="Q305" s="165"/>
      <c r="R305" s="165"/>
      <c r="S305" s="165"/>
      <c r="T305" s="165"/>
      <c r="U305" s="165"/>
      <c r="V305" s="165"/>
      <c r="W305" s="165"/>
      <c r="X305" s="165"/>
      <c r="Y305" s="165"/>
      <c r="Z305" s="165"/>
    </row>
    <row r="306" spans="16:26" ht="10.199999999999999" customHeight="1">
      <c r="P306" s="165"/>
      <c r="Q306" s="165"/>
      <c r="R306" s="165"/>
      <c r="S306" s="165"/>
      <c r="T306" s="165"/>
      <c r="U306" s="165"/>
      <c r="V306" s="165"/>
      <c r="W306" s="165"/>
      <c r="X306" s="165"/>
      <c r="Y306" s="165"/>
      <c r="Z306" s="165"/>
    </row>
    <row r="307" spans="16:26" ht="10.199999999999999" customHeight="1">
      <c r="P307" s="165"/>
      <c r="Q307" s="165"/>
      <c r="R307" s="165"/>
      <c r="S307" s="165"/>
      <c r="T307" s="165"/>
      <c r="U307" s="165"/>
      <c r="V307" s="165"/>
      <c r="W307" s="165"/>
      <c r="X307" s="165"/>
      <c r="Y307" s="165"/>
      <c r="Z307" s="165"/>
    </row>
    <row r="308" spans="16:26" ht="10.199999999999999" customHeight="1">
      <c r="P308" s="165"/>
      <c r="Q308" s="165"/>
      <c r="R308" s="165"/>
      <c r="S308" s="165"/>
      <c r="T308" s="165"/>
      <c r="U308" s="165"/>
      <c r="V308" s="165"/>
      <c r="W308" s="165"/>
      <c r="X308" s="165"/>
      <c r="Y308" s="165"/>
      <c r="Z308" s="165"/>
    </row>
    <row r="309" spans="16:26" ht="10.199999999999999" customHeight="1">
      <c r="P309" s="165"/>
      <c r="Q309" s="165"/>
      <c r="R309" s="165"/>
      <c r="S309" s="165"/>
      <c r="T309" s="165"/>
      <c r="U309" s="165"/>
      <c r="V309" s="165"/>
      <c r="W309" s="165"/>
      <c r="X309" s="165"/>
      <c r="Y309" s="165"/>
      <c r="Z309" s="165"/>
    </row>
    <row r="310" spans="16:26" ht="10.199999999999999" customHeight="1">
      <c r="P310" s="165"/>
      <c r="Q310" s="165"/>
      <c r="R310" s="165"/>
      <c r="S310" s="165"/>
      <c r="T310" s="165"/>
      <c r="U310" s="165"/>
      <c r="V310" s="165"/>
      <c r="W310" s="165"/>
      <c r="X310" s="165"/>
      <c r="Y310" s="165"/>
      <c r="Z310" s="165"/>
    </row>
    <row r="311" spans="16:26" ht="10.199999999999999" customHeight="1">
      <c r="P311" s="165"/>
      <c r="Q311" s="165"/>
      <c r="R311" s="165"/>
      <c r="S311" s="165"/>
      <c r="T311" s="165"/>
      <c r="U311" s="165"/>
      <c r="V311" s="165"/>
      <c r="W311" s="165"/>
      <c r="X311" s="165"/>
      <c r="Y311" s="165"/>
      <c r="Z311" s="165"/>
    </row>
    <row r="312" spans="16:26" ht="10.199999999999999" customHeight="1">
      <c r="P312" s="165"/>
      <c r="Q312" s="165"/>
      <c r="R312" s="165"/>
      <c r="S312" s="165"/>
      <c r="T312" s="165"/>
      <c r="U312" s="165"/>
      <c r="V312" s="165"/>
      <c r="W312" s="165"/>
      <c r="X312" s="165"/>
      <c r="Y312" s="165"/>
      <c r="Z312" s="165"/>
    </row>
    <row r="313" spans="16:26" ht="10.199999999999999" customHeight="1">
      <c r="P313" s="165"/>
      <c r="Q313" s="165"/>
      <c r="R313" s="165"/>
      <c r="S313" s="165"/>
      <c r="T313" s="165"/>
      <c r="U313" s="165"/>
      <c r="V313" s="165"/>
      <c r="W313" s="165"/>
      <c r="X313" s="165"/>
      <c r="Y313" s="165"/>
      <c r="Z313" s="165"/>
    </row>
    <row r="314" spans="16:26" ht="10.199999999999999" customHeight="1">
      <c r="P314" s="165"/>
      <c r="Q314" s="165"/>
      <c r="R314" s="165"/>
      <c r="S314" s="165"/>
      <c r="T314" s="165"/>
      <c r="U314" s="165"/>
      <c r="V314" s="165"/>
      <c r="W314" s="165"/>
      <c r="X314" s="165"/>
      <c r="Y314" s="165"/>
      <c r="Z314" s="165"/>
    </row>
    <row r="315" spans="16:26" ht="10.199999999999999" customHeight="1">
      <c r="P315" s="165"/>
      <c r="Q315" s="165"/>
      <c r="R315" s="165"/>
      <c r="S315" s="165"/>
      <c r="T315" s="165"/>
      <c r="U315" s="165"/>
      <c r="V315" s="165"/>
      <c r="W315" s="165"/>
      <c r="X315" s="165"/>
      <c r="Y315" s="165"/>
      <c r="Z315" s="165"/>
    </row>
    <row r="316" spans="16:26" ht="10.199999999999999" customHeight="1">
      <c r="P316" s="165"/>
      <c r="Q316" s="165"/>
      <c r="R316" s="165"/>
      <c r="S316" s="165"/>
      <c r="T316" s="165"/>
      <c r="U316" s="165"/>
      <c r="V316" s="165"/>
      <c r="W316" s="165"/>
      <c r="X316" s="165"/>
      <c r="Y316" s="165"/>
      <c r="Z316" s="165"/>
    </row>
    <row r="317" spans="16:26" ht="10.199999999999999" customHeight="1">
      <c r="P317" s="165"/>
      <c r="Q317" s="165"/>
      <c r="R317" s="165"/>
      <c r="S317" s="165"/>
      <c r="T317" s="165"/>
      <c r="U317" s="165"/>
      <c r="V317" s="165"/>
      <c r="W317" s="165"/>
      <c r="X317" s="165"/>
      <c r="Y317" s="165"/>
      <c r="Z317" s="165"/>
    </row>
    <row r="318" spans="16:26" ht="10.199999999999999" customHeight="1">
      <c r="P318" s="165"/>
      <c r="Q318" s="165"/>
      <c r="R318" s="165"/>
      <c r="S318" s="165"/>
      <c r="T318" s="165"/>
      <c r="U318" s="165"/>
      <c r="V318" s="165"/>
      <c r="W318" s="165"/>
      <c r="X318" s="165"/>
      <c r="Y318" s="165"/>
      <c r="Z318" s="165"/>
    </row>
    <row r="319" spans="16:26" ht="10.199999999999999" customHeight="1">
      <c r="P319" s="165"/>
      <c r="Q319" s="165"/>
      <c r="R319" s="165"/>
      <c r="S319" s="165"/>
      <c r="T319" s="165"/>
      <c r="U319" s="165"/>
      <c r="V319" s="165"/>
      <c r="W319" s="165"/>
      <c r="X319" s="165"/>
      <c r="Y319" s="165"/>
      <c r="Z319" s="165"/>
    </row>
    <row r="320" spans="16:26" ht="10.199999999999999" customHeight="1">
      <c r="P320" s="165"/>
      <c r="Q320" s="165"/>
      <c r="R320" s="165"/>
      <c r="S320" s="165"/>
      <c r="T320" s="165"/>
      <c r="U320" s="165"/>
      <c r="V320" s="165"/>
      <c r="W320" s="165"/>
      <c r="X320" s="165"/>
      <c r="Y320" s="165"/>
      <c r="Z320" s="165"/>
    </row>
    <row r="321" spans="16:26" ht="10.199999999999999" customHeight="1">
      <c r="P321" s="165"/>
      <c r="Q321" s="165"/>
      <c r="R321" s="165"/>
      <c r="S321" s="165"/>
      <c r="T321" s="165"/>
      <c r="U321" s="165"/>
      <c r="V321" s="165"/>
      <c r="W321" s="165"/>
      <c r="X321" s="165"/>
      <c r="Y321" s="165"/>
      <c r="Z321" s="165"/>
    </row>
    <row r="322" spans="16:26" ht="10.199999999999999" customHeight="1">
      <c r="P322" s="165"/>
      <c r="Q322" s="165"/>
      <c r="R322" s="165"/>
      <c r="S322" s="165"/>
      <c r="T322" s="165"/>
      <c r="U322" s="165"/>
      <c r="V322" s="165"/>
      <c r="W322" s="165"/>
      <c r="X322" s="165"/>
      <c r="Y322" s="165"/>
      <c r="Z322" s="165"/>
    </row>
    <row r="323" spans="16:26" ht="10.199999999999999" customHeight="1">
      <c r="P323" s="165"/>
      <c r="Q323" s="165"/>
      <c r="R323" s="165"/>
      <c r="S323" s="165"/>
      <c r="T323" s="165"/>
      <c r="U323" s="165"/>
      <c r="V323" s="165"/>
      <c r="W323" s="165"/>
      <c r="X323" s="165"/>
      <c r="Y323" s="165"/>
      <c r="Z323" s="165"/>
    </row>
    <row r="324" spans="16:26" ht="10.199999999999999" customHeight="1">
      <c r="P324" s="165"/>
      <c r="Q324" s="165"/>
      <c r="R324" s="165"/>
      <c r="S324" s="165"/>
      <c r="T324" s="165"/>
      <c r="U324" s="165"/>
      <c r="V324" s="165"/>
      <c r="W324" s="165"/>
      <c r="X324" s="165"/>
      <c r="Y324" s="165"/>
      <c r="Z324" s="165"/>
    </row>
    <row r="325" spans="16:26" ht="10.199999999999999" customHeight="1">
      <c r="P325" s="165"/>
      <c r="Q325" s="165"/>
      <c r="R325" s="165"/>
      <c r="S325" s="165"/>
      <c r="T325" s="165"/>
      <c r="U325" s="165"/>
      <c r="V325" s="165"/>
      <c r="W325" s="165"/>
      <c r="X325" s="165"/>
      <c r="Y325" s="165"/>
      <c r="Z325" s="165"/>
    </row>
    <row r="326" spans="16:26" ht="10.199999999999999" customHeight="1">
      <c r="P326" s="165"/>
      <c r="Q326" s="165"/>
      <c r="R326" s="165"/>
      <c r="S326" s="165"/>
      <c r="T326" s="165"/>
      <c r="U326" s="165"/>
      <c r="V326" s="165"/>
      <c r="W326" s="165"/>
      <c r="X326" s="165"/>
      <c r="Y326" s="165"/>
      <c r="Z326" s="165"/>
    </row>
    <row r="327" spans="16:26" ht="10.199999999999999" customHeight="1">
      <c r="P327" s="165"/>
      <c r="Q327" s="165"/>
      <c r="R327" s="165"/>
      <c r="S327" s="165"/>
      <c r="T327" s="165"/>
      <c r="U327" s="165"/>
      <c r="V327" s="165"/>
      <c r="W327" s="165"/>
      <c r="X327" s="165"/>
      <c r="Y327" s="165"/>
      <c r="Z327" s="165"/>
    </row>
    <row r="328" spans="16:26" ht="10.199999999999999" customHeight="1">
      <c r="P328" s="165"/>
      <c r="Q328" s="165"/>
      <c r="R328" s="165"/>
      <c r="S328" s="165"/>
      <c r="T328" s="165"/>
      <c r="U328" s="165"/>
      <c r="V328" s="165"/>
      <c r="W328" s="165"/>
      <c r="X328" s="165"/>
      <c r="Y328" s="165"/>
      <c r="Z328" s="165"/>
    </row>
    <row r="329" spans="16:26" ht="10.199999999999999" customHeight="1">
      <c r="P329" s="165"/>
      <c r="Q329" s="165"/>
      <c r="R329" s="165"/>
      <c r="S329" s="165"/>
      <c r="T329" s="165"/>
      <c r="U329" s="165"/>
      <c r="V329" s="165"/>
      <c r="W329" s="165"/>
      <c r="X329" s="165"/>
      <c r="Y329" s="165"/>
      <c r="Z329" s="165"/>
    </row>
    <row r="330" spans="16:26" ht="10.199999999999999" customHeight="1">
      <c r="P330" s="165"/>
      <c r="Q330" s="165"/>
      <c r="R330" s="165"/>
      <c r="S330" s="165"/>
      <c r="T330" s="165"/>
      <c r="U330" s="165"/>
      <c r="V330" s="165"/>
      <c r="W330" s="165"/>
      <c r="X330" s="165"/>
      <c r="Y330" s="165"/>
      <c r="Z330" s="165"/>
    </row>
    <row r="331" spans="16:26" ht="10.199999999999999" customHeight="1">
      <c r="P331" s="165"/>
      <c r="Q331" s="165"/>
      <c r="R331" s="165"/>
      <c r="S331" s="165"/>
      <c r="T331" s="165"/>
      <c r="U331" s="165"/>
      <c r="V331" s="165"/>
      <c r="W331" s="165"/>
      <c r="X331" s="165"/>
      <c r="Y331" s="165"/>
      <c r="Z331" s="165"/>
    </row>
    <row r="332" spans="16:26" ht="10.199999999999999" customHeight="1">
      <c r="P332" s="165"/>
      <c r="Q332" s="165"/>
      <c r="R332" s="165"/>
      <c r="S332" s="165"/>
      <c r="T332" s="165"/>
      <c r="U332" s="165"/>
      <c r="V332" s="165"/>
      <c r="W332" s="165"/>
      <c r="X332" s="165"/>
      <c r="Y332" s="165"/>
      <c r="Z332" s="165"/>
    </row>
    <row r="333" spans="16:26" ht="10.199999999999999" customHeight="1">
      <c r="P333" s="165"/>
      <c r="Q333" s="165"/>
      <c r="R333" s="165"/>
      <c r="S333" s="165"/>
      <c r="T333" s="165"/>
      <c r="U333" s="165"/>
      <c r="V333" s="165"/>
      <c r="W333" s="165"/>
      <c r="X333" s="165"/>
      <c r="Y333" s="165"/>
      <c r="Z333" s="165"/>
    </row>
    <row r="334" spans="16:26" ht="10.199999999999999" customHeight="1">
      <c r="P334" s="165"/>
      <c r="Q334" s="165"/>
      <c r="R334" s="165"/>
      <c r="S334" s="165"/>
      <c r="T334" s="165"/>
      <c r="U334" s="165"/>
      <c r="V334" s="165"/>
      <c r="W334" s="165"/>
      <c r="X334" s="165"/>
      <c r="Y334" s="165"/>
      <c r="Z334" s="165"/>
    </row>
    <row r="335" spans="16:26" ht="10.199999999999999" customHeight="1">
      <c r="P335" s="165"/>
      <c r="Q335" s="165"/>
      <c r="R335" s="165"/>
      <c r="S335" s="165"/>
      <c r="T335" s="165"/>
      <c r="U335" s="165"/>
      <c r="V335" s="165"/>
      <c r="W335" s="165"/>
      <c r="X335" s="165"/>
      <c r="Y335" s="165"/>
      <c r="Z335" s="165"/>
    </row>
    <row r="336" spans="16:26" ht="10.199999999999999" customHeight="1">
      <c r="P336" s="165"/>
      <c r="Q336" s="165"/>
      <c r="R336" s="165"/>
      <c r="S336" s="165"/>
      <c r="T336" s="165"/>
      <c r="U336" s="165"/>
      <c r="V336" s="165"/>
      <c r="W336" s="165"/>
      <c r="X336" s="165"/>
      <c r="Y336" s="165"/>
      <c r="Z336" s="165"/>
    </row>
    <row r="337" spans="16:26" ht="10.199999999999999" customHeight="1">
      <c r="P337" s="165"/>
      <c r="Q337" s="165"/>
      <c r="R337" s="165"/>
      <c r="S337" s="165"/>
      <c r="T337" s="165"/>
      <c r="U337" s="165"/>
      <c r="V337" s="165"/>
      <c r="W337" s="165"/>
      <c r="X337" s="165"/>
      <c r="Y337" s="165"/>
      <c r="Z337" s="165"/>
    </row>
    <row r="338" spans="16:26" ht="10.199999999999999" customHeight="1">
      <c r="P338" s="165"/>
      <c r="Q338" s="165"/>
      <c r="R338" s="165"/>
      <c r="S338" s="165"/>
      <c r="T338" s="165"/>
      <c r="U338" s="165"/>
      <c r="V338" s="165"/>
      <c r="W338" s="165"/>
      <c r="X338" s="165"/>
      <c r="Y338" s="165"/>
      <c r="Z338" s="165"/>
    </row>
    <row r="339" spans="16:26" ht="10.199999999999999" customHeight="1">
      <c r="P339" s="165"/>
      <c r="Q339" s="165"/>
      <c r="R339" s="165"/>
      <c r="S339" s="165"/>
      <c r="T339" s="165"/>
      <c r="U339" s="165"/>
      <c r="V339" s="165"/>
      <c r="W339" s="165"/>
      <c r="X339" s="165"/>
      <c r="Y339" s="165"/>
      <c r="Z339" s="165"/>
    </row>
    <row r="340" spans="16:26" ht="10.199999999999999" customHeight="1">
      <c r="P340" s="165"/>
      <c r="Q340" s="165"/>
      <c r="R340" s="165"/>
      <c r="S340" s="165"/>
      <c r="T340" s="165"/>
      <c r="U340" s="165"/>
      <c r="V340" s="165"/>
      <c r="W340" s="165"/>
      <c r="X340" s="165"/>
      <c r="Y340" s="165"/>
      <c r="Z340" s="165"/>
    </row>
    <row r="341" spans="16:26" ht="10.199999999999999" customHeight="1">
      <c r="P341" s="165"/>
      <c r="Q341" s="165"/>
      <c r="R341" s="165"/>
      <c r="S341" s="165"/>
      <c r="T341" s="165"/>
      <c r="U341" s="165"/>
      <c r="V341" s="165"/>
      <c r="W341" s="165"/>
      <c r="X341" s="165"/>
      <c r="Y341" s="165"/>
      <c r="Z341" s="165"/>
    </row>
    <row r="342" spans="16:26" ht="10.199999999999999" customHeight="1">
      <c r="P342" s="165"/>
      <c r="Q342" s="165"/>
      <c r="R342" s="165"/>
      <c r="S342" s="165"/>
      <c r="T342" s="165"/>
      <c r="U342" s="165"/>
      <c r="V342" s="165"/>
      <c r="W342" s="165"/>
      <c r="X342" s="165"/>
      <c r="Y342" s="165"/>
      <c r="Z342" s="165"/>
    </row>
    <row r="343" spans="16:26" ht="10.199999999999999" customHeight="1">
      <c r="P343" s="165"/>
      <c r="Q343" s="165"/>
      <c r="R343" s="165"/>
      <c r="S343" s="165"/>
      <c r="T343" s="165"/>
      <c r="U343" s="165"/>
      <c r="V343" s="165"/>
      <c r="W343" s="165"/>
      <c r="X343" s="165"/>
      <c r="Y343" s="165"/>
      <c r="Z343" s="165"/>
    </row>
    <row r="344" spans="16:26" ht="10.199999999999999" customHeight="1">
      <c r="P344" s="165"/>
      <c r="Q344" s="165"/>
      <c r="R344" s="165"/>
      <c r="S344" s="165"/>
      <c r="T344" s="165"/>
      <c r="U344" s="165"/>
      <c r="V344" s="165"/>
      <c r="W344" s="165"/>
      <c r="X344" s="165"/>
      <c r="Y344" s="165"/>
      <c r="Z344" s="165"/>
    </row>
    <row r="345" spans="16:26" ht="10.199999999999999" customHeight="1">
      <c r="P345" s="165"/>
      <c r="Q345" s="165"/>
      <c r="R345" s="165"/>
      <c r="S345" s="165"/>
      <c r="T345" s="165"/>
      <c r="U345" s="165"/>
      <c r="V345" s="165"/>
      <c r="W345" s="165"/>
      <c r="X345" s="165"/>
      <c r="Y345" s="165"/>
      <c r="Z345" s="165"/>
    </row>
    <row r="346" spans="16:26" ht="10.199999999999999" customHeight="1">
      <c r="P346" s="165"/>
      <c r="Q346" s="165"/>
      <c r="R346" s="165"/>
      <c r="S346" s="165"/>
      <c r="T346" s="165"/>
      <c r="U346" s="165"/>
      <c r="V346" s="165"/>
      <c r="W346" s="165"/>
      <c r="X346" s="165"/>
      <c r="Y346" s="165"/>
      <c r="Z346" s="165"/>
    </row>
    <row r="347" spans="16:26" ht="10.199999999999999" customHeight="1">
      <c r="P347" s="165"/>
      <c r="Q347" s="165"/>
      <c r="R347" s="165"/>
      <c r="S347" s="165"/>
      <c r="T347" s="165"/>
      <c r="U347" s="165"/>
      <c r="V347" s="165"/>
      <c r="W347" s="165"/>
      <c r="X347" s="165"/>
      <c r="Y347" s="165"/>
      <c r="Z347" s="165"/>
    </row>
    <row r="348" spans="16:26" ht="10.199999999999999" customHeight="1">
      <c r="P348" s="165"/>
      <c r="Q348" s="165"/>
      <c r="R348" s="165"/>
      <c r="S348" s="165"/>
      <c r="T348" s="165"/>
      <c r="U348" s="165"/>
      <c r="V348" s="165"/>
      <c r="W348" s="165"/>
      <c r="X348" s="165"/>
      <c r="Y348" s="165"/>
      <c r="Z348" s="165"/>
    </row>
    <row r="349" spans="16:26" ht="10.199999999999999" customHeight="1">
      <c r="P349" s="165"/>
      <c r="Q349" s="165"/>
      <c r="R349" s="165"/>
      <c r="S349" s="165"/>
      <c r="T349" s="165"/>
      <c r="U349" s="165"/>
      <c r="V349" s="165"/>
      <c r="W349" s="165"/>
      <c r="X349" s="165"/>
      <c r="Y349" s="165"/>
      <c r="Z349" s="165"/>
    </row>
    <row r="350" spans="16:26" ht="10.199999999999999" customHeight="1">
      <c r="P350" s="165"/>
      <c r="Q350" s="165"/>
      <c r="R350" s="165"/>
      <c r="S350" s="165"/>
      <c r="T350" s="165"/>
      <c r="U350" s="165"/>
      <c r="V350" s="165"/>
      <c r="W350" s="165"/>
      <c r="X350" s="165"/>
      <c r="Y350" s="165"/>
      <c r="Z350" s="165"/>
    </row>
    <row r="351" spans="16:26" ht="10.199999999999999" customHeight="1">
      <c r="P351" s="165"/>
      <c r="Q351" s="165"/>
      <c r="R351" s="165"/>
      <c r="S351" s="165"/>
      <c r="T351" s="165"/>
      <c r="U351" s="165"/>
      <c r="V351" s="165"/>
      <c r="W351" s="165"/>
      <c r="X351" s="165"/>
      <c r="Y351" s="165"/>
      <c r="Z351" s="165"/>
    </row>
    <row r="352" spans="16:26" ht="10.199999999999999" customHeight="1">
      <c r="P352" s="165"/>
      <c r="Q352" s="165"/>
      <c r="R352" s="165"/>
      <c r="S352" s="165"/>
      <c r="T352" s="165"/>
      <c r="U352" s="165"/>
      <c r="V352" s="165"/>
      <c r="W352" s="165"/>
      <c r="X352" s="165"/>
      <c r="Y352" s="165"/>
      <c r="Z352" s="165"/>
    </row>
    <row r="353" spans="16:26" ht="10.199999999999999" customHeight="1">
      <c r="P353" s="165"/>
      <c r="Q353" s="165"/>
      <c r="R353" s="165"/>
      <c r="S353" s="165"/>
      <c r="T353" s="165"/>
      <c r="U353" s="165"/>
      <c r="V353" s="165"/>
      <c r="W353" s="165"/>
      <c r="X353" s="165"/>
      <c r="Y353" s="165"/>
      <c r="Z353" s="165"/>
    </row>
    <row r="354" spans="16:26" ht="10.199999999999999" customHeight="1">
      <c r="P354" s="165"/>
      <c r="Q354" s="165"/>
      <c r="R354" s="165"/>
      <c r="S354" s="165"/>
      <c r="T354" s="165"/>
      <c r="U354" s="165"/>
      <c r="V354" s="165"/>
      <c r="W354" s="165"/>
      <c r="X354" s="165"/>
      <c r="Y354" s="165"/>
      <c r="Z354" s="165"/>
    </row>
    <row r="355" spans="16:26" ht="10.199999999999999" customHeight="1">
      <c r="P355" s="165"/>
      <c r="Q355" s="165"/>
      <c r="R355" s="165"/>
      <c r="S355" s="165"/>
      <c r="T355" s="165"/>
      <c r="U355" s="165"/>
      <c r="V355" s="165"/>
      <c r="W355" s="165"/>
      <c r="X355" s="165"/>
      <c r="Y355" s="165"/>
      <c r="Z355" s="165"/>
    </row>
    <row r="356" spans="16:26" ht="10.199999999999999" customHeight="1">
      <c r="P356" s="165"/>
      <c r="Q356" s="165"/>
      <c r="R356" s="165"/>
      <c r="S356" s="165"/>
      <c r="T356" s="165"/>
      <c r="U356" s="165"/>
      <c r="V356" s="165"/>
      <c r="W356" s="165"/>
      <c r="X356" s="165"/>
      <c r="Y356" s="165"/>
      <c r="Z356" s="165"/>
    </row>
    <row r="357" spans="16:26" ht="10.199999999999999" customHeight="1">
      <c r="P357" s="165"/>
      <c r="Q357" s="165"/>
      <c r="R357" s="165"/>
      <c r="S357" s="165"/>
      <c r="T357" s="165"/>
      <c r="U357" s="165"/>
      <c r="V357" s="165"/>
      <c r="W357" s="165"/>
      <c r="X357" s="165"/>
      <c r="Y357" s="165"/>
      <c r="Z357" s="165"/>
    </row>
    <row r="358" spans="16:26" ht="10.199999999999999" customHeight="1">
      <c r="P358" s="165"/>
      <c r="Q358" s="165"/>
      <c r="R358" s="165"/>
      <c r="S358" s="165"/>
      <c r="T358" s="165"/>
      <c r="U358" s="165"/>
      <c r="V358" s="165"/>
      <c r="W358" s="165"/>
      <c r="X358" s="165"/>
      <c r="Y358" s="165"/>
      <c r="Z358" s="165"/>
    </row>
    <row r="359" spans="16:26" ht="10.199999999999999" customHeight="1">
      <c r="P359" s="165"/>
      <c r="Q359" s="165"/>
      <c r="R359" s="165"/>
      <c r="S359" s="165"/>
      <c r="T359" s="165"/>
      <c r="U359" s="165"/>
      <c r="V359" s="165"/>
      <c r="W359" s="165"/>
      <c r="X359" s="165"/>
      <c r="Y359" s="165"/>
      <c r="Z359" s="165"/>
    </row>
    <row r="360" spans="16:26" ht="10.199999999999999" customHeight="1">
      <c r="P360" s="165"/>
      <c r="Q360" s="165"/>
      <c r="R360" s="165"/>
      <c r="S360" s="165"/>
      <c r="T360" s="165"/>
      <c r="U360" s="165"/>
      <c r="V360" s="165"/>
      <c r="W360" s="165"/>
      <c r="X360" s="165"/>
      <c r="Y360" s="165"/>
      <c r="Z360" s="165"/>
    </row>
    <row r="361" spans="16:26" ht="10.199999999999999" customHeight="1">
      <c r="P361" s="165"/>
      <c r="Q361" s="165"/>
      <c r="R361" s="165"/>
      <c r="S361" s="165"/>
      <c r="T361" s="165"/>
      <c r="U361" s="165"/>
      <c r="V361" s="165"/>
      <c r="W361" s="165"/>
      <c r="X361" s="165"/>
      <c r="Y361" s="165"/>
      <c r="Z361" s="165"/>
    </row>
    <row r="362" spans="16:26" ht="10.199999999999999" customHeight="1">
      <c r="P362" s="165"/>
      <c r="Q362" s="165"/>
      <c r="R362" s="165"/>
      <c r="S362" s="165"/>
      <c r="T362" s="165"/>
      <c r="U362" s="165"/>
      <c r="V362" s="165"/>
      <c r="W362" s="165"/>
      <c r="X362" s="165"/>
      <c r="Y362" s="165"/>
      <c r="Z362" s="165"/>
    </row>
    <row r="363" spans="16:26" ht="10.199999999999999" customHeight="1">
      <c r="P363" s="165"/>
      <c r="Q363" s="165"/>
      <c r="R363" s="165"/>
      <c r="S363" s="165"/>
      <c r="T363" s="165"/>
      <c r="U363" s="165"/>
      <c r="V363" s="165"/>
      <c r="W363" s="165"/>
      <c r="X363" s="165"/>
      <c r="Y363" s="165"/>
      <c r="Z363" s="165"/>
    </row>
    <row r="364" spans="16:26" ht="10.199999999999999" customHeight="1">
      <c r="P364" s="165"/>
      <c r="Q364" s="165"/>
      <c r="R364" s="165"/>
      <c r="S364" s="165"/>
      <c r="T364" s="165"/>
      <c r="U364" s="165"/>
      <c r="V364" s="165"/>
      <c r="W364" s="165"/>
      <c r="X364" s="165"/>
      <c r="Y364" s="165"/>
      <c r="Z364" s="165"/>
    </row>
    <row r="365" spans="16:26" ht="10.199999999999999" customHeight="1">
      <c r="P365" s="165"/>
      <c r="Q365" s="165"/>
      <c r="R365" s="165"/>
      <c r="S365" s="165"/>
      <c r="T365" s="165"/>
      <c r="U365" s="165"/>
      <c r="V365" s="165"/>
      <c r="W365" s="165"/>
      <c r="X365" s="165"/>
      <c r="Y365" s="165"/>
      <c r="Z365" s="165"/>
    </row>
    <row r="366" spans="16:26" ht="10.199999999999999" customHeight="1">
      <c r="P366" s="165"/>
      <c r="Q366" s="165"/>
      <c r="R366" s="165"/>
      <c r="S366" s="165"/>
      <c r="T366" s="165"/>
      <c r="U366" s="165"/>
      <c r="V366" s="165"/>
      <c r="W366" s="165"/>
      <c r="X366" s="165"/>
      <c r="Y366" s="165"/>
      <c r="Z366" s="165"/>
    </row>
    <row r="367" spans="16:26" ht="10.199999999999999" customHeight="1">
      <c r="P367" s="165"/>
      <c r="Q367" s="165"/>
      <c r="R367" s="165"/>
      <c r="S367" s="165"/>
      <c r="T367" s="165"/>
      <c r="U367" s="165"/>
      <c r="V367" s="165"/>
      <c r="W367" s="165"/>
      <c r="X367" s="165"/>
      <c r="Y367" s="165"/>
      <c r="Z367" s="165"/>
    </row>
    <row r="368" spans="16:26" ht="10.199999999999999" customHeight="1">
      <c r="P368" s="165"/>
      <c r="Q368" s="165"/>
      <c r="R368" s="165"/>
      <c r="S368" s="165"/>
      <c r="T368" s="165"/>
      <c r="U368" s="165"/>
      <c r="V368" s="165"/>
      <c r="W368" s="165"/>
      <c r="X368" s="165"/>
      <c r="Y368" s="165"/>
      <c r="Z368" s="165"/>
    </row>
    <row r="369" spans="16:26" ht="10.199999999999999" customHeight="1">
      <c r="P369" s="165"/>
      <c r="Q369" s="165"/>
      <c r="R369" s="165"/>
      <c r="S369" s="165"/>
      <c r="T369" s="165"/>
      <c r="U369" s="165"/>
      <c r="V369" s="165"/>
      <c r="W369" s="165"/>
      <c r="X369" s="165"/>
      <c r="Y369" s="165"/>
      <c r="Z369" s="165"/>
    </row>
    <row r="370" spans="16:26" ht="10.199999999999999" customHeight="1">
      <c r="P370" s="165"/>
      <c r="Q370" s="165"/>
      <c r="R370" s="165"/>
      <c r="S370" s="165"/>
      <c r="T370" s="165"/>
      <c r="U370" s="165"/>
      <c r="V370" s="165"/>
      <c r="W370" s="165"/>
      <c r="X370" s="165"/>
      <c r="Y370" s="165"/>
      <c r="Z370" s="165"/>
    </row>
    <row r="371" spans="16:26" ht="10.199999999999999" customHeight="1">
      <c r="P371" s="165"/>
      <c r="Q371" s="165"/>
      <c r="R371" s="165"/>
      <c r="S371" s="165"/>
      <c r="T371" s="165"/>
      <c r="U371" s="165"/>
      <c r="V371" s="165"/>
      <c r="W371" s="165"/>
      <c r="X371" s="165"/>
      <c r="Y371" s="165"/>
      <c r="Z371" s="165"/>
    </row>
    <row r="372" spans="16:26" ht="10.199999999999999" customHeight="1">
      <c r="P372" s="165"/>
      <c r="Q372" s="165"/>
      <c r="R372" s="165"/>
      <c r="S372" s="165"/>
      <c r="T372" s="165"/>
      <c r="U372" s="165"/>
      <c r="V372" s="165"/>
      <c r="W372" s="165"/>
      <c r="X372" s="165"/>
      <c r="Y372" s="165"/>
      <c r="Z372" s="165"/>
    </row>
    <row r="373" spans="16:26" ht="10.199999999999999" customHeight="1">
      <c r="P373" s="165"/>
      <c r="Q373" s="165"/>
      <c r="R373" s="165"/>
      <c r="S373" s="165"/>
      <c r="T373" s="165"/>
      <c r="U373" s="165"/>
      <c r="V373" s="165"/>
      <c r="W373" s="165"/>
      <c r="X373" s="165"/>
      <c r="Y373" s="165"/>
      <c r="Z373" s="165"/>
    </row>
    <row r="374" spans="16:26" ht="10.199999999999999" customHeight="1">
      <c r="P374" s="165"/>
      <c r="Q374" s="165"/>
      <c r="R374" s="165"/>
      <c r="S374" s="165"/>
      <c r="T374" s="165"/>
      <c r="U374" s="165"/>
      <c r="V374" s="165"/>
      <c r="W374" s="165"/>
      <c r="X374" s="165"/>
      <c r="Y374" s="165"/>
      <c r="Z374" s="165"/>
    </row>
    <row r="375" spans="16:26" ht="10.199999999999999" customHeight="1">
      <c r="P375" s="165"/>
      <c r="Q375" s="165"/>
      <c r="R375" s="165"/>
      <c r="S375" s="165"/>
      <c r="T375" s="165"/>
      <c r="U375" s="165"/>
      <c r="V375" s="165"/>
      <c r="W375" s="165"/>
      <c r="X375" s="165"/>
      <c r="Y375" s="165"/>
      <c r="Z375" s="165"/>
    </row>
    <row r="376" spans="16:26" ht="10.199999999999999" customHeight="1">
      <c r="P376" s="165"/>
      <c r="Q376" s="165"/>
      <c r="R376" s="165"/>
      <c r="S376" s="165"/>
      <c r="T376" s="165"/>
      <c r="U376" s="165"/>
      <c r="V376" s="165"/>
      <c r="W376" s="165"/>
      <c r="X376" s="165"/>
      <c r="Y376" s="165"/>
      <c r="Z376" s="165"/>
    </row>
    <row r="377" spans="16:26" ht="10.199999999999999" customHeight="1">
      <c r="P377" s="165"/>
      <c r="Q377" s="165"/>
      <c r="R377" s="165"/>
      <c r="S377" s="165"/>
      <c r="T377" s="165"/>
      <c r="U377" s="165"/>
      <c r="V377" s="165"/>
      <c r="W377" s="165"/>
      <c r="X377" s="165"/>
      <c r="Y377" s="165"/>
      <c r="Z377" s="165"/>
    </row>
    <row r="378" spans="16:26" ht="10.199999999999999" customHeight="1">
      <c r="P378" s="165"/>
      <c r="Q378" s="165"/>
      <c r="R378" s="165"/>
      <c r="S378" s="165"/>
      <c r="T378" s="165"/>
      <c r="U378" s="165"/>
      <c r="V378" s="165"/>
      <c r="W378" s="165"/>
      <c r="X378" s="165"/>
      <c r="Y378" s="165"/>
      <c r="Z378" s="165"/>
    </row>
    <row r="379" spans="16:26" ht="10.199999999999999" customHeight="1">
      <c r="P379" s="165"/>
      <c r="Q379" s="165"/>
      <c r="R379" s="165"/>
      <c r="S379" s="165"/>
      <c r="T379" s="165"/>
      <c r="U379" s="165"/>
      <c r="V379" s="165"/>
      <c r="W379" s="165"/>
      <c r="X379" s="165"/>
      <c r="Y379" s="165"/>
      <c r="Z379" s="165"/>
    </row>
    <row r="380" spans="16:26" ht="10.199999999999999" customHeight="1">
      <c r="P380" s="165"/>
      <c r="Q380" s="165"/>
      <c r="R380" s="165"/>
      <c r="S380" s="165"/>
      <c r="T380" s="165"/>
      <c r="U380" s="165"/>
      <c r="V380" s="165"/>
      <c r="W380" s="165"/>
      <c r="X380" s="165"/>
      <c r="Y380" s="165"/>
      <c r="Z380" s="165"/>
    </row>
    <row r="381" spans="16:26" ht="10.199999999999999" customHeight="1">
      <c r="P381" s="165"/>
      <c r="Q381" s="165"/>
      <c r="R381" s="165"/>
      <c r="S381" s="165"/>
      <c r="T381" s="165"/>
      <c r="U381" s="165"/>
      <c r="V381" s="165"/>
      <c r="W381" s="165"/>
      <c r="X381" s="165"/>
      <c r="Y381" s="165"/>
      <c r="Z381" s="165"/>
    </row>
    <row r="382" spans="16:26" ht="10.199999999999999" customHeight="1">
      <c r="P382" s="165"/>
      <c r="Q382" s="165"/>
      <c r="R382" s="165"/>
      <c r="S382" s="165"/>
      <c r="T382" s="165"/>
      <c r="U382" s="165"/>
      <c r="V382" s="165"/>
      <c r="W382" s="165"/>
      <c r="X382" s="165"/>
      <c r="Y382" s="165"/>
      <c r="Z382" s="165"/>
    </row>
    <row r="383" spans="16:26" ht="10.199999999999999" customHeight="1">
      <c r="P383" s="165"/>
      <c r="Q383" s="165"/>
      <c r="R383" s="165"/>
      <c r="S383" s="165"/>
      <c r="T383" s="165"/>
      <c r="U383" s="165"/>
      <c r="V383" s="165"/>
      <c r="W383" s="165"/>
      <c r="X383" s="165"/>
      <c r="Y383" s="165"/>
      <c r="Z383" s="165"/>
    </row>
    <row r="384" spans="16:26" ht="10.199999999999999" customHeight="1">
      <c r="P384" s="165"/>
      <c r="Q384" s="165"/>
      <c r="R384" s="165"/>
      <c r="S384" s="165"/>
      <c r="T384" s="165"/>
      <c r="U384" s="165"/>
      <c r="V384" s="165"/>
      <c r="W384" s="165"/>
      <c r="X384" s="165"/>
      <c r="Y384" s="165"/>
      <c r="Z384" s="165"/>
    </row>
    <row r="385" spans="16:26" ht="10.199999999999999" customHeight="1">
      <c r="P385" s="165"/>
      <c r="Q385" s="165"/>
      <c r="R385" s="165"/>
      <c r="S385" s="165"/>
      <c r="T385" s="165"/>
      <c r="U385" s="165"/>
      <c r="V385" s="165"/>
      <c r="W385" s="165"/>
      <c r="X385" s="165"/>
      <c r="Y385" s="165"/>
      <c r="Z385" s="165"/>
    </row>
    <row r="386" spans="16:26" ht="10.199999999999999" customHeight="1">
      <c r="P386" s="165"/>
      <c r="Q386" s="165"/>
      <c r="R386" s="165"/>
      <c r="S386" s="165"/>
      <c r="T386" s="165"/>
      <c r="U386" s="165"/>
      <c r="V386" s="165"/>
      <c r="W386" s="165"/>
      <c r="X386" s="165"/>
      <c r="Y386" s="165"/>
      <c r="Z386" s="165"/>
    </row>
    <row r="387" spans="16:26" ht="10.199999999999999" customHeight="1">
      <c r="P387" s="165"/>
      <c r="Q387" s="165"/>
      <c r="R387" s="165"/>
      <c r="S387" s="165"/>
      <c r="T387" s="165"/>
      <c r="U387" s="165"/>
      <c r="V387" s="165"/>
      <c r="W387" s="165"/>
      <c r="X387" s="165"/>
      <c r="Y387" s="165"/>
      <c r="Z387" s="165"/>
    </row>
    <row r="388" spans="16:26" ht="10.199999999999999" customHeight="1">
      <c r="P388" s="165"/>
      <c r="Q388" s="165"/>
      <c r="R388" s="165"/>
      <c r="S388" s="165"/>
      <c r="T388" s="165"/>
      <c r="U388" s="165"/>
      <c r="V388" s="165"/>
      <c r="W388" s="165"/>
      <c r="X388" s="165"/>
      <c r="Y388" s="165"/>
      <c r="Z388" s="165"/>
    </row>
    <row r="389" spans="16:26" ht="10.199999999999999" customHeight="1">
      <c r="P389" s="165"/>
      <c r="Q389" s="165"/>
      <c r="R389" s="165"/>
      <c r="S389" s="165"/>
      <c r="T389" s="165"/>
      <c r="U389" s="165"/>
      <c r="V389" s="165"/>
      <c r="W389" s="165"/>
      <c r="X389" s="165"/>
      <c r="Y389" s="165"/>
      <c r="Z389" s="165"/>
    </row>
    <row r="390" spans="16:26" ht="10.199999999999999" customHeight="1">
      <c r="P390" s="165"/>
      <c r="Q390" s="165"/>
      <c r="R390" s="165"/>
      <c r="S390" s="165"/>
      <c r="T390" s="165"/>
      <c r="U390" s="165"/>
      <c r="V390" s="165"/>
      <c r="W390" s="165"/>
      <c r="X390" s="165"/>
      <c r="Y390" s="165"/>
      <c r="Z390" s="165"/>
    </row>
    <row r="391" spans="16:26" ht="10.199999999999999" customHeight="1">
      <c r="P391" s="165"/>
      <c r="Q391" s="165"/>
      <c r="R391" s="165"/>
      <c r="S391" s="165"/>
      <c r="T391" s="165"/>
      <c r="U391" s="165"/>
      <c r="V391" s="165"/>
      <c r="W391" s="165"/>
      <c r="X391" s="165"/>
      <c r="Y391" s="165"/>
      <c r="Z391" s="165"/>
    </row>
    <row r="392" spans="16:26" ht="10.199999999999999" customHeight="1">
      <c r="P392" s="165"/>
      <c r="Q392" s="165"/>
      <c r="R392" s="165"/>
      <c r="S392" s="165"/>
      <c r="T392" s="165"/>
      <c r="U392" s="165"/>
      <c r="V392" s="165"/>
      <c r="W392" s="165"/>
      <c r="X392" s="165"/>
      <c r="Y392" s="165"/>
      <c r="Z392" s="165"/>
    </row>
    <row r="393" spans="16:26" ht="10.199999999999999" customHeight="1">
      <c r="P393" s="165"/>
      <c r="Q393" s="165"/>
      <c r="R393" s="165"/>
      <c r="S393" s="165"/>
      <c r="T393" s="165"/>
      <c r="U393" s="165"/>
      <c r="V393" s="165"/>
      <c r="W393" s="165"/>
      <c r="X393" s="165"/>
      <c r="Y393" s="165"/>
      <c r="Z393" s="165"/>
    </row>
    <row r="394" spans="16:26" ht="10.199999999999999" customHeight="1">
      <c r="P394" s="165"/>
      <c r="Q394" s="165"/>
      <c r="R394" s="165"/>
      <c r="S394" s="165"/>
      <c r="T394" s="165"/>
      <c r="U394" s="165"/>
      <c r="V394" s="165"/>
      <c r="W394" s="165"/>
      <c r="X394" s="165"/>
      <c r="Y394" s="165"/>
      <c r="Z394" s="165"/>
    </row>
    <row r="395" spans="16:26" ht="10.199999999999999" customHeight="1">
      <c r="P395" s="165"/>
      <c r="Q395" s="165"/>
      <c r="R395" s="165"/>
      <c r="S395" s="165"/>
      <c r="T395" s="165"/>
      <c r="U395" s="165"/>
      <c r="V395" s="165"/>
      <c r="W395" s="165"/>
      <c r="X395" s="165"/>
      <c r="Y395" s="165"/>
      <c r="Z395" s="165"/>
    </row>
    <row r="396" spans="16:26" ht="10.199999999999999" customHeight="1">
      <c r="P396" s="165"/>
      <c r="Q396" s="165"/>
      <c r="R396" s="165"/>
      <c r="S396" s="165"/>
      <c r="T396" s="165"/>
      <c r="U396" s="165"/>
      <c r="V396" s="165"/>
      <c r="W396" s="165"/>
      <c r="X396" s="165"/>
      <c r="Y396" s="165"/>
      <c r="Z396" s="165"/>
    </row>
    <row r="397" spans="16:26" ht="10.199999999999999" customHeight="1">
      <c r="P397" s="165"/>
      <c r="Q397" s="165"/>
      <c r="R397" s="165"/>
      <c r="S397" s="165"/>
      <c r="T397" s="165"/>
      <c r="U397" s="165"/>
      <c r="V397" s="165"/>
      <c r="W397" s="165"/>
      <c r="X397" s="165"/>
      <c r="Y397" s="165"/>
      <c r="Z397" s="165"/>
    </row>
    <row r="398" spans="16:26" ht="10.199999999999999" customHeight="1">
      <c r="P398" s="165"/>
      <c r="Q398" s="165"/>
      <c r="R398" s="165"/>
      <c r="S398" s="165"/>
      <c r="T398" s="165"/>
      <c r="U398" s="165"/>
      <c r="V398" s="165"/>
      <c r="W398" s="165"/>
      <c r="X398" s="165"/>
      <c r="Y398" s="165"/>
      <c r="Z398" s="165"/>
    </row>
    <row r="399" spans="16:26" ht="10.199999999999999" customHeight="1">
      <c r="P399" s="165"/>
      <c r="Q399" s="165"/>
      <c r="R399" s="165"/>
      <c r="S399" s="165"/>
      <c r="T399" s="165"/>
      <c r="U399" s="165"/>
      <c r="V399" s="165"/>
      <c r="W399" s="165"/>
      <c r="X399" s="165"/>
      <c r="Y399" s="165"/>
      <c r="Z399" s="165"/>
    </row>
    <row r="400" spans="16:26" ht="10.199999999999999" customHeight="1">
      <c r="P400" s="165"/>
      <c r="Q400" s="165"/>
      <c r="R400" s="165"/>
      <c r="S400" s="165"/>
      <c r="T400" s="165"/>
      <c r="U400" s="165"/>
      <c r="V400" s="165"/>
      <c r="W400" s="165"/>
      <c r="X400" s="165"/>
      <c r="Y400" s="165"/>
      <c r="Z400" s="165"/>
    </row>
    <row r="401" spans="16:26" ht="10.199999999999999" customHeight="1">
      <c r="P401" s="165"/>
      <c r="Q401" s="165"/>
      <c r="R401" s="165"/>
      <c r="S401" s="165"/>
      <c r="T401" s="165"/>
      <c r="U401" s="165"/>
      <c r="V401" s="165"/>
      <c r="W401" s="165"/>
      <c r="X401" s="165"/>
      <c r="Y401" s="165"/>
      <c r="Z401" s="165"/>
    </row>
    <row r="402" spans="16:26" ht="10.199999999999999" customHeight="1">
      <c r="P402" s="165"/>
      <c r="Q402" s="165"/>
      <c r="R402" s="165"/>
      <c r="S402" s="165"/>
      <c r="T402" s="165"/>
      <c r="U402" s="165"/>
      <c r="V402" s="165"/>
      <c r="W402" s="165"/>
      <c r="X402" s="165"/>
      <c r="Y402" s="165"/>
      <c r="Z402" s="165"/>
    </row>
    <row r="403" spans="16:26" ht="10.199999999999999" customHeight="1">
      <c r="P403" s="165"/>
      <c r="Q403" s="165"/>
      <c r="R403" s="165"/>
      <c r="S403" s="165"/>
      <c r="T403" s="165"/>
      <c r="U403" s="165"/>
      <c r="V403" s="165"/>
      <c r="W403" s="165"/>
      <c r="X403" s="165"/>
      <c r="Y403" s="165"/>
      <c r="Z403" s="165"/>
    </row>
    <row r="404" spans="16:26" ht="10.199999999999999" customHeight="1">
      <c r="P404" s="165"/>
      <c r="Q404" s="165"/>
      <c r="R404" s="165"/>
      <c r="S404" s="165"/>
      <c r="T404" s="165"/>
      <c r="U404" s="165"/>
      <c r="V404" s="165"/>
      <c r="W404" s="165"/>
      <c r="X404" s="165"/>
      <c r="Y404" s="165"/>
      <c r="Z404" s="165"/>
    </row>
    <row r="405" spans="16:26" ht="10.199999999999999" customHeight="1">
      <c r="P405" s="165"/>
      <c r="Q405" s="165"/>
      <c r="R405" s="165"/>
      <c r="S405" s="165"/>
      <c r="T405" s="165"/>
      <c r="U405" s="165"/>
      <c r="V405" s="165"/>
      <c r="W405" s="165"/>
      <c r="X405" s="165"/>
      <c r="Y405" s="165"/>
      <c r="Z405" s="165"/>
    </row>
    <row r="406" spans="16:26" ht="10.199999999999999" customHeight="1">
      <c r="P406" s="165"/>
      <c r="Q406" s="165"/>
      <c r="R406" s="165"/>
      <c r="S406" s="165"/>
      <c r="T406" s="165"/>
      <c r="U406" s="165"/>
      <c r="V406" s="165"/>
      <c r="W406" s="165"/>
      <c r="X406" s="165"/>
      <c r="Y406" s="165"/>
      <c r="Z406" s="165"/>
    </row>
    <row r="407" spans="16:26" ht="10.199999999999999" customHeight="1">
      <c r="P407" s="165"/>
      <c r="Q407" s="165"/>
      <c r="R407" s="165"/>
      <c r="S407" s="165"/>
      <c r="T407" s="165"/>
      <c r="U407" s="165"/>
      <c r="V407" s="165"/>
      <c r="W407" s="165"/>
      <c r="X407" s="165"/>
      <c r="Y407" s="165"/>
      <c r="Z407" s="165"/>
    </row>
    <row r="408" spans="16:26" ht="10.199999999999999" customHeight="1">
      <c r="P408" s="165"/>
      <c r="Q408" s="165"/>
      <c r="R408" s="165"/>
      <c r="S408" s="165"/>
      <c r="T408" s="165"/>
      <c r="U408" s="165"/>
      <c r="V408" s="165"/>
      <c r="W408" s="165"/>
      <c r="X408" s="165"/>
      <c r="Y408" s="165"/>
      <c r="Z408" s="165"/>
    </row>
    <row r="409" spans="16:26" ht="10.199999999999999" customHeight="1">
      <c r="P409" s="165"/>
      <c r="Q409" s="165"/>
      <c r="R409" s="165"/>
      <c r="S409" s="165"/>
      <c r="T409" s="165"/>
      <c r="U409" s="165"/>
      <c r="V409" s="165"/>
      <c r="W409" s="165"/>
      <c r="X409" s="165"/>
      <c r="Y409" s="165"/>
      <c r="Z409" s="165"/>
    </row>
    <row r="410" spans="16:26" ht="10.199999999999999" customHeight="1">
      <c r="P410" s="165"/>
      <c r="Q410" s="165"/>
      <c r="R410" s="165"/>
      <c r="S410" s="165"/>
      <c r="T410" s="165"/>
      <c r="U410" s="165"/>
      <c r="V410" s="165"/>
      <c r="W410" s="165"/>
      <c r="X410" s="165"/>
      <c r="Y410" s="165"/>
      <c r="Z410" s="165"/>
    </row>
    <row r="411" spans="16:26" ht="10.199999999999999" customHeight="1">
      <c r="P411" s="165"/>
      <c r="Q411" s="165"/>
      <c r="R411" s="165"/>
      <c r="S411" s="165"/>
      <c r="T411" s="165"/>
      <c r="U411" s="165"/>
      <c r="V411" s="165"/>
      <c r="W411" s="165"/>
      <c r="X411" s="165"/>
      <c r="Y411" s="165"/>
      <c r="Z411" s="165"/>
    </row>
    <row r="412" spans="16:26" ht="10.199999999999999" customHeight="1">
      <c r="P412" s="165"/>
      <c r="Q412" s="165"/>
      <c r="R412" s="165"/>
      <c r="S412" s="165"/>
      <c r="T412" s="165"/>
      <c r="U412" s="165"/>
      <c r="V412" s="165"/>
      <c r="W412" s="165"/>
      <c r="X412" s="165"/>
      <c r="Y412" s="165"/>
      <c r="Z412" s="165"/>
    </row>
    <row r="413" spans="16:26" ht="10.199999999999999" customHeight="1">
      <c r="P413" s="165"/>
      <c r="Q413" s="165"/>
      <c r="R413" s="165"/>
      <c r="S413" s="165"/>
      <c r="T413" s="165"/>
      <c r="U413" s="165"/>
      <c r="V413" s="165"/>
      <c r="W413" s="165"/>
      <c r="X413" s="165"/>
      <c r="Y413" s="165"/>
      <c r="Z413" s="165"/>
    </row>
    <row r="414" spans="16:26" ht="10.199999999999999" customHeight="1">
      <c r="P414" s="165"/>
      <c r="Q414" s="165"/>
      <c r="R414" s="165"/>
      <c r="S414" s="165"/>
      <c r="T414" s="165"/>
      <c r="U414" s="165"/>
      <c r="V414" s="165"/>
      <c r="W414" s="165"/>
      <c r="X414" s="165"/>
      <c r="Y414" s="165"/>
      <c r="Z414" s="165"/>
    </row>
    <row r="415" spans="16:26" ht="10.199999999999999" customHeight="1">
      <c r="P415" s="165"/>
      <c r="Q415" s="165"/>
      <c r="R415" s="165"/>
      <c r="S415" s="165"/>
      <c r="T415" s="165"/>
      <c r="U415" s="165"/>
      <c r="V415" s="165"/>
      <c r="W415" s="165"/>
      <c r="X415" s="165"/>
      <c r="Y415" s="165"/>
      <c r="Z415" s="165"/>
    </row>
    <row r="416" spans="16:26" ht="10.199999999999999" customHeight="1">
      <c r="P416" s="165"/>
      <c r="Q416" s="165"/>
      <c r="R416" s="165"/>
      <c r="S416" s="165"/>
      <c r="T416" s="165"/>
      <c r="U416" s="165"/>
      <c r="V416" s="165"/>
      <c r="W416" s="165"/>
      <c r="X416" s="165"/>
      <c r="Y416" s="165"/>
      <c r="Z416" s="165"/>
    </row>
    <row r="417" spans="16:26" ht="10.199999999999999" customHeight="1">
      <c r="P417" s="165"/>
      <c r="Q417" s="165"/>
      <c r="R417" s="165"/>
      <c r="S417" s="165"/>
      <c r="T417" s="165"/>
      <c r="U417" s="165"/>
      <c r="V417" s="165"/>
      <c r="W417" s="165"/>
      <c r="X417" s="165"/>
      <c r="Y417" s="165"/>
      <c r="Z417" s="165"/>
    </row>
    <row r="418" spans="16:26" ht="10.199999999999999" customHeight="1">
      <c r="P418" s="165"/>
      <c r="Q418" s="165"/>
      <c r="R418" s="165"/>
      <c r="S418" s="165"/>
      <c r="T418" s="165"/>
      <c r="U418" s="165"/>
      <c r="V418" s="165"/>
      <c r="W418" s="165"/>
      <c r="X418" s="165"/>
      <c r="Y418" s="165"/>
      <c r="Z418" s="165"/>
    </row>
    <row r="419" spans="16:26" ht="10.199999999999999" customHeight="1">
      <c r="P419" s="165"/>
      <c r="Q419" s="165"/>
      <c r="R419" s="165"/>
      <c r="S419" s="165"/>
      <c r="T419" s="165"/>
      <c r="U419" s="165"/>
      <c r="V419" s="165"/>
      <c r="W419" s="165"/>
      <c r="X419" s="165"/>
      <c r="Y419" s="165"/>
      <c r="Z419" s="165"/>
    </row>
    <row r="420" spans="16:26" ht="10.199999999999999" customHeight="1">
      <c r="P420" s="165"/>
      <c r="Q420" s="165"/>
      <c r="R420" s="165"/>
      <c r="S420" s="165"/>
      <c r="T420" s="165"/>
      <c r="U420" s="165"/>
      <c r="V420" s="165"/>
      <c r="W420" s="165"/>
      <c r="X420" s="165"/>
      <c r="Y420" s="165"/>
      <c r="Z420" s="165"/>
    </row>
    <row r="421" spans="16:26" ht="10.199999999999999" customHeight="1">
      <c r="P421" s="165"/>
      <c r="Q421" s="165"/>
      <c r="R421" s="165"/>
      <c r="S421" s="165"/>
      <c r="T421" s="165"/>
      <c r="U421" s="165"/>
      <c r="V421" s="165"/>
      <c r="W421" s="165"/>
      <c r="X421" s="165"/>
      <c r="Y421" s="165"/>
      <c r="Z421" s="165"/>
    </row>
    <row r="422" spans="16:26" ht="10.199999999999999" customHeight="1">
      <c r="P422" s="165"/>
      <c r="Q422" s="165"/>
      <c r="R422" s="165"/>
      <c r="S422" s="165"/>
      <c r="T422" s="165"/>
      <c r="U422" s="165"/>
      <c r="V422" s="165"/>
      <c r="W422" s="165"/>
      <c r="X422" s="165"/>
      <c r="Y422" s="165"/>
      <c r="Z422" s="165"/>
    </row>
    <row r="423" spans="16:26" ht="10.199999999999999" customHeight="1">
      <c r="P423" s="165"/>
      <c r="Q423" s="165"/>
      <c r="R423" s="165"/>
      <c r="S423" s="165"/>
      <c r="T423" s="165"/>
      <c r="U423" s="165"/>
      <c r="V423" s="165"/>
      <c r="W423" s="165"/>
      <c r="X423" s="165"/>
      <c r="Y423" s="165"/>
      <c r="Z423" s="165"/>
    </row>
    <row r="424" spans="16:26" ht="10.199999999999999" customHeight="1">
      <c r="P424" s="165"/>
      <c r="Q424" s="165"/>
      <c r="R424" s="165"/>
      <c r="S424" s="165"/>
      <c r="T424" s="165"/>
      <c r="U424" s="165"/>
      <c r="V424" s="165"/>
      <c r="W424" s="165"/>
      <c r="X424" s="165"/>
      <c r="Y424" s="165"/>
      <c r="Z424" s="165"/>
    </row>
    <row r="425" spans="16:26" ht="10.199999999999999" customHeight="1">
      <c r="P425" s="165"/>
      <c r="Q425" s="165"/>
      <c r="R425" s="165"/>
      <c r="S425" s="165"/>
      <c r="T425" s="165"/>
      <c r="U425" s="165"/>
      <c r="V425" s="165"/>
      <c r="W425" s="165"/>
      <c r="X425" s="165"/>
      <c r="Y425" s="165"/>
      <c r="Z425" s="165"/>
    </row>
    <row r="426" spans="16:26" ht="10.199999999999999" customHeight="1">
      <c r="P426" s="165"/>
      <c r="Q426" s="165"/>
      <c r="R426" s="165"/>
      <c r="S426" s="165"/>
      <c r="T426" s="165"/>
      <c r="U426" s="165"/>
      <c r="V426" s="165"/>
      <c r="W426" s="165"/>
      <c r="X426" s="165"/>
      <c r="Y426" s="165"/>
      <c r="Z426" s="165"/>
    </row>
    <row r="427" spans="16:26" ht="10.199999999999999" customHeight="1">
      <c r="P427" s="165"/>
      <c r="Q427" s="165"/>
      <c r="R427" s="165"/>
      <c r="S427" s="165"/>
      <c r="T427" s="165"/>
      <c r="U427" s="165"/>
      <c r="V427" s="165"/>
      <c r="W427" s="165"/>
      <c r="X427" s="165"/>
      <c r="Y427" s="165"/>
      <c r="Z427" s="165"/>
    </row>
    <row r="428" spans="16:26" ht="10.199999999999999" customHeight="1">
      <c r="P428" s="165"/>
      <c r="Q428" s="165"/>
      <c r="R428" s="165"/>
      <c r="S428" s="165"/>
      <c r="T428" s="165"/>
      <c r="U428" s="165"/>
      <c r="V428" s="165"/>
      <c r="W428" s="165"/>
      <c r="X428" s="165"/>
      <c r="Y428" s="165"/>
      <c r="Z428" s="165"/>
    </row>
    <row r="429" spans="16:26" ht="10.199999999999999" customHeight="1">
      <c r="P429" s="165"/>
      <c r="Q429" s="165"/>
      <c r="R429" s="165"/>
      <c r="S429" s="165"/>
      <c r="T429" s="165"/>
      <c r="U429" s="165"/>
      <c r="V429" s="165"/>
      <c r="W429" s="165"/>
      <c r="X429" s="165"/>
      <c r="Y429" s="165"/>
      <c r="Z429" s="165"/>
    </row>
    <row r="430" spans="16:26" ht="10.199999999999999" customHeight="1">
      <c r="P430" s="165"/>
      <c r="Q430" s="165"/>
      <c r="R430" s="165"/>
      <c r="S430" s="165"/>
      <c r="T430" s="165"/>
      <c r="U430" s="165"/>
      <c r="V430" s="165"/>
      <c r="W430" s="165"/>
      <c r="X430" s="165"/>
      <c r="Y430" s="165"/>
      <c r="Z430" s="165"/>
    </row>
    <row r="431" spans="16:26" ht="10.199999999999999" customHeight="1">
      <c r="P431" s="165"/>
      <c r="Q431" s="165"/>
      <c r="R431" s="165"/>
      <c r="S431" s="165"/>
      <c r="T431" s="165"/>
      <c r="U431" s="165"/>
      <c r="V431" s="165"/>
      <c r="W431" s="165"/>
      <c r="X431" s="165"/>
      <c r="Y431" s="165"/>
      <c r="Z431" s="165"/>
    </row>
    <row r="432" spans="16:26" ht="10.199999999999999" customHeight="1">
      <c r="P432" s="165"/>
      <c r="Q432" s="165"/>
      <c r="R432" s="165"/>
      <c r="S432" s="165"/>
      <c r="T432" s="165"/>
      <c r="U432" s="165"/>
      <c r="V432" s="165"/>
      <c r="W432" s="165"/>
      <c r="X432" s="165"/>
      <c r="Y432" s="165"/>
      <c r="Z432" s="165"/>
    </row>
    <row r="433" spans="16:26" ht="10.199999999999999" customHeight="1">
      <c r="P433" s="165"/>
      <c r="Q433" s="165"/>
      <c r="R433" s="165"/>
      <c r="S433" s="165"/>
      <c r="T433" s="165"/>
      <c r="U433" s="165"/>
      <c r="V433" s="165"/>
      <c r="W433" s="165"/>
      <c r="X433" s="165"/>
      <c r="Y433" s="165"/>
      <c r="Z433" s="165"/>
    </row>
    <row r="434" spans="16:26" ht="10.199999999999999" customHeight="1">
      <c r="P434" s="165"/>
      <c r="Q434" s="165"/>
      <c r="R434" s="165"/>
      <c r="S434" s="165"/>
      <c r="T434" s="165"/>
      <c r="U434" s="165"/>
      <c r="V434" s="165"/>
      <c r="W434" s="165"/>
      <c r="X434" s="165"/>
      <c r="Y434" s="165"/>
      <c r="Z434" s="165"/>
    </row>
    <row r="435" spans="16:26" ht="10.199999999999999" customHeight="1">
      <c r="P435" s="165"/>
      <c r="Q435" s="165"/>
      <c r="R435" s="165"/>
      <c r="S435" s="165"/>
      <c r="T435" s="165"/>
      <c r="U435" s="165"/>
      <c r="V435" s="165"/>
      <c r="W435" s="165"/>
      <c r="X435" s="165"/>
      <c r="Y435" s="165"/>
      <c r="Z435" s="165"/>
    </row>
    <row r="436" spans="16:26" ht="10.199999999999999" customHeight="1">
      <c r="P436" s="165"/>
      <c r="Q436" s="165"/>
      <c r="R436" s="165"/>
      <c r="S436" s="165"/>
      <c r="T436" s="165"/>
      <c r="U436" s="165"/>
      <c r="V436" s="165"/>
      <c r="W436" s="165"/>
      <c r="X436" s="165"/>
      <c r="Y436" s="165"/>
      <c r="Z436" s="165"/>
    </row>
    <row r="437" spans="16:26" ht="10.199999999999999" customHeight="1">
      <c r="P437" s="165"/>
      <c r="Q437" s="165"/>
      <c r="R437" s="165"/>
      <c r="S437" s="165"/>
      <c r="T437" s="165"/>
      <c r="U437" s="165"/>
      <c r="V437" s="165"/>
      <c r="W437" s="165"/>
      <c r="X437" s="165"/>
      <c r="Y437" s="165"/>
      <c r="Z437" s="165"/>
    </row>
    <row r="438" spans="16:26" ht="10.199999999999999" customHeight="1">
      <c r="P438" s="165"/>
      <c r="Q438" s="165"/>
      <c r="R438" s="165"/>
      <c r="S438" s="165"/>
      <c r="T438" s="165"/>
      <c r="U438" s="165"/>
      <c r="V438" s="165"/>
      <c r="W438" s="165"/>
      <c r="X438" s="165"/>
      <c r="Y438" s="165"/>
      <c r="Z438" s="165"/>
    </row>
    <row r="439" spans="16:26" ht="10.199999999999999" customHeight="1">
      <c r="P439" s="165"/>
      <c r="Q439" s="165"/>
      <c r="R439" s="165"/>
      <c r="S439" s="165"/>
      <c r="T439" s="165"/>
      <c r="U439" s="165"/>
      <c r="V439" s="165"/>
      <c r="W439" s="165"/>
      <c r="X439" s="165"/>
      <c r="Y439" s="165"/>
      <c r="Z439" s="165"/>
    </row>
    <row r="440" spans="16:26" ht="10.199999999999999" customHeight="1">
      <c r="P440" s="165"/>
      <c r="Q440" s="165"/>
      <c r="R440" s="165"/>
      <c r="S440" s="165"/>
      <c r="T440" s="165"/>
      <c r="U440" s="165"/>
      <c r="V440" s="165"/>
      <c r="W440" s="165"/>
      <c r="X440" s="165"/>
      <c r="Y440" s="165"/>
      <c r="Z440" s="165"/>
    </row>
    <row r="441" spans="16:26" ht="10.199999999999999" customHeight="1">
      <c r="P441" s="165"/>
      <c r="Q441" s="165"/>
      <c r="R441" s="165"/>
      <c r="S441" s="165"/>
      <c r="T441" s="165"/>
      <c r="U441" s="165"/>
      <c r="V441" s="165"/>
      <c r="W441" s="165"/>
      <c r="X441" s="165"/>
      <c r="Y441" s="165"/>
      <c r="Z441" s="165"/>
    </row>
    <row r="442" spans="16:26" ht="10.199999999999999" customHeight="1">
      <c r="P442" s="165"/>
      <c r="Q442" s="165"/>
      <c r="R442" s="165"/>
      <c r="S442" s="165"/>
      <c r="T442" s="165"/>
      <c r="U442" s="165"/>
      <c r="V442" s="165"/>
      <c r="W442" s="165"/>
      <c r="X442" s="165"/>
      <c r="Y442" s="165"/>
      <c r="Z442" s="165"/>
    </row>
    <row r="443" spans="16:26" ht="10.199999999999999" customHeight="1">
      <c r="P443" s="165"/>
      <c r="Q443" s="165"/>
      <c r="R443" s="165"/>
      <c r="S443" s="165"/>
      <c r="T443" s="165"/>
      <c r="U443" s="165"/>
      <c r="V443" s="165"/>
      <c r="W443" s="165"/>
      <c r="X443" s="165"/>
      <c r="Y443" s="165"/>
      <c r="Z443" s="165"/>
    </row>
    <row r="444" spans="16:26" ht="10.199999999999999" customHeight="1">
      <c r="P444" s="165"/>
      <c r="Q444" s="165"/>
      <c r="R444" s="165"/>
      <c r="S444" s="165"/>
      <c r="T444" s="165"/>
      <c r="U444" s="165"/>
      <c r="V444" s="165"/>
      <c r="W444" s="165"/>
      <c r="X444" s="165"/>
      <c r="Y444" s="165"/>
      <c r="Z444" s="165"/>
    </row>
    <row r="445" spans="16:26" ht="10.199999999999999" customHeight="1">
      <c r="P445" s="165"/>
      <c r="Q445" s="165"/>
      <c r="R445" s="165"/>
      <c r="S445" s="165"/>
      <c r="T445" s="165"/>
      <c r="U445" s="165"/>
      <c r="V445" s="165"/>
      <c r="W445" s="165"/>
      <c r="X445" s="165"/>
      <c r="Y445" s="165"/>
      <c r="Z445" s="165"/>
    </row>
    <row r="446" spans="16:26" ht="10.199999999999999" customHeight="1">
      <c r="P446" s="165"/>
      <c r="Q446" s="165"/>
      <c r="R446" s="165"/>
      <c r="S446" s="165"/>
      <c r="T446" s="165"/>
      <c r="U446" s="165"/>
      <c r="V446" s="165"/>
      <c r="W446" s="165"/>
      <c r="X446" s="165"/>
      <c r="Y446" s="165"/>
      <c r="Z446" s="165"/>
    </row>
    <row r="447" spans="16:26" ht="10.199999999999999" customHeight="1">
      <c r="P447" s="165"/>
      <c r="Q447" s="165"/>
      <c r="R447" s="165"/>
      <c r="S447" s="165"/>
      <c r="T447" s="165"/>
      <c r="U447" s="165"/>
      <c r="V447" s="165"/>
      <c r="W447" s="165"/>
      <c r="X447" s="165"/>
      <c r="Y447" s="165"/>
      <c r="Z447" s="165"/>
    </row>
    <row r="448" spans="16:26" ht="10.199999999999999" customHeight="1">
      <c r="P448" s="165"/>
      <c r="Q448" s="165"/>
      <c r="R448" s="165"/>
      <c r="S448" s="165"/>
      <c r="T448" s="165"/>
      <c r="U448" s="165"/>
      <c r="V448" s="165"/>
      <c r="W448" s="165"/>
      <c r="X448" s="165"/>
      <c r="Y448" s="165"/>
      <c r="Z448" s="165"/>
    </row>
    <row r="449" spans="16:26" ht="10.199999999999999" customHeight="1">
      <c r="P449" s="165"/>
      <c r="Q449" s="165"/>
      <c r="R449" s="165"/>
      <c r="S449" s="165"/>
      <c r="T449" s="165"/>
      <c r="U449" s="165"/>
      <c r="V449" s="165"/>
      <c r="W449" s="165"/>
      <c r="X449" s="165"/>
      <c r="Y449" s="165"/>
      <c r="Z449" s="165"/>
    </row>
    <row r="450" spans="16:26" ht="10.199999999999999" customHeight="1">
      <c r="P450" s="165"/>
      <c r="Q450" s="165"/>
      <c r="R450" s="165"/>
      <c r="S450" s="165"/>
      <c r="T450" s="165"/>
      <c r="U450" s="165"/>
      <c r="V450" s="165"/>
      <c r="W450" s="165"/>
      <c r="X450" s="165"/>
      <c r="Y450" s="165"/>
      <c r="Z450" s="165"/>
    </row>
    <row r="451" spans="16:26" ht="10.199999999999999" customHeight="1">
      <c r="P451" s="165"/>
      <c r="Q451" s="165"/>
      <c r="R451" s="165"/>
      <c r="S451" s="165"/>
      <c r="T451" s="165"/>
      <c r="U451" s="165"/>
      <c r="V451" s="165"/>
      <c r="W451" s="165"/>
      <c r="X451" s="165"/>
      <c r="Y451" s="165"/>
      <c r="Z451" s="165"/>
    </row>
    <row r="452" spans="16:26" ht="10.199999999999999" customHeight="1">
      <c r="P452" s="165"/>
      <c r="Q452" s="165"/>
      <c r="R452" s="165"/>
      <c r="S452" s="165"/>
      <c r="T452" s="165"/>
      <c r="U452" s="165"/>
      <c r="V452" s="165"/>
      <c r="W452" s="165"/>
      <c r="X452" s="165"/>
      <c r="Y452" s="165"/>
      <c r="Z452" s="165"/>
    </row>
    <row r="453" spans="16:26" ht="10.199999999999999" customHeight="1">
      <c r="P453" s="165"/>
      <c r="Q453" s="165"/>
      <c r="R453" s="165"/>
      <c r="S453" s="165"/>
      <c r="T453" s="165"/>
      <c r="U453" s="165"/>
      <c r="V453" s="165"/>
      <c r="W453" s="165"/>
      <c r="X453" s="165"/>
      <c r="Y453" s="165"/>
      <c r="Z453" s="165"/>
    </row>
    <row r="454" spans="16:26" ht="10.199999999999999" customHeight="1">
      <c r="P454" s="165"/>
      <c r="Q454" s="165"/>
      <c r="R454" s="165"/>
      <c r="S454" s="165"/>
      <c r="T454" s="165"/>
      <c r="U454" s="165"/>
      <c r="V454" s="165"/>
      <c r="W454" s="165"/>
      <c r="X454" s="165"/>
      <c r="Y454" s="165"/>
      <c r="Z454" s="165"/>
    </row>
    <row r="455" spans="16:26" ht="10.199999999999999" customHeight="1">
      <c r="P455" s="165"/>
      <c r="Q455" s="165"/>
      <c r="R455" s="165"/>
      <c r="S455" s="165"/>
      <c r="T455" s="165"/>
      <c r="U455" s="165"/>
      <c r="V455" s="165"/>
      <c r="W455" s="165"/>
      <c r="X455" s="165"/>
      <c r="Y455" s="165"/>
      <c r="Z455" s="165"/>
    </row>
    <row r="456" spans="16:26" ht="10.199999999999999" customHeight="1">
      <c r="P456" s="165"/>
      <c r="Q456" s="165"/>
      <c r="R456" s="165"/>
      <c r="S456" s="165"/>
      <c r="T456" s="165"/>
      <c r="U456" s="165"/>
      <c r="V456" s="165"/>
      <c r="W456" s="165"/>
      <c r="X456" s="165"/>
      <c r="Y456" s="165"/>
      <c r="Z456" s="165"/>
    </row>
    <row r="457" spans="16:26" ht="10.199999999999999" customHeight="1">
      <c r="P457" s="165"/>
      <c r="Q457" s="165"/>
      <c r="R457" s="165"/>
      <c r="S457" s="165"/>
      <c r="T457" s="165"/>
      <c r="U457" s="165"/>
      <c r="V457" s="165"/>
      <c r="W457" s="165"/>
      <c r="X457" s="165"/>
      <c r="Y457" s="165"/>
      <c r="Z457" s="165"/>
    </row>
    <row r="458" spans="16:26" ht="10.199999999999999" customHeight="1">
      <c r="P458" s="165"/>
      <c r="Q458" s="165"/>
      <c r="R458" s="165"/>
      <c r="S458" s="165"/>
      <c r="T458" s="165"/>
      <c r="U458" s="165"/>
      <c r="V458" s="165"/>
      <c r="W458" s="165"/>
      <c r="X458" s="165"/>
      <c r="Y458" s="165"/>
      <c r="Z458" s="165"/>
    </row>
    <row r="459" spans="16:26" ht="10.199999999999999" customHeight="1">
      <c r="P459" s="165"/>
      <c r="Q459" s="165"/>
      <c r="R459" s="165"/>
      <c r="S459" s="165"/>
      <c r="T459" s="165"/>
      <c r="U459" s="165"/>
      <c r="V459" s="165"/>
      <c r="W459" s="165"/>
      <c r="X459" s="165"/>
      <c r="Y459" s="165"/>
      <c r="Z459" s="165"/>
    </row>
    <row r="460" spans="16:26" ht="10.199999999999999" customHeight="1">
      <c r="P460" s="165"/>
      <c r="Q460" s="165"/>
      <c r="R460" s="165"/>
      <c r="S460" s="165"/>
      <c r="T460" s="165"/>
      <c r="U460" s="165"/>
      <c r="V460" s="165"/>
      <c r="W460" s="165"/>
      <c r="X460" s="165"/>
      <c r="Y460" s="165"/>
      <c r="Z460" s="165"/>
    </row>
    <row r="461" spans="16:26" ht="10.199999999999999" customHeight="1">
      <c r="P461" s="165"/>
      <c r="Q461" s="165"/>
      <c r="R461" s="165"/>
      <c r="S461" s="165"/>
      <c r="T461" s="165"/>
      <c r="U461" s="165"/>
      <c r="V461" s="165"/>
      <c r="W461" s="165"/>
      <c r="X461" s="165"/>
      <c r="Y461" s="165"/>
      <c r="Z461" s="165"/>
    </row>
    <row r="462" spans="16:26" ht="10.199999999999999" customHeight="1">
      <c r="P462" s="165"/>
      <c r="Q462" s="165"/>
      <c r="R462" s="165"/>
      <c r="S462" s="165"/>
      <c r="T462" s="165"/>
      <c r="U462" s="165"/>
      <c r="V462" s="165"/>
      <c r="W462" s="165"/>
      <c r="X462" s="165"/>
      <c r="Y462" s="165"/>
      <c r="Z462" s="165"/>
    </row>
    <row r="463" spans="16:26" ht="10.199999999999999" customHeight="1">
      <c r="P463" s="165"/>
      <c r="Q463" s="165"/>
      <c r="R463" s="165"/>
      <c r="S463" s="165"/>
      <c r="T463" s="165"/>
      <c r="U463" s="165"/>
      <c r="V463" s="165"/>
      <c r="W463" s="165"/>
      <c r="X463" s="165"/>
      <c r="Y463" s="165"/>
      <c r="Z463" s="165"/>
    </row>
    <row r="464" spans="16:26" ht="10.199999999999999" customHeight="1">
      <c r="P464" s="165"/>
      <c r="Q464" s="165"/>
      <c r="R464" s="165"/>
      <c r="S464" s="165"/>
      <c r="T464" s="165"/>
      <c r="U464" s="165"/>
      <c r="V464" s="165"/>
      <c r="W464" s="165"/>
      <c r="X464" s="165"/>
      <c r="Y464" s="165"/>
      <c r="Z464" s="165"/>
    </row>
    <row r="465" spans="16:26" ht="10.199999999999999" customHeight="1">
      <c r="P465" s="165"/>
      <c r="Q465" s="165"/>
      <c r="R465" s="165"/>
      <c r="S465" s="165"/>
      <c r="T465" s="165"/>
      <c r="U465" s="165"/>
      <c r="V465" s="165"/>
      <c r="W465" s="165"/>
      <c r="X465" s="165"/>
      <c r="Y465" s="165"/>
      <c r="Z465" s="165"/>
    </row>
    <row r="466" spans="16:26" ht="10.199999999999999" customHeight="1">
      <c r="P466" s="165"/>
      <c r="Q466" s="165"/>
      <c r="R466" s="165"/>
      <c r="S466" s="165"/>
      <c r="T466" s="165"/>
      <c r="U466" s="165"/>
      <c r="V466" s="165"/>
      <c r="W466" s="165"/>
      <c r="X466" s="165"/>
      <c r="Y466" s="165"/>
      <c r="Z466" s="165"/>
    </row>
    <row r="467" spans="16:26" ht="10.199999999999999" customHeight="1">
      <c r="P467" s="165"/>
      <c r="Q467" s="165"/>
      <c r="R467" s="165"/>
      <c r="S467" s="165"/>
      <c r="T467" s="165"/>
      <c r="U467" s="165"/>
      <c r="V467" s="165"/>
      <c r="W467" s="165"/>
      <c r="X467" s="165"/>
      <c r="Y467" s="165"/>
      <c r="Z467" s="165"/>
    </row>
    <row r="468" spans="16:26" ht="10.199999999999999" customHeight="1">
      <c r="P468" s="165"/>
      <c r="Q468" s="165"/>
      <c r="R468" s="165"/>
      <c r="S468" s="165"/>
      <c r="T468" s="165"/>
      <c r="U468" s="165"/>
      <c r="V468" s="165"/>
      <c r="W468" s="165"/>
      <c r="X468" s="165"/>
      <c r="Y468" s="165"/>
      <c r="Z468" s="165"/>
    </row>
    <row r="469" spans="16:26" ht="10.199999999999999" customHeight="1">
      <c r="P469" s="165"/>
      <c r="Q469" s="165"/>
      <c r="R469" s="165"/>
      <c r="S469" s="165"/>
      <c r="T469" s="165"/>
      <c r="U469" s="165"/>
      <c r="V469" s="165"/>
      <c r="W469" s="165"/>
      <c r="X469" s="165"/>
      <c r="Y469" s="165"/>
      <c r="Z469" s="165"/>
    </row>
    <row r="470" spans="16:26" ht="10.199999999999999" customHeight="1">
      <c r="P470" s="165"/>
      <c r="Q470" s="165"/>
      <c r="R470" s="165"/>
      <c r="S470" s="165"/>
      <c r="T470" s="165"/>
      <c r="U470" s="165"/>
      <c r="V470" s="165"/>
      <c r="W470" s="165"/>
      <c r="X470" s="165"/>
      <c r="Y470" s="165"/>
      <c r="Z470" s="165"/>
    </row>
    <row r="471" spans="16:26" ht="10.199999999999999" customHeight="1">
      <c r="P471" s="165"/>
      <c r="Q471" s="165"/>
      <c r="R471" s="165"/>
      <c r="S471" s="165"/>
      <c r="T471" s="165"/>
      <c r="U471" s="165"/>
      <c r="V471" s="165"/>
      <c r="W471" s="165"/>
      <c r="X471" s="165"/>
      <c r="Y471" s="165"/>
      <c r="Z471" s="165"/>
    </row>
    <row r="472" spans="16:26" ht="10.199999999999999" customHeight="1">
      <c r="P472" s="165"/>
      <c r="Q472" s="165"/>
      <c r="R472" s="165"/>
      <c r="S472" s="165"/>
      <c r="T472" s="165"/>
      <c r="U472" s="165"/>
      <c r="V472" s="165"/>
      <c r="W472" s="165"/>
      <c r="X472" s="165"/>
      <c r="Y472" s="165"/>
      <c r="Z472" s="165"/>
    </row>
    <row r="473" spans="16:26" ht="10.199999999999999" customHeight="1">
      <c r="P473" s="165"/>
      <c r="Q473" s="165"/>
      <c r="R473" s="165"/>
      <c r="S473" s="165"/>
      <c r="T473" s="165"/>
      <c r="U473" s="165"/>
      <c r="V473" s="165"/>
      <c r="W473" s="165"/>
      <c r="X473" s="165"/>
      <c r="Y473" s="165"/>
      <c r="Z473" s="165"/>
    </row>
    <row r="474" spans="16:26" ht="10.199999999999999" customHeight="1">
      <c r="P474" s="165"/>
      <c r="Q474" s="165"/>
      <c r="R474" s="165"/>
      <c r="S474" s="165"/>
      <c r="T474" s="165"/>
      <c r="U474" s="165"/>
      <c r="V474" s="165"/>
      <c r="W474" s="165"/>
      <c r="X474" s="165"/>
      <c r="Y474" s="165"/>
      <c r="Z474" s="165"/>
    </row>
    <row r="475" spans="16:26" ht="10.199999999999999" customHeight="1">
      <c r="P475" s="165"/>
      <c r="Q475" s="165"/>
      <c r="R475" s="165"/>
      <c r="S475" s="165"/>
      <c r="T475" s="165"/>
      <c r="U475" s="165"/>
      <c r="V475" s="165"/>
      <c r="W475" s="165"/>
      <c r="X475" s="165"/>
      <c r="Y475" s="165"/>
      <c r="Z475" s="165"/>
    </row>
    <row r="476" spans="16:26" ht="10.199999999999999" customHeight="1">
      <c r="P476" s="165"/>
      <c r="Q476" s="165"/>
      <c r="R476" s="165"/>
      <c r="S476" s="165"/>
      <c r="T476" s="165"/>
      <c r="U476" s="165"/>
      <c r="V476" s="165"/>
      <c r="W476" s="165"/>
      <c r="X476" s="165"/>
      <c r="Y476" s="165"/>
      <c r="Z476" s="165"/>
    </row>
    <row r="477" spans="16:26" ht="10.199999999999999" customHeight="1">
      <c r="P477" s="165"/>
      <c r="Q477" s="165"/>
      <c r="R477" s="165"/>
      <c r="S477" s="165"/>
      <c r="T477" s="165"/>
      <c r="U477" s="165"/>
      <c r="V477" s="165"/>
      <c r="W477" s="165"/>
      <c r="X477" s="165"/>
      <c r="Y477" s="165"/>
      <c r="Z477" s="165"/>
    </row>
    <row r="478" spans="16:26" ht="10.199999999999999" customHeight="1">
      <c r="P478" s="165"/>
      <c r="Q478" s="165"/>
      <c r="R478" s="165"/>
      <c r="S478" s="165"/>
      <c r="T478" s="165"/>
      <c r="U478" s="165"/>
      <c r="V478" s="165"/>
      <c r="W478" s="165"/>
      <c r="X478" s="165"/>
      <c r="Y478" s="165"/>
      <c r="Z478" s="165"/>
    </row>
    <row r="479" spans="16:26" ht="10.199999999999999" customHeight="1">
      <c r="P479" s="165"/>
      <c r="Q479" s="165"/>
      <c r="R479" s="165"/>
      <c r="S479" s="165"/>
      <c r="T479" s="165"/>
      <c r="U479" s="165"/>
      <c r="V479" s="165"/>
      <c r="W479" s="165"/>
      <c r="X479" s="165"/>
      <c r="Y479" s="165"/>
      <c r="Z479" s="165"/>
    </row>
    <row r="480" spans="16:26" ht="10.199999999999999" customHeight="1">
      <c r="P480" s="165"/>
      <c r="Q480" s="165"/>
      <c r="R480" s="165"/>
      <c r="S480" s="165"/>
      <c r="T480" s="165"/>
      <c r="U480" s="165"/>
      <c r="V480" s="165"/>
      <c r="W480" s="165"/>
      <c r="X480" s="165"/>
      <c r="Y480" s="165"/>
      <c r="Z480" s="165"/>
    </row>
    <row r="481" spans="16:26" ht="10.199999999999999" customHeight="1">
      <c r="P481" s="165"/>
      <c r="Q481" s="165"/>
      <c r="R481" s="165"/>
      <c r="S481" s="165"/>
      <c r="T481" s="165"/>
      <c r="U481" s="165"/>
      <c r="V481" s="165"/>
      <c r="W481" s="165"/>
      <c r="X481" s="165"/>
      <c r="Y481" s="165"/>
      <c r="Z481" s="165"/>
    </row>
    <row r="482" spans="16:26" ht="10.199999999999999" customHeight="1">
      <c r="P482" s="165"/>
      <c r="Q482" s="165"/>
      <c r="R482" s="165"/>
      <c r="S482" s="165"/>
      <c r="T482" s="165"/>
      <c r="U482" s="165"/>
      <c r="V482" s="165"/>
      <c r="W482" s="165"/>
      <c r="X482" s="165"/>
      <c r="Y482" s="165"/>
      <c r="Z482" s="165"/>
    </row>
    <row r="483" spans="16:26" ht="10.199999999999999" customHeight="1">
      <c r="P483" s="165"/>
      <c r="Q483" s="165"/>
      <c r="R483" s="165"/>
      <c r="S483" s="165"/>
      <c r="T483" s="165"/>
      <c r="U483" s="165"/>
      <c r="V483" s="165"/>
      <c r="W483" s="165"/>
      <c r="X483" s="165"/>
      <c r="Y483" s="165"/>
      <c r="Z483" s="165"/>
    </row>
    <row r="484" spans="16:26" ht="10.199999999999999" customHeight="1">
      <c r="P484" s="165"/>
      <c r="Q484" s="165"/>
      <c r="R484" s="165"/>
      <c r="S484" s="165"/>
      <c r="T484" s="165"/>
      <c r="U484" s="165"/>
      <c r="V484" s="165"/>
      <c r="W484" s="165"/>
      <c r="X484" s="165"/>
      <c r="Y484" s="165"/>
      <c r="Z484" s="165"/>
    </row>
    <row r="485" spans="16:26" ht="10.199999999999999" customHeight="1">
      <c r="P485" s="165"/>
      <c r="Q485" s="165"/>
      <c r="R485" s="165"/>
      <c r="S485" s="165"/>
      <c r="T485" s="165"/>
      <c r="U485" s="165"/>
      <c r="V485" s="165"/>
      <c r="W485" s="165"/>
      <c r="X485" s="165"/>
      <c r="Y485" s="165"/>
      <c r="Z485" s="165"/>
    </row>
    <row r="486" spans="16:26" ht="10.199999999999999" customHeight="1">
      <c r="P486" s="165"/>
      <c r="Q486" s="165"/>
      <c r="R486" s="165"/>
      <c r="S486" s="165"/>
      <c r="T486" s="165"/>
      <c r="U486" s="165"/>
      <c r="V486" s="165"/>
      <c r="W486" s="165"/>
      <c r="X486" s="165"/>
      <c r="Y486" s="165"/>
      <c r="Z486" s="165"/>
    </row>
    <row r="487" spans="16:26" ht="10.199999999999999" customHeight="1">
      <c r="P487" s="165"/>
      <c r="Q487" s="165"/>
      <c r="R487" s="165"/>
      <c r="S487" s="165"/>
      <c r="T487" s="165"/>
      <c r="U487" s="165"/>
      <c r="V487" s="165"/>
      <c r="W487" s="165"/>
      <c r="X487" s="165"/>
      <c r="Y487" s="165"/>
      <c r="Z487" s="165"/>
    </row>
    <row r="488" spans="16:26" ht="10.199999999999999" customHeight="1">
      <c r="P488" s="165"/>
      <c r="Q488" s="165"/>
      <c r="R488" s="165"/>
      <c r="S488" s="165"/>
      <c r="T488" s="165"/>
      <c r="U488" s="165"/>
      <c r="V488" s="165"/>
      <c r="W488" s="165"/>
      <c r="X488" s="165"/>
      <c r="Y488" s="165"/>
      <c r="Z488" s="165"/>
    </row>
    <row r="489" spans="16:26" ht="10.199999999999999" customHeight="1">
      <c r="P489" s="165"/>
      <c r="Q489" s="165"/>
      <c r="R489" s="165"/>
      <c r="S489" s="165"/>
      <c r="T489" s="165"/>
      <c r="U489" s="165"/>
      <c r="V489" s="165"/>
      <c r="W489" s="165"/>
      <c r="X489" s="165"/>
      <c r="Y489" s="165"/>
      <c r="Z489" s="165"/>
    </row>
    <row r="490" spans="16:26" ht="10.199999999999999" customHeight="1">
      <c r="P490" s="165"/>
      <c r="Q490" s="165"/>
      <c r="R490" s="165"/>
      <c r="S490" s="165"/>
      <c r="T490" s="165"/>
      <c r="U490" s="165"/>
      <c r="V490" s="165"/>
      <c r="W490" s="165"/>
      <c r="X490" s="165"/>
      <c r="Y490" s="165"/>
      <c r="Z490" s="165"/>
    </row>
    <row r="491" spans="16:26" ht="10.199999999999999" customHeight="1">
      <c r="P491" s="165"/>
      <c r="Q491" s="165"/>
      <c r="R491" s="165"/>
      <c r="S491" s="165"/>
      <c r="T491" s="165"/>
      <c r="U491" s="165"/>
      <c r="V491" s="165"/>
      <c r="W491" s="165"/>
      <c r="X491" s="165"/>
      <c r="Y491" s="165"/>
      <c r="Z491" s="165"/>
    </row>
    <row r="492" spans="16:26" ht="10.199999999999999" customHeight="1">
      <c r="P492" s="165"/>
      <c r="Q492" s="165"/>
      <c r="R492" s="165"/>
      <c r="S492" s="165"/>
      <c r="T492" s="165"/>
      <c r="U492" s="165"/>
      <c r="V492" s="165"/>
      <c r="W492" s="165"/>
      <c r="X492" s="165"/>
      <c r="Y492" s="165"/>
      <c r="Z492" s="165"/>
    </row>
    <row r="493" spans="16:26" ht="10.199999999999999" customHeight="1">
      <c r="P493" s="165"/>
      <c r="Q493" s="165"/>
      <c r="R493" s="165"/>
      <c r="S493" s="165"/>
      <c r="T493" s="165"/>
      <c r="U493" s="165"/>
      <c r="V493" s="165"/>
      <c r="W493" s="165"/>
      <c r="X493" s="165"/>
      <c r="Y493" s="165"/>
      <c r="Z493" s="165"/>
    </row>
    <row r="494" spans="16:26" ht="10.199999999999999" customHeight="1">
      <c r="P494" s="165"/>
      <c r="Q494" s="165"/>
      <c r="R494" s="165"/>
      <c r="S494" s="165"/>
      <c r="T494" s="165"/>
      <c r="U494" s="165"/>
      <c r="V494" s="165"/>
      <c r="W494" s="165"/>
      <c r="X494" s="165"/>
      <c r="Y494" s="165"/>
      <c r="Z494" s="165"/>
    </row>
    <row r="495" spans="16:26" ht="10.199999999999999" customHeight="1">
      <c r="P495" s="165"/>
      <c r="Q495" s="165"/>
      <c r="R495" s="165"/>
      <c r="S495" s="165"/>
      <c r="T495" s="165"/>
      <c r="U495" s="165"/>
      <c r="V495" s="165"/>
      <c r="W495" s="165"/>
      <c r="X495" s="165"/>
      <c r="Y495" s="165"/>
      <c r="Z495" s="165"/>
    </row>
    <row r="496" spans="16:26" ht="10.199999999999999" customHeight="1">
      <c r="P496" s="165"/>
      <c r="Q496" s="165"/>
      <c r="R496" s="165"/>
      <c r="S496" s="165"/>
      <c r="T496" s="165"/>
      <c r="U496" s="165"/>
      <c r="V496" s="165"/>
      <c r="W496" s="165"/>
      <c r="X496" s="165"/>
      <c r="Y496" s="165"/>
      <c r="Z496" s="165"/>
    </row>
    <row r="497" spans="16:26" ht="10.199999999999999" customHeight="1">
      <c r="P497" s="165"/>
      <c r="Q497" s="165"/>
      <c r="R497" s="165"/>
      <c r="S497" s="165"/>
      <c r="T497" s="165"/>
      <c r="U497" s="165"/>
      <c r="V497" s="165"/>
      <c r="W497" s="165"/>
      <c r="X497" s="165"/>
      <c r="Y497" s="165"/>
      <c r="Z497" s="165"/>
    </row>
    <row r="498" spans="16:26" ht="10.199999999999999" customHeight="1">
      <c r="P498" s="165"/>
      <c r="Q498" s="165"/>
      <c r="R498" s="165"/>
      <c r="S498" s="165"/>
      <c r="T498" s="165"/>
      <c r="U498" s="165"/>
      <c r="V498" s="165"/>
      <c r="W498" s="165"/>
      <c r="X498" s="165"/>
      <c r="Y498" s="165"/>
      <c r="Z498" s="165"/>
    </row>
    <row r="499" spans="16:26" ht="10.199999999999999" customHeight="1">
      <c r="P499" s="165"/>
      <c r="Q499" s="165"/>
      <c r="R499" s="165"/>
      <c r="S499" s="165"/>
      <c r="T499" s="165"/>
      <c r="U499" s="165"/>
      <c r="V499" s="165"/>
      <c r="W499" s="165"/>
      <c r="X499" s="165"/>
      <c r="Y499" s="165"/>
      <c r="Z499" s="165"/>
    </row>
    <row r="500" spans="16:26" ht="10.199999999999999" customHeight="1">
      <c r="P500" s="165"/>
      <c r="Q500" s="165"/>
      <c r="R500" s="165"/>
      <c r="S500" s="165"/>
      <c r="T500" s="165"/>
      <c r="U500" s="165"/>
      <c r="V500" s="165"/>
      <c r="W500" s="165"/>
      <c r="X500" s="165"/>
      <c r="Y500" s="165"/>
      <c r="Z500" s="165"/>
    </row>
    <row r="501" spans="16:26" ht="10.199999999999999" customHeight="1">
      <c r="P501" s="165"/>
      <c r="Q501" s="165"/>
      <c r="R501" s="165"/>
      <c r="S501" s="165"/>
      <c r="T501" s="165"/>
      <c r="U501" s="165"/>
      <c r="V501" s="165"/>
      <c r="W501" s="165"/>
      <c r="X501" s="165"/>
      <c r="Y501" s="165"/>
      <c r="Z501" s="165"/>
    </row>
    <row r="502" spans="16:26" ht="10.199999999999999" customHeight="1">
      <c r="P502" s="165"/>
      <c r="Q502" s="165"/>
      <c r="R502" s="165"/>
      <c r="S502" s="165"/>
      <c r="T502" s="165"/>
      <c r="U502" s="165"/>
      <c r="V502" s="165"/>
      <c r="W502" s="165"/>
      <c r="X502" s="165"/>
      <c r="Y502" s="165"/>
      <c r="Z502" s="165"/>
    </row>
    <row r="503" spans="16:26" ht="10.199999999999999" customHeight="1">
      <c r="P503" s="165"/>
      <c r="Q503" s="165"/>
      <c r="R503" s="165"/>
      <c r="S503" s="165"/>
      <c r="T503" s="165"/>
      <c r="U503" s="165"/>
      <c r="V503" s="165"/>
      <c r="W503" s="165"/>
      <c r="X503" s="165"/>
      <c r="Y503" s="165"/>
      <c r="Z503" s="165"/>
    </row>
    <row r="504" spans="16:26" ht="10.199999999999999" customHeight="1">
      <c r="P504" s="165"/>
      <c r="Q504" s="165"/>
      <c r="R504" s="165"/>
      <c r="S504" s="165"/>
      <c r="T504" s="165"/>
      <c r="U504" s="165"/>
      <c r="V504" s="165"/>
      <c r="W504" s="165"/>
      <c r="X504" s="165"/>
      <c r="Y504" s="165"/>
      <c r="Z504" s="165"/>
    </row>
    <row r="505" spans="16:26" ht="10.199999999999999" customHeight="1">
      <c r="P505" s="165"/>
      <c r="Q505" s="165"/>
      <c r="R505" s="165"/>
      <c r="S505" s="165"/>
      <c r="T505" s="165"/>
      <c r="U505" s="165"/>
      <c r="V505" s="165"/>
      <c r="W505" s="165"/>
      <c r="X505" s="165"/>
      <c r="Y505" s="165"/>
      <c r="Z505" s="165"/>
    </row>
    <row r="506" spans="16:26" ht="10.199999999999999" customHeight="1">
      <c r="P506" s="165"/>
      <c r="Q506" s="165"/>
      <c r="R506" s="165"/>
      <c r="S506" s="165"/>
      <c r="T506" s="165"/>
      <c r="U506" s="165"/>
      <c r="V506" s="165"/>
      <c r="W506" s="165"/>
      <c r="X506" s="165"/>
      <c r="Y506" s="165"/>
      <c r="Z506" s="165"/>
    </row>
    <row r="507" spans="16:26" ht="10.199999999999999" customHeight="1">
      <c r="P507" s="165"/>
      <c r="Q507" s="165"/>
      <c r="R507" s="165"/>
      <c r="S507" s="165"/>
      <c r="T507" s="165"/>
      <c r="U507" s="165"/>
      <c r="V507" s="165"/>
      <c r="W507" s="165"/>
      <c r="X507" s="165"/>
      <c r="Y507" s="165"/>
      <c r="Z507" s="165"/>
    </row>
    <row r="508" spans="16:26" ht="10.199999999999999" customHeight="1">
      <c r="P508" s="165"/>
      <c r="Q508" s="165"/>
      <c r="R508" s="165"/>
      <c r="S508" s="165"/>
      <c r="T508" s="165"/>
      <c r="U508" s="165"/>
      <c r="V508" s="165"/>
      <c r="W508" s="165"/>
      <c r="X508" s="165"/>
      <c r="Y508" s="165"/>
      <c r="Z508" s="165"/>
    </row>
    <row r="509" spans="16:26" ht="10.199999999999999" customHeight="1">
      <c r="P509" s="165"/>
      <c r="Q509" s="165"/>
      <c r="R509" s="165"/>
      <c r="S509" s="165"/>
      <c r="T509" s="165"/>
      <c r="U509" s="165"/>
      <c r="V509" s="165"/>
      <c r="W509" s="165"/>
      <c r="X509" s="165"/>
      <c r="Y509" s="165"/>
      <c r="Z509" s="165"/>
    </row>
    <row r="510" spans="16:26" ht="10.199999999999999" customHeight="1">
      <c r="P510" s="165"/>
      <c r="Q510" s="165"/>
      <c r="R510" s="165"/>
      <c r="S510" s="165"/>
      <c r="T510" s="165"/>
      <c r="U510" s="165"/>
      <c r="V510" s="165"/>
      <c r="W510" s="165"/>
      <c r="X510" s="165"/>
      <c r="Y510" s="165"/>
      <c r="Z510" s="165"/>
    </row>
    <row r="511" spans="16:26" ht="10.199999999999999" customHeight="1">
      <c r="P511" s="165"/>
      <c r="Q511" s="165"/>
      <c r="R511" s="165"/>
      <c r="S511" s="165"/>
      <c r="T511" s="165"/>
      <c r="U511" s="165"/>
      <c r="V511" s="165"/>
      <c r="W511" s="165"/>
      <c r="X511" s="165"/>
      <c r="Y511" s="165"/>
      <c r="Z511" s="165"/>
    </row>
    <row r="512" spans="16:26" ht="10.199999999999999" customHeight="1">
      <c r="P512" s="165"/>
      <c r="Q512" s="165"/>
      <c r="R512" s="165"/>
      <c r="S512" s="165"/>
      <c r="T512" s="165"/>
      <c r="U512" s="165"/>
      <c r="V512" s="165"/>
      <c r="W512" s="165"/>
      <c r="X512" s="165"/>
      <c r="Y512" s="165"/>
      <c r="Z512" s="165"/>
    </row>
    <row r="513" spans="16:26" ht="10.199999999999999" customHeight="1">
      <c r="P513" s="165"/>
      <c r="Q513" s="165"/>
      <c r="R513" s="165"/>
      <c r="S513" s="165"/>
      <c r="T513" s="165"/>
      <c r="U513" s="165"/>
      <c r="V513" s="165"/>
      <c r="W513" s="165"/>
      <c r="X513" s="165"/>
      <c r="Y513" s="165"/>
      <c r="Z513" s="165"/>
    </row>
    <row r="514" spans="16:26" ht="10.199999999999999" customHeight="1">
      <c r="P514" s="165"/>
      <c r="Q514" s="165"/>
      <c r="R514" s="165"/>
      <c r="S514" s="165"/>
      <c r="T514" s="165"/>
      <c r="U514" s="165"/>
      <c r="V514" s="165"/>
      <c r="W514" s="165"/>
      <c r="X514" s="165"/>
      <c r="Y514" s="165"/>
      <c r="Z514" s="165"/>
    </row>
    <row r="515" spans="16:26" ht="10.199999999999999" customHeight="1">
      <c r="P515" s="165"/>
      <c r="Q515" s="165"/>
      <c r="R515" s="165"/>
      <c r="S515" s="165"/>
      <c r="T515" s="165"/>
      <c r="U515" s="165"/>
      <c r="V515" s="165"/>
      <c r="W515" s="165"/>
      <c r="X515" s="165"/>
      <c r="Y515" s="165"/>
      <c r="Z515" s="165"/>
    </row>
    <row r="516" spans="16:26" ht="10.199999999999999" customHeight="1">
      <c r="P516" s="165"/>
      <c r="Q516" s="165"/>
      <c r="R516" s="165"/>
      <c r="S516" s="165"/>
      <c r="T516" s="165"/>
      <c r="U516" s="165"/>
      <c r="V516" s="165"/>
      <c r="W516" s="165"/>
      <c r="X516" s="165"/>
      <c r="Y516" s="165"/>
      <c r="Z516" s="165"/>
    </row>
    <row r="517" spans="16:26" ht="10.199999999999999" customHeight="1">
      <c r="P517" s="165"/>
      <c r="Q517" s="165"/>
      <c r="R517" s="165"/>
      <c r="S517" s="165"/>
      <c r="T517" s="165"/>
      <c r="U517" s="165"/>
      <c r="V517" s="165"/>
      <c r="W517" s="165"/>
      <c r="X517" s="165"/>
      <c r="Y517" s="165"/>
      <c r="Z517" s="165"/>
    </row>
    <row r="518" spans="16:26" ht="10.199999999999999" customHeight="1">
      <c r="P518" s="165"/>
      <c r="Q518" s="165"/>
      <c r="R518" s="165"/>
      <c r="S518" s="165"/>
      <c r="T518" s="165"/>
      <c r="U518" s="165"/>
      <c r="V518" s="165"/>
      <c r="W518" s="165"/>
      <c r="X518" s="165"/>
      <c r="Y518" s="165"/>
      <c r="Z518" s="165"/>
    </row>
    <row r="519" spans="16:26" ht="10.199999999999999" customHeight="1">
      <c r="P519" s="165"/>
      <c r="Q519" s="165"/>
      <c r="R519" s="165"/>
      <c r="S519" s="165"/>
      <c r="T519" s="165"/>
      <c r="U519" s="165"/>
      <c r="V519" s="165"/>
      <c r="W519" s="165"/>
      <c r="X519" s="165"/>
      <c r="Y519" s="165"/>
      <c r="Z519" s="165"/>
    </row>
    <row r="520" spans="16:26" ht="10.199999999999999" customHeight="1">
      <c r="P520" s="165"/>
      <c r="Q520" s="165"/>
      <c r="R520" s="165"/>
      <c r="S520" s="165"/>
      <c r="T520" s="165"/>
      <c r="U520" s="165"/>
      <c r="V520" s="165"/>
      <c r="W520" s="165"/>
      <c r="X520" s="165"/>
      <c r="Y520" s="165"/>
      <c r="Z520" s="165"/>
    </row>
    <row r="521" spans="16:26" ht="10.199999999999999" customHeight="1">
      <c r="P521" s="165"/>
      <c r="Q521" s="165"/>
      <c r="R521" s="165"/>
      <c r="S521" s="165"/>
      <c r="T521" s="165"/>
      <c r="U521" s="165"/>
      <c r="V521" s="165"/>
      <c r="W521" s="165"/>
      <c r="X521" s="165"/>
      <c r="Y521" s="165"/>
      <c r="Z521" s="165"/>
    </row>
    <row r="522" spans="16:26" ht="10.199999999999999" customHeight="1">
      <c r="P522" s="165"/>
      <c r="Q522" s="165"/>
      <c r="R522" s="165"/>
      <c r="S522" s="165"/>
      <c r="T522" s="165"/>
      <c r="U522" s="165"/>
      <c r="V522" s="165"/>
      <c r="W522" s="165"/>
      <c r="X522" s="165"/>
      <c r="Y522" s="165"/>
      <c r="Z522" s="165"/>
    </row>
    <row r="523" spans="16:26" ht="10.199999999999999" customHeight="1">
      <c r="P523" s="165"/>
      <c r="Q523" s="165"/>
      <c r="R523" s="165"/>
      <c r="S523" s="165"/>
      <c r="T523" s="165"/>
      <c r="U523" s="165"/>
      <c r="V523" s="165"/>
      <c r="W523" s="165"/>
      <c r="X523" s="165"/>
      <c r="Y523" s="165"/>
      <c r="Z523" s="165"/>
    </row>
    <row r="524" spans="16:26" ht="10.199999999999999" customHeight="1">
      <c r="P524" s="165"/>
      <c r="Q524" s="165"/>
      <c r="R524" s="165"/>
      <c r="S524" s="165"/>
      <c r="T524" s="165"/>
      <c r="U524" s="165"/>
      <c r="V524" s="165"/>
      <c r="W524" s="165"/>
      <c r="X524" s="165"/>
      <c r="Y524" s="165"/>
      <c r="Z524" s="165"/>
    </row>
    <row r="525" spans="16:26" ht="10.199999999999999" customHeight="1">
      <c r="P525" s="165"/>
      <c r="Q525" s="165"/>
      <c r="R525" s="165"/>
      <c r="S525" s="165"/>
      <c r="T525" s="165"/>
      <c r="U525" s="165"/>
      <c r="V525" s="165"/>
      <c r="W525" s="165"/>
      <c r="X525" s="165"/>
      <c r="Y525" s="165"/>
      <c r="Z525" s="165"/>
    </row>
    <row r="526" spans="16:26" ht="10.199999999999999" customHeight="1">
      <c r="P526" s="165"/>
      <c r="Q526" s="165"/>
      <c r="R526" s="165"/>
      <c r="S526" s="165"/>
      <c r="T526" s="165"/>
      <c r="U526" s="165"/>
      <c r="V526" s="165"/>
      <c r="W526" s="165"/>
      <c r="X526" s="165"/>
      <c r="Y526" s="165"/>
      <c r="Z526" s="165"/>
    </row>
    <row r="527" spans="16:26" ht="10.199999999999999" customHeight="1">
      <c r="P527" s="165"/>
      <c r="Q527" s="165"/>
      <c r="R527" s="165"/>
      <c r="S527" s="165"/>
      <c r="T527" s="165"/>
      <c r="U527" s="165"/>
      <c r="V527" s="165"/>
      <c r="W527" s="165"/>
      <c r="X527" s="165"/>
      <c r="Y527" s="165"/>
      <c r="Z527" s="165"/>
    </row>
    <row r="528" spans="16:26" ht="10.199999999999999" customHeight="1">
      <c r="P528" s="165"/>
      <c r="Q528" s="165"/>
      <c r="R528" s="165"/>
      <c r="S528" s="165"/>
      <c r="T528" s="165"/>
      <c r="U528" s="165"/>
      <c r="V528" s="165"/>
      <c r="W528" s="165"/>
      <c r="X528" s="165"/>
      <c r="Y528" s="165"/>
      <c r="Z528" s="165"/>
    </row>
    <row r="529" spans="16:26" ht="10.199999999999999" customHeight="1">
      <c r="P529" s="165"/>
      <c r="Q529" s="165"/>
      <c r="R529" s="165"/>
      <c r="S529" s="165"/>
      <c r="T529" s="165"/>
      <c r="U529" s="165"/>
      <c r="V529" s="165"/>
      <c r="W529" s="165"/>
      <c r="X529" s="165"/>
      <c r="Y529" s="165"/>
      <c r="Z529" s="165"/>
    </row>
    <row r="530" spans="16:26" ht="10.199999999999999" customHeight="1">
      <c r="P530" s="165"/>
      <c r="Q530" s="165"/>
      <c r="R530" s="165"/>
      <c r="S530" s="165"/>
      <c r="T530" s="165"/>
      <c r="U530" s="165"/>
      <c r="V530" s="165"/>
      <c r="W530" s="165"/>
      <c r="X530" s="165"/>
      <c r="Y530" s="165"/>
      <c r="Z530" s="165"/>
    </row>
    <row r="531" spans="16:26" ht="10.199999999999999" customHeight="1">
      <c r="P531" s="165"/>
      <c r="Q531" s="165"/>
      <c r="R531" s="165"/>
      <c r="S531" s="165"/>
      <c r="T531" s="165"/>
      <c r="U531" s="165"/>
      <c r="V531" s="165"/>
      <c r="W531" s="165"/>
      <c r="X531" s="165"/>
      <c r="Y531" s="165"/>
      <c r="Z531" s="165"/>
    </row>
    <row r="532" spans="16:26" ht="10.199999999999999" customHeight="1">
      <c r="P532" s="165"/>
      <c r="Q532" s="165"/>
      <c r="R532" s="165"/>
      <c r="S532" s="165"/>
      <c r="T532" s="165"/>
      <c r="U532" s="165"/>
      <c r="V532" s="165"/>
      <c r="W532" s="165"/>
      <c r="X532" s="165"/>
      <c r="Y532" s="165"/>
      <c r="Z532" s="165"/>
    </row>
    <row r="533" spans="16:26" ht="10.199999999999999" customHeight="1">
      <c r="P533" s="165"/>
      <c r="Q533" s="165"/>
      <c r="R533" s="165"/>
      <c r="S533" s="165"/>
      <c r="T533" s="165"/>
      <c r="U533" s="165"/>
      <c r="V533" s="165"/>
      <c r="W533" s="165"/>
      <c r="X533" s="165"/>
      <c r="Y533" s="165"/>
      <c r="Z533" s="165"/>
    </row>
    <row r="534" spans="16:26" ht="10.199999999999999" customHeight="1">
      <c r="P534" s="165"/>
      <c r="Q534" s="165"/>
      <c r="R534" s="165"/>
      <c r="S534" s="165"/>
      <c r="T534" s="165"/>
      <c r="U534" s="165"/>
      <c r="V534" s="165"/>
      <c r="W534" s="165"/>
      <c r="X534" s="165"/>
      <c r="Y534" s="165"/>
      <c r="Z534" s="165"/>
    </row>
    <row r="535" spans="16:26" ht="10.199999999999999" customHeight="1">
      <c r="P535" s="165"/>
      <c r="Q535" s="165"/>
      <c r="R535" s="165"/>
      <c r="S535" s="165"/>
      <c r="T535" s="165"/>
      <c r="U535" s="165"/>
      <c r="V535" s="165"/>
      <c r="W535" s="165"/>
      <c r="X535" s="165"/>
      <c r="Y535" s="165"/>
      <c r="Z535" s="165"/>
    </row>
    <row r="536" spans="16:26" ht="10.199999999999999" customHeight="1">
      <c r="P536" s="165"/>
      <c r="Q536" s="165"/>
      <c r="R536" s="165"/>
      <c r="S536" s="165"/>
      <c r="T536" s="165"/>
      <c r="U536" s="165"/>
      <c r="V536" s="165"/>
      <c r="W536" s="165"/>
      <c r="X536" s="165"/>
      <c r="Y536" s="165"/>
      <c r="Z536" s="165"/>
    </row>
    <row r="537" spans="16:26" ht="10.199999999999999" customHeight="1">
      <c r="P537" s="165"/>
      <c r="Q537" s="165"/>
      <c r="R537" s="165"/>
      <c r="S537" s="165"/>
      <c r="T537" s="165"/>
      <c r="U537" s="165"/>
      <c r="V537" s="165"/>
      <c r="W537" s="165"/>
      <c r="X537" s="165"/>
      <c r="Y537" s="165"/>
      <c r="Z537" s="165"/>
    </row>
    <row r="538" spans="16:26" ht="10.199999999999999" customHeight="1">
      <c r="P538" s="165"/>
      <c r="Q538" s="165"/>
      <c r="R538" s="165"/>
      <c r="S538" s="165"/>
      <c r="T538" s="165"/>
      <c r="U538" s="165"/>
      <c r="V538" s="165"/>
      <c r="W538" s="165"/>
      <c r="X538" s="165"/>
      <c r="Y538" s="165"/>
      <c r="Z538" s="165"/>
    </row>
    <row r="539" spans="16:26" ht="10.199999999999999" customHeight="1">
      <c r="P539" s="165"/>
      <c r="Q539" s="165"/>
      <c r="R539" s="165"/>
      <c r="S539" s="165"/>
      <c r="T539" s="165"/>
      <c r="U539" s="165"/>
      <c r="V539" s="165"/>
      <c r="W539" s="165"/>
      <c r="X539" s="165"/>
      <c r="Y539" s="165"/>
      <c r="Z539" s="165"/>
    </row>
    <row r="540" spans="16:26" ht="10.199999999999999" customHeight="1">
      <c r="P540" s="165"/>
      <c r="Q540" s="165"/>
      <c r="R540" s="165"/>
      <c r="S540" s="165"/>
      <c r="T540" s="165"/>
      <c r="U540" s="165"/>
      <c r="V540" s="165"/>
      <c r="W540" s="165"/>
      <c r="X540" s="165"/>
      <c r="Y540" s="165"/>
      <c r="Z540" s="165"/>
    </row>
    <row r="541" spans="16:26" ht="10.199999999999999" customHeight="1">
      <c r="P541" s="165"/>
      <c r="Q541" s="165"/>
      <c r="R541" s="165"/>
      <c r="S541" s="165"/>
      <c r="T541" s="165"/>
      <c r="U541" s="165"/>
      <c r="V541" s="165"/>
      <c r="W541" s="165"/>
      <c r="X541" s="165"/>
      <c r="Y541" s="165"/>
      <c r="Z541" s="165"/>
    </row>
    <row r="542" spans="16:26" ht="10.199999999999999" customHeight="1">
      <c r="P542" s="165"/>
      <c r="Q542" s="165"/>
      <c r="R542" s="165"/>
      <c r="S542" s="165"/>
      <c r="T542" s="165"/>
      <c r="U542" s="165"/>
      <c r="V542" s="165"/>
      <c r="W542" s="165"/>
      <c r="X542" s="165"/>
      <c r="Y542" s="165"/>
      <c r="Z542" s="165"/>
    </row>
    <row r="543" spans="16:26" ht="10.199999999999999" customHeight="1">
      <c r="P543" s="165"/>
      <c r="Q543" s="165"/>
      <c r="R543" s="165"/>
      <c r="S543" s="165"/>
      <c r="T543" s="165"/>
      <c r="U543" s="165"/>
      <c r="V543" s="165"/>
      <c r="W543" s="165"/>
      <c r="X543" s="165"/>
      <c r="Y543" s="165"/>
      <c r="Z543" s="165"/>
    </row>
    <row r="544" spans="16:26" ht="10.199999999999999" customHeight="1">
      <c r="P544" s="165"/>
      <c r="Q544" s="165"/>
      <c r="R544" s="165"/>
      <c r="S544" s="165"/>
      <c r="T544" s="165"/>
      <c r="U544" s="165"/>
      <c r="V544" s="165"/>
      <c r="W544" s="165"/>
      <c r="X544" s="165"/>
      <c r="Y544" s="165"/>
      <c r="Z544" s="165"/>
    </row>
    <row r="545" spans="16:26" ht="10.199999999999999" customHeight="1">
      <c r="P545" s="165"/>
      <c r="Q545" s="165"/>
      <c r="R545" s="165"/>
      <c r="S545" s="165"/>
      <c r="T545" s="165"/>
      <c r="U545" s="165"/>
      <c r="V545" s="165"/>
      <c r="W545" s="165"/>
      <c r="X545" s="165"/>
      <c r="Y545" s="165"/>
      <c r="Z545" s="165"/>
    </row>
    <row r="546" spans="16:26" ht="10.199999999999999" customHeight="1">
      <c r="P546" s="165"/>
      <c r="Q546" s="165"/>
      <c r="R546" s="165"/>
      <c r="S546" s="165"/>
      <c r="T546" s="165"/>
      <c r="U546" s="165"/>
      <c r="V546" s="165"/>
      <c r="W546" s="165"/>
      <c r="X546" s="165"/>
      <c r="Y546" s="165"/>
      <c r="Z546" s="165"/>
    </row>
    <row r="547" spans="16:26" ht="10.199999999999999" customHeight="1">
      <c r="P547" s="165"/>
      <c r="Q547" s="165"/>
      <c r="R547" s="165"/>
      <c r="S547" s="165"/>
      <c r="T547" s="165"/>
      <c r="U547" s="165"/>
      <c r="V547" s="165"/>
      <c r="W547" s="165"/>
      <c r="X547" s="165"/>
      <c r="Y547" s="165"/>
      <c r="Z547" s="165"/>
    </row>
    <row r="548" spans="16:26" ht="10.199999999999999" customHeight="1">
      <c r="P548" s="165"/>
      <c r="Q548" s="165"/>
      <c r="R548" s="165"/>
      <c r="S548" s="165"/>
      <c r="T548" s="165"/>
      <c r="U548" s="165"/>
      <c r="V548" s="165"/>
      <c r="W548" s="165"/>
      <c r="X548" s="165"/>
      <c r="Y548" s="165"/>
      <c r="Z548" s="165"/>
    </row>
    <row r="549" spans="16:26" ht="10.199999999999999" customHeight="1">
      <c r="P549" s="165"/>
      <c r="Q549" s="165"/>
      <c r="R549" s="165"/>
      <c r="S549" s="165"/>
      <c r="T549" s="165"/>
      <c r="U549" s="165"/>
      <c r="V549" s="165"/>
      <c r="W549" s="165"/>
      <c r="X549" s="165"/>
      <c r="Y549" s="165"/>
      <c r="Z549" s="165"/>
    </row>
    <row r="550" spans="16:26" ht="10.199999999999999" customHeight="1">
      <c r="P550" s="165"/>
      <c r="Q550" s="165"/>
      <c r="R550" s="165"/>
      <c r="S550" s="165"/>
      <c r="T550" s="165"/>
      <c r="U550" s="165"/>
      <c r="V550" s="165"/>
      <c r="W550" s="165"/>
      <c r="X550" s="165"/>
      <c r="Y550" s="165"/>
      <c r="Z550" s="165"/>
    </row>
    <row r="551" spans="16:26" ht="10.199999999999999" customHeight="1">
      <c r="P551" s="165"/>
      <c r="Q551" s="165"/>
      <c r="R551" s="165"/>
      <c r="S551" s="165"/>
      <c r="T551" s="165"/>
      <c r="U551" s="165"/>
      <c r="V551" s="165"/>
      <c r="W551" s="165"/>
      <c r="X551" s="165"/>
      <c r="Y551" s="165"/>
      <c r="Z551" s="165"/>
    </row>
    <row r="552" spans="16:26" ht="10.199999999999999" customHeight="1">
      <c r="P552" s="165"/>
      <c r="Q552" s="165"/>
      <c r="R552" s="165"/>
      <c r="S552" s="165"/>
      <c r="T552" s="165"/>
      <c r="U552" s="165"/>
      <c r="V552" s="165"/>
      <c r="W552" s="165"/>
      <c r="X552" s="165"/>
      <c r="Y552" s="165"/>
      <c r="Z552" s="165"/>
    </row>
    <row r="553" spans="16:26" ht="10.199999999999999" customHeight="1">
      <c r="P553" s="165"/>
      <c r="Q553" s="165"/>
      <c r="R553" s="165"/>
      <c r="S553" s="165"/>
      <c r="T553" s="165"/>
      <c r="U553" s="165"/>
      <c r="V553" s="165"/>
      <c r="W553" s="165"/>
      <c r="X553" s="165"/>
      <c r="Y553" s="165"/>
      <c r="Z553" s="165"/>
    </row>
    <row r="554" spans="16:26" ht="10.199999999999999" customHeight="1">
      <c r="P554" s="165"/>
      <c r="Q554" s="165"/>
      <c r="R554" s="165"/>
      <c r="S554" s="165"/>
      <c r="T554" s="165"/>
      <c r="U554" s="165"/>
      <c r="V554" s="165"/>
      <c r="W554" s="165"/>
      <c r="X554" s="165"/>
      <c r="Y554" s="165"/>
      <c r="Z554" s="165"/>
    </row>
    <row r="555" spans="16:26" ht="10.199999999999999" customHeight="1">
      <c r="P555" s="165"/>
      <c r="Q555" s="165"/>
      <c r="R555" s="165"/>
      <c r="S555" s="165"/>
      <c r="T555" s="165"/>
      <c r="U555" s="165"/>
      <c r="V555" s="165"/>
      <c r="W555" s="165"/>
      <c r="X555" s="165"/>
      <c r="Y555" s="165"/>
      <c r="Z555" s="165"/>
    </row>
    <row r="556" spans="16:26" ht="10.199999999999999" customHeight="1">
      <c r="P556" s="165"/>
      <c r="Q556" s="165"/>
      <c r="R556" s="165"/>
      <c r="S556" s="165"/>
      <c r="T556" s="165"/>
      <c r="U556" s="165"/>
      <c r="V556" s="165"/>
      <c r="W556" s="165"/>
      <c r="X556" s="165"/>
      <c r="Y556" s="165"/>
      <c r="Z556" s="165"/>
    </row>
    <row r="557" spans="16:26" ht="10.199999999999999" customHeight="1">
      <c r="P557" s="165"/>
      <c r="Q557" s="165"/>
      <c r="R557" s="165"/>
      <c r="S557" s="165"/>
      <c r="T557" s="165"/>
      <c r="U557" s="165"/>
      <c r="V557" s="165"/>
      <c r="W557" s="165"/>
      <c r="X557" s="165"/>
      <c r="Y557" s="165"/>
      <c r="Z557" s="165"/>
    </row>
    <row r="558" spans="16:26" ht="10.199999999999999" customHeight="1">
      <c r="P558" s="165"/>
      <c r="Q558" s="165"/>
      <c r="R558" s="165"/>
      <c r="S558" s="165"/>
      <c r="T558" s="165"/>
      <c r="U558" s="165"/>
      <c r="V558" s="165"/>
      <c r="W558" s="165"/>
      <c r="X558" s="165"/>
      <c r="Y558" s="165"/>
      <c r="Z558" s="165"/>
    </row>
    <row r="559" spans="16:26" ht="10.199999999999999" customHeight="1">
      <c r="P559" s="165"/>
      <c r="Q559" s="165"/>
      <c r="R559" s="165"/>
      <c r="S559" s="165"/>
      <c r="T559" s="165"/>
      <c r="U559" s="165"/>
      <c r="V559" s="165"/>
      <c r="W559" s="165"/>
      <c r="X559" s="165"/>
      <c r="Y559" s="165"/>
      <c r="Z559" s="165"/>
    </row>
    <row r="560" spans="16:26" ht="10.199999999999999" customHeight="1">
      <c r="P560" s="165"/>
      <c r="Q560" s="165"/>
      <c r="R560" s="165"/>
      <c r="S560" s="165"/>
      <c r="T560" s="165"/>
      <c r="U560" s="165"/>
      <c r="V560" s="165"/>
      <c r="W560" s="165"/>
      <c r="X560" s="165"/>
      <c r="Y560" s="165"/>
      <c r="Z560" s="165"/>
    </row>
    <row r="561" spans="16:26" ht="10.199999999999999" customHeight="1">
      <c r="P561" s="165"/>
      <c r="Q561" s="165"/>
      <c r="R561" s="165"/>
      <c r="S561" s="165"/>
      <c r="T561" s="165"/>
      <c r="U561" s="165"/>
      <c r="V561" s="165"/>
      <c r="W561" s="165"/>
      <c r="X561" s="165"/>
      <c r="Y561" s="165"/>
      <c r="Z561" s="165"/>
    </row>
    <row r="562" spans="16:26" ht="10.199999999999999" customHeight="1">
      <c r="P562" s="165"/>
      <c r="Q562" s="165"/>
      <c r="R562" s="165"/>
      <c r="S562" s="165"/>
      <c r="T562" s="165"/>
      <c r="U562" s="165"/>
      <c r="V562" s="165"/>
      <c r="W562" s="165"/>
      <c r="X562" s="165"/>
      <c r="Y562" s="165"/>
      <c r="Z562" s="165"/>
    </row>
    <row r="563" spans="16:26" ht="10.199999999999999" customHeight="1">
      <c r="P563" s="165"/>
      <c r="Q563" s="165"/>
      <c r="R563" s="165"/>
      <c r="S563" s="165"/>
      <c r="T563" s="165"/>
      <c r="U563" s="165"/>
      <c r="V563" s="165"/>
      <c r="W563" s="165"/>
      <c r="X563" s="165"/>
      <c r="Y563" s="165"/>
      <c r="Z563" s="165"/>
    </row>
    <row r="564" spans="16:26" ht="10.199999999999999" customHeight="1">
      <c r="P564" s="165"/>
      <c r="Q564" s="165"/>
      <c r="R564" s="165"/>
      <c r="S564" s="165"/>
      <c r="T564" s="165"/>
      <c r="U564" s="165"/>
      <c r="V564" s="165"/>
      <c r="W564" s="165"/>
      <c r="X564" s="165"/>
      <c r="Y564" s="165"/>
      <c r="Z564" s="165"/>
    </row>
    <row r="565" spans="16:26" ht="10.199999999999999" customHeight="1">
      <c r="P565" s="165"/>
      <c r="Q565" s="165"/>
      <c r="R565" s="165"/>
      <c r="S565" s="165"/>
      <c r="T565" s="165"/>
      <c r="U565" s="165"/>
      <c r="V565" s="165"/>
      <c r="W565" s="165"/>
      <c r="X565" s="165"/>
      <c r="Y565" s="165"/>
      <c r="Z565" s="165"/>
    </row>
    <row r="566" spans="16:26" ht="10.199999999999999" customHeight="1">
      <c r="P566" s="165"/>
      <c r="Q566" s="165"/>
      <c r="R566" s="165"/>
      <c r="S566" s="165"/>
      <c r="T566" s="165"/>
      <c r="U566" s="165"/>
      <c r="V566" s="165"/>
      <c r="W566" s="165"/>
      <c r="X566" s="165"/>
      <c r="Y566" s="165"/>
      <c r="Z566" s="165"/>
    </row>
    <row r="567" spans="16:26" ht="10.199999999999999" customHeight="1">
      <c r="P567" s="165"/>
      <c r="Q567" s="165"/>
      <c r="R567" s="165"/>
      <c r="S567" s="165"/>
      <c r="T567" s="165"/>
      <c r="U567" s="165"/>
      <c r="V567" s="165"/>
      <c r="W567" s="165"/>
      <c r="X567" s="165"/>
      <c r="Y567" s="165"/>
      <c r="Z567" s="165"/>
    </row>
    <row r="568" spans="16:26" ht="10.199999999999999" customHeight="1">
      <c r="P568" s="165"/>
      <c r="Q568" s="165"/>
      <c r="R568" s="165"/>
      <c r="S568" s="165"/>
      <c r="T568" s="165"/>
      <c r="U568" s="165"/>
      <c r="V568" s="165"/>
      <c r="W568" s="165"/>
      <c r="X568" s="165"/>
      <c r="Y568" s="165"/>
      <c r="Z568" s="165"/>
    </row>
    <row r="569" spans="16:26" ht="10.199999999999999" customHeight="1">
      <c r="P569" s="165"/>
      <c r="Q569" s="165"/>
      <c r="R569" s="165"/>
      <c r="S569" s="165"/>
      <c r="T569" s="165"/>
      <c r="U569" s="165"/>
      <c r="V569" s="165"/>
      <c r="W569" s="165"/>
      <c r="X569" s="165"/>
      <c r="Y569" s="165"/>
      <c r="Z569" s="165"/>
    </row>
    <row r="570" spans="16:26" ht="10.199999999999999" customHeight="1">
      <c r="P570" s="165"/>
      <c r="Q570" s="165"/>
      <c r="R570" s="165"/>
      <c r="S570" s="165"/>
      <c r="T570" s="165"/>
      <c r="U570" s="165"/>
      <c r="V570" s="165"/>
      <c r="W570" s="165"/>
      <c r="X570" s="165"/>
      <c r="Y570" s="165"/>
      <c r="Z570" s="165"/>
    </row>
    <row r="571" spans="16:26" ht="10.199999999999999" customHeight="1">
      <c r="P571" s="165"/>
      <c r="Q571" s="165"/>
      <c r="R571" s="165"/>
      <c r="S571" s="165"/>
      <c r="T571" s="165"/>
      <c r="U571" s="165"/>
      <c r="V571" s="165"/>
      <c r="W571" s="165"/>
      <c r="X571" s="165"/>
      <c r="Y571" s="165"/>
      <c r="Z571" s="165"/>
    </row>
    <row r="572" spans="16:26" ht="10.199999999999999" customHeight="1">
      <c r="P572" s="165"/>
      <c r="Q572" s="165"/>
      <c r="R572" s="165"/>
      <c r="S572" s="165"/>
      <c r="T572" s="165"/>
      <c r="U572" s="165"/>
      <c r="V572" s="165"/>
      <c r="W572" s="165"/>
      <c r="X572" s="165"/>
      <c r="Y572" s="165"/>
      <c r="Z572" s="165"/>
    </row>
    <row r="573" spans="16:26" ht="10.199999999999999" customHeight="1">
      <c r="P573" s="165"/>
      <c r="Q573" s="165"/>
      <c r="R573" s="165"/>
      <c r="S573" s="165"/>
      <c r="T573" s="165"/>
      <c r="U573" s="165"/>
      <c r="V573" s="165"/>
      <c r="W573" s="165"/>
      <c r="X573" s="165"/>
      <c r="Y573" s="165"/>
      <c r="Z573" s="165"/>
    </row>
    <row r="574" spans="16:26" ht="10.199999999999999" customHeight="1">
      <c r="P574" s="165"/>
      <c r="Q574" s="165"/>
      <c r="R574" s="165"/>
      <c r="S574" s="165"/>
      <c r="T574" s="165"/>
      <c r="U574" s="165"/>
      <c r="V574" s="165"/>
      <c r="W574" s="165"/>
      <c r="X574" s="165"/>
      <c r="Y574" s="165"/>
      <c r="Z574" s="165"/>
    </row>
    <row r="575" spans="16:26" ht="10.199999999999999" customHeight="1">
      <c r="P575" s="165"/>
      <c r="Q575" s="165"/>
      <c r="R575" s="165"/>
      <c r="S575" s="165"/>
      <c r="T575" s="165"/>
      <c r="U575" s="165"/>
      <c r="V575" s="165"/>
      <c r="W575" s="165"/>
      <c r="X575" s="165"/>
      <c r="Y575" s="165"/>
      <c r="Z575" s="165"/>
    </row>
    <row r="576" spans="16:26" ht="10.199999999999999" customHeight="1">
      <c r="P576" s="165"/>
      <c r="Q576" s="165"/>
      <c r="R576" s="165"/>
      <c r="S576" s="165"/>
      <c r="T576" s="165"/>
      <c r="U576" s="165"/>
      <c r="V576" s="165"/>
      <c r="W576" s="165"/>
      <c r="X576" s="165"/>
      <c r="Y576" s="165"/>
      <c r="Z576" s="165"/>
    </row>
    <row r="577" spans="16:26" ht="10.199999999999999" customHeight="1">
      <c r="P577" s="165"/>
      <c r="Q577" s="165"/>
      <c r="R577" s="165"/>
      <c r="S577" s="165"/>
      <c r="T577" s="165"/>
      <c r="U577" s="165"/>
      <c r="V577" s="165"/>
      <c r="W577" s="165"/>
      <c r="X577" s="165"/>
      <c r="Y577" s="165"/>
      <c r="Z577" s="165"/>
    </row>
    <row r="578" spans="16:26" ht="10.199999999999999" customHeight="1">
      <c r="P578" s="165"/>
      <c r="Q578" s="165"/>
      <c r="R578" s="165"/>
      <c r="S578" s="165"/>
      <c r="T578" s="165"/>
      <c r="U578" s="165"/>
      <c r="V578" s="165"/>
      <c r="W578" s="165"/>
      <c r="X578" s="165"/>
      <c r="Y578" s="165"/>
      <c r="Z578" s="165"/>
    </row>
    <row r="579" spans="16:26" ht="10.199999999999999" customHeight="1">
      <c r="P579" s="165"/>
      <c r="Q579" s="165"/>
      <c r="R579" s="165"/>
      <c r="S579" s="165"/>
      <c r="T579" s="165"/>
      <c r="U579" s="165"/>
      <c r="V579" s="165"/>
      <c r="W579" s="165"/>
      <c r="X579" s="165"/>
      <c r="Y579" s="165"/>
      <c r="Z579" s="165"/>
    </row>
    <row r="580" spans="16:26" ht="10.199999999999999" customHeight="1">
      <c r="P580" s="165"/>
      <c r="Q580" s="165"/>
      <c r="R580" s="165"/>
      <c r="S580" s="165"/>
      <c r="T580" s="165"/>
      <c r="U580" s="165"/>
      <c r="V580" s="165"/>
      <c r="W580" s="165"/>
      <c r="X580" s="165"/>
      <c r="Y580" s="165"/>
      <c r="Z580" s="165"/>
    </row>
    <row r="581" spans="16:26" ht="10.199999999999999" customHeight="1">
      <c r="P581" s="165"/>
      <c r="Q581" s="165"/>
      <c r="R581" s="165"/>
      <c r="S581" s="165"/>
      <c r="T581" s="165"/>
      <c r="U581" s="165"/>
      <c r="V581" s="165"/>
      <c r="W581" s="165"/>
      <c r="X581" s="165"/>
      <c r="Y581" s="165"/>
      <c r="Z581" s="165"/>
    </row>
    <row r="582" spans="16:26" ht="10.199999999999999" customHeight="1">
      <c r="P582" s="165"/>
      <c r="Q582" s="165"/>
      <c r="R582" s="165"/>
      <c r="S582" s="165"/>
      <c r="T582" s="165"/>
      <c r="U582" s="165"/>
      <c r="V582" s="165"/>
      <c r="W582" s="165"/>
      <c r="X582" s="165"/>
      <c r="Y582" s="165"/>
      <c r="Z582" s="165"/>
    </row>
    <row r="583" spans="16:26" ht="10.199999999999999" customHeight="1">
      <c r="P583" s="165"/>
      <c r="Q583" s="165"/>
      <c r="R583" s="165"/>
      <c r="S583" s="165"/>
      <c r="T583" s="165"/>
      <c r="U583" s="165"/>
      <c r="V583" s="165"/>
      <c r="W583" s="165"/>
      <c r="X583" s="165"/>
      <c r="Y583" s="165"/>
      <c r="Z583" s="165"/>
    </row>
    <row r="584" spans="16:26" ht="10.199999999999999" customHeight="1">
      <c r="P584" s="165"/>
      <c r="Q584" s="165"/>
      <c r="R584" s="165"/>
      <c r="S584" s="165"/>
      <c r="T584" s="165"/>
      <c r="U584" s="165"/>
      <c r="V584" s="165"/>
      <c r="W584" s="165"/>
      <c r="X584" s="165"/>
      <c r="Y584" s="165"/>
      <c r="Z584" s="165"/>
    </row>
    <row r="585" spans="16:26" ht="10.199999999999999" customHeight="1">
      <c r="P585" s="165"/>
      <c r="Q585" s="165"/>
      <c r="R585" s="165"/>
      <c r="S585" s="165"/>
      <c r="T585" s="165"/>
      <c r="U585" s="165"/>
      <c r="V585" s="165"/>
      <c r="W585" s="165"/>
      <c r="X585" s="165"/>
      <c r="Y585" s="165"/>
      <c r="Z585" s="165"/>
    </row>
    <row r="586" spans="16:26" ht="10.199999999999999" customHeight="1">
      <c r="P586" s="165"/>
      <c r="Q586" s="165"/>
      <c r="R586" s="165"/>
      <c r="S586" s="165"/>
      <c r="T586" s="165"/>
      <c r="U586" s="165"/>
      <c r="V586" s="165"/>
      <c r="W586" s="165"/>
      <c r="X586" s="165"/>
      <c r="Y586" s="165"/>
      <c r="Z586" s="165"/>
    </row>
    <row r="587" spans="16:26" ht="10.199999999999999" customHeight="1">
      <c r="P587" s="165"/>
      <c r="Q587" s="165"/>
      <c r="R587" s="165"/>
      <c r="S587" s="165"/>
      <c r="T587" s="165"/>
      <c r="U587" s="165"/>
      <c r="V587" s="165"/>
      <c r="W587" s="165"/>
      <c r="X587" s="165"/>
      <c r="Y587" s="165"/>
      <c r="Z587" s="165"/>
    </row>
    <row r="588" spans="16:26" ht="10.199999999999999" customHeight="1">
      <c r="P588" s="165"/>
      <c r="Q588" s="165"/>
      <c r="R588" s="165"/>
      <c r="S588" s="165"/>
      <c r="T588" s="165"/>
      <c r="U588" s="165"/>
      <c r="V588" s="165"/>
      <c r="W588" s="165"/>
      <c r="X588" s="165"/>
      <c r="Y588" s="165"/>
      <c r="Z588" s="165"/>
    </row>
    <row r="589" spans="16:26" ht="10.199999999999999" customHeight="1">
      <c r="P589" s="165"/>
      <c r="Q589" s="165"/>
      <c r="R589" s="165"/>
      <c r="S589" s="165"/>
      <c r="T589" s="165"/>
      <c r="U589" s="165"/>
      <c r="V589" s="165"/>
      <c r="W589" s="165"/>
      <c r="X589" s="165"/>
      <c r="Y589" s="165"/>
      <c r="Z589" s="165"/>
    </row>
    <row r="590" spans="16:26" ht="10.199999999999999" customHeight="1">
      <c r="P590" s="165"/>
      <c r="Q590" s="165"/>
      <c r="R590" s="165"/>
      <c r="S590" s="165"/>
      <c r="T590" s="165"/>
      <c r="U590" s="165"/>
      <c r="V590" s="165"/>
      <c r="W590" s="165"/>
      <c r="X590" s="165"/>
      <c r="Y590" s="165"/>
      <c r="Z590" s="165"/>
    </row>
    <row r="591" spans="16:26" ht="10.199999999999999" customHeight="1">
      <c r="P591" s="165"/>
      <c r="Q591" s="165"/>
      <c r="R591" s="165"/>
      <c r="S591" s="165"/>
      <c r="T591" s="165"/>
      <c r="U591" s="165"/>
      <c r="V591" s="165"/>
      <c r="W591" s="165"/>
      <c r="X591" s="165"/>
      <c r="Y591" s="165"/>
      <c r="Z591" s="165"/>
    </row>
    <row r="592" spans="16:26" ht="10.199999999999999" customHeight="1">
      <c r="P592" s="165"/>
      <c r="Q592" s="165"/>
      <c r="R592" s="165"/>
      <c r="S592" s="165"/>
      <c r="T592" s="165"/>
      <c r="U592" s="165"/>
      <c r="V592" s="165"/>
      <c r="W592" s="165"/>
      <c r="X592" s="165"/>
      <c r="Y592" s="165"/>
      <c r="Z592" s="165"/>
    </row>
    <row r="593" spans="16:26" ht="10.199999999999999" customHeight="1">
      <c r="P593" s="165"/>
      <c r="Q593" s="165"/>
      <c r="R593" s="165"/>
      <c r="S593" s="165"/>
      <c r="T593" s="165"/>
      <c r="U593" s="165"/>
      <c r="V593" s="165"/>
      <c r="W593" s="165"/>
      <c r="X593" s="165"/>
      <c r="Y593" s="165"/>
      <c r="Z593" s="165"/>
    </row>
    <row r="594" spans="16:26" ht="10.199999999999999" customHeight="1">
      <c r="P594" s="165"/>
      <c r="Q594" s="165"/>
      <c r="R594" s="165"/>
      <c r="S594" s="165"/>
      <c r="T594" s="165"/>
      <c r="U594" s="165"/>
      <c r="V594" s="165"/>
      <c r="W594" s="165"/>
      <c r="X594" s="165"/>
      <c r="Y594" s="165"/>
      <c r="Z594" s="165"/>
    </row>
    <row r="595" spans="16:26" ht="10.199999999999999" customHeight="1">
      <c r="P595" s="165"/>
      <c r="Q595" s="165"/>
      <c r="R595" s="165"/>
      <c r="S595" s="165"/>
      <c r="T595" s="165"/>
      <c r="U595" s="165"/>
      <c r="V595" s="165"/>
      <c r="W595" s="165"/>
      <c r="X595" s="165"/>
      <c r="Y595" s="165"/>
      <c r="Z595" s="165"/>
    </row>
    <row r="596" spans="16:26" ht="10.199999999999999" customHeight="1">
      <c r="P596" s="165"/>
      <c r="Q596" s="165"/>
      <c r="R596" s="165"/>
      <c r="S596" s="165"/>
      <c r="T596" s="165"/>
      <c r="U596" s="165"/>
      <c r="V596" s="165"/>
      <c r="W596" s="165"/>
      <c r="X596" s="165"/>
      <c r="Y596" s="165"/>
      <c r="Z596" s="165"/>
    </row>
    <row r="597" spans="16:26" ht="10.199999999999999" customHeight="1">
      <c r="P597" s="165"/>
      <c r="Q597" s="165"/>
      <c r="R597" s="165"/>
      <c r="S597" s="165"/>
      <c r="T597" s="165"/>
      <c r="U597" s="165"/>
      <c r="V597" s="165"/>
      <c r="W597" s="165"/>
      <c r="X597" s="165"/>
      <c r="Y597" s="165"/>
      <c r="Z597" s="165"/>
    </row>
    <row r="598" spans="16:26" ht="10.199999999999999" customHeight="1">
      <c r="P598" s="165"/>
      <c r="Q598" s="165"/>
      <c r="R598" s="165"/>
      <c r="S598" s="165"/>
      <c r="T598" s="165"/>
      <c r="U598" s="165"/>
      <c r="V598" s="165"/>
      <c r="W598" s="165"/>
      <c r="X598" s="165"/>
      <c r="Y598" s="165"/>
      <c r="Z598" s="165"/>
    </row>
    <row r="599" spans="16:26" ht="10.199999999999999" customHeight="1">
      <c r="P599" s="165"/>
      <c r="Q599" s="165"/>
      <c r="R599" s="165"/>
      <c r="S599" s="165"/>
      <c r="T599" s="165"/>
      <c r="U599" s="165"/>
      <c r="V599" s="165"/>
      <c r="W599" s="165"/>
      <c r="X599" s="165"/>
      <c r="Y599" s="165"/>
      <c r="Z599" s="165"/>
    </row>
    <row r="600" spans="16:26" ht="10.199999999999999" customHeight="1">
      <c r="P600" s="165"/>
      <c r="Q600" s="165"/>
      <c r="R600" s="165"/>
      <c r="S600" s="165"/>
      <c r="T600" s="165"/>
      <c r="U600" s="165"/>
      <c r="V600" s="165"/>
      <c r="W600" s="165"/>
      <c r="X600" s="165"/>
      <c r="Y600" s="165"/>
      <c r="Z600" s="165"/>
    </row>
    <row r="601" spans="16:26" ht="10.199999999999999" customHeight="1">
      <c r="P601" s="165"/>
      <c r="Q601" s="165"/>
      <c r="R601" s="165"/>
      <c r="S601" s="165"/>
      <c r="T601" s="165"/>
      <c r="U601" s="165"/>
      <c r="V601" s="165"/>
      <c r="W601" s="165"/>
      <c r="X601" s="165"/>
      <c r="Y601" s="165"/>
      <c r="Z601" s="165"/>
    </row>
    <row r="602" spans="16:26" ht="10.199999999999999" customHeight="1">
      <c r="P602" s="165"/>
      <c r="Q602" s="165"/>
      <c r="R602" s="165"/>
      <c r="S602" s="165"/>
      <c r="T602" s="165"/>
      <c r="U602" s="165"/>
      <c r="V602" s="165"/>
      <c r="W602" s="165"/>
      <c r="X602" s="165"/>
      <c r="Y602" s="165"/>
      <c r="Z602" s="165"/>
    </row>
    <row r="603" spans="16:26" ht="10.199999999999999" customHeight="1">
      <c r="P603" s="165"/>
      <c r="Q603" s="165"/>
      <c r="R603" s="165"/>
      <c r="S603" s="165"/>
      <c r="T603" s="165"/>
      <c r="U603" s="165"/>
      <c r="V603" s="165"/>
      <c r="W603" s="165"/>
      <c r="X603" s="165"/>
      <c r="Y603" s="165"/>
      <c r="Z603" s="165"/>
    </row>
    <row r="604" spans="16:26" ht="10.199999999999999" customHeight="1">
      <c r="P604" s="165"/>
      <c r="Q604" s="165"/>
      <c r="R604" s="165"/>
      <c r="S604" s="165"/>
      <c r="T604" s="165"/>
      <c r="U604" s="165"/>
      <c r="V604" s="165"/>
      <c r="W604" s="165"/>
      <c r="X604" s="165"/>
      <c r="Y604" s="165"/>
      <c r="Z604" s="165"/>
    </row>
    <row r="605" spans="16:26" ht="10.199999999999999" customHeight="1">
      <c r="P605" s="165"/>
      <c r="Q605" s="165"/>
      <c r="R605" s="165"/>
      <c r="S605" s="165"/>
      <c r="T605" s="165"/>
      <c r="U605" s="165"/>
      <c r="V605" s="165"/>
      <c r="W605" s="165"/>
      <c r="X605" s="165"/>
      <c r="Y605" s="165"/>
      <c r="Z605" s="165"/>
    </row>
    <row r="606" spans="16:26" ht="10.199999999999999" customHeight="1">
      <c r="P606" s="165"/>
      <c r="Q606" s="165"/>
      <c r="R606" s="165"/>
      <c r="S606" s="165"/>
      <c r="T606" s="165"/>
      <c r="U606" s="165"/>
      <c r="V606" s="165"/>
      <c r="W606" s="165"/>
      <c r="X606" s="165"/>
      <c r="Y606" s="165"/>
      <c r="Z606" s="165"/>
    </row>
    <row r="607" spans="16:26" ht="10.199999999999999" customHeight="1">
      <c r="P607" s="165"/>
      <c r="Q607" s="165"/>
      <c r="R607" s="165"/>
      <c r="S607" s="165"/>
      <c r="T607" s="165"/>
      <c r="U607" s="165"/>
      <c r="V607" s="165"/>
      <c r="W607" s="165"/>
      <c r="X607" s="165"/>
      <c r="Y607" s="165"/>
      <c r="Z607" s="165"/>
    </row>
    <row r="608" spans="16:26" ht="10.199999999999999" customHeight="1">
      <c r="P608" s="165"/>
      <c r="Q608" s="165"/>
      <c r="R608" s="165"/>
      <c r="S608" s="165"/>
      <c r="T608" s="165"/>
      <c r="U608" s="165"/>
      <c r="V608" s="165"/>
      <c r="W608" s="165"/>
      <c r="X608" s="165"/>
      <c r="Y608" s="165"/>
      <c r="Z608" s="165"/>
    </row>
    <row r="609" spans="16:26" ht="10.199999999999999" customHeight="1">
      <c r="P609" s="165"/>
      <c r="Q609" s="165"/>
      <c r="R609" s="165"/>
      <c r="S609" s="165"/>
      <c r="T609" s="165"/>
      <c r="U609" s="165"/>
      <c r="V609" s="165"/>
      <c r="W609" s="165"/>
      <c r="X609" s="165"/>
      <c r="Y609" s="165"/>
      <c r="Z609" s="165"/>
    </row>
    <row r="610" spans="16:26" ht="10.199999999999999" customHeight="1">
      <c r="P610" s="165"/>
      <c r="Q610" s="165"/>
      <c r="R610" s="165"/>
      <c r="S610" s="165"/>
      <c r="T610" s="165"/>
      <c r="U610" s="165"/>
      <c r="V610" s="165"/>
      <c r="W610" s="165"/>
      <c r="X610" s="165"/>
      <c r="Y610" s="165"/>
      <c r="Z610" s="165"/>
    </row>
    <row r="611" spans="16:26" ht="10.199999999999999" customHeight="1">
      <c r="P611" s="165"/>
      <c r="Q611" s="165"/>
      <c r="R611" s="165"/>
      <c r="S611" s="165"/>
      <c r="T611" s="165"/>
      <c r="U611" s="165"/>
      <c r="V611" s="165"/>
      <c r="W611" s="165"/>
      <c r="X611" s="165"/>
      <c r="Y611" s="165"/>
      <c r="Z611" s="165"/>
    </row>
    <row r="612" spans="16:26" ht="10.199999999999999" customHeight="1">
      <c r="P612" s="165"/>
      <c r="Q612" s="165"/>
      <c r="R612" s="165"/>
      <c r="S612" s="165"/>
      <c r="T612" s="165"/>
      <c r="U612" s="165"/>
      <c r="V612" s="165"/>
      <c r="W612" s="165"/>
      <c r="X612" s="165"/>
      <c r="Y612" s="165"/>
      <c r="Z612" s="165"/>
    </row>
    <row r="613" spans="16:26" ht="10.199999999999999" customHeight="1">
      <c r="P613" s="165"/>
      <c r="Q613" s="165"/>
      <c r="R613" s="165"/>
      <c r="S613" s="165"/>
      <c r="T613" s="165"/>
      <c r="U613" s="165"/>
      <c r="V613" s="165"/>
      <c r="W613" s="165"/>
      <c r="X613" s="165"/>
      <c r="Y613" s="165"/>
      <c r="Z613" s="165"/>
    </row>
    <row r="614" spans="16:26" ht="10.199999999999999" customHeight="1">
      <c r="P614" s="165"/>
      <c r="Q614" s="165"/>
      <c r="R614" s="165"/>
      <c r="S614" s="165"/>
      <c r="T614" s="165"/>
      <c r="U614" s="165"/>
      <c r="V614" s="165"/>
      <c r="W614" s="165"/>
      <c r="X614" s="165"/>
      <c r="Y614" s="165"/>
      <c r="Z614" s="165"/>
    </row>
    <row r="615" spans="16:26" ht="10.199999999999999" customHeight="1">
      <c r="P615" s="165"/>
      <c r="Q615" s="165"/>
      <c r="R615" s="165"/>
      <c r="S615" s="165"/>
      <c r="T615" s="165"/>
      <c r="U615" s="165"/>
      <c r="V615" s="165"/>
      <c r="W615" s="165"/>
      <c r="X615" s="165"/>
      <c r="Y615" s="165"/>
      <c r="Z615" s="165"/>
    </row>
    <row r="616" spans="16:26" ht="10.199999999999999" customHeight="1">
      <c r="P616" s="165"/>
      <c r="Q616" s="165"/>
      <c r="R616" s="165"/>
      <c r="S616" s="165"/>
      <c r="T616" s="165"/>
      <c r="U616" s="165"/>
      <c r="V616" s="165"/>
      <c r="W616" s="165"/>
      <c r="X616" s="165"/>
      <c r="Y616" s="165"/>
      <c r="Z616" s="165"/>
    </row>
    <row r="617" spans="16:26" ht="10.199999999999999" customHeight="1">
      <c r="P617" s="165"/>
      <c r="Q617" s="165"/>
      <c r="R617" s="165"/>
      <c r="S617" s="165"/>
      <c r="T617" s="165"/>
      <c r="U617" s="165"/>
      <c r="V617" s="165"/>
      <c r="W617" s="165"/>
      <c r="X617" s="165"/>
      <c r="Y617" s="165"/>
      <c r="Z617" s="165"/>
    </row>
    <row r="618" spans="16:26" ht="10.199999999999999" customHeight="1">
      <c r="P618" s="165"/>
      <c r="Q618" s="165"/>
      <c r="R618" s="165"/>
      <c r="S618" s="165"/>
      <c r="T618" s="165"/>
      <c r="U618" s="165"/>
      <c r="V618" s="165"/>
      <c r="W618" s="165"/>
      <c r="X618" s="165"/>
      <c r="Y618" s="165"/>
      <c r="Z618" s="165"/>
    </row>
    <row r="619" spans="16:26" ht="10.199999999999999" customHeight="1">
      <c r="P619" s="165"/>
      <c r="Q619" s="165"/>
      <c r="R619" s="165"/>
      <c r="S619" s="165"/>
      <c r="T619" s="165"/>
      <c r="U619" s="165"/>
      <c r="V619" s="165"/>
      <c r="W619" s="165"/>
      <c r="X619" s="165"/>
      <c r="Y619" s="165"/>
      <c r="Z619" s="165"/>
    </row>
    <row r="620" spans="16:26" ht="10.199999999999999" customHeight="1">
      <c r="P620" s="165"/>
      <c r="Q620" s="165"/>
      <c r="R620" s="165"/>
      <c r="S620" s="165"/>
      <c r="T620" s="165"/>
      <c r="U620" s="165"/>
      <c r="V620" s="165"/>
      <c r="W620" s="165"/>
      <c r="X620" s="165"/>
      <c r="Y620" s="165"/>
      <c r="Z620" s="165"/>
    </row>
    <row r="621" spans="16:26" ht="10.199999999999999" customHeight="1">
      <c r="P621" s="165"/>
      <c r="Q621" s="165"/>
      <c r="R621" s="165"/>
      <c r="S621" s="165"/>
      <c r="T621" s="165"/>
      <c r="U621" s="165"/>
      <c r="V621" s="165"/>
      <c r="W621" s="165"/>
      <c r="X621" s="165"/>
      <c r="Y621" s="165"/>
      <c r="Z621" s="165"/>
    </row>
    <row r="622" spans="16:26" ht="10.199999999999999" customHeight="1">
      <c r="P622" s="165"/>
      <c r="Q622" s="165"/>
      <c r="R622" s="165"/>
      <c r="S622" s="165"/>
      <c r="T622" s="165"/>
      <c r="U622" s="165"/>
      <c r="V622" s="165"/>
      <c r="W622" s="165"/>
      <c r="X622" s="165"/>
      <c r="Y622" s="165"/>
      <c r="Z622" s="165"/>
    </row>
    <row r="623" spans="16:26" ht="10.199999999999999" customHeight="1">
      <c r="P623" s="165"/>
      <c r="Q623" s="165"/>
      <c r="R623" s="165"/>
      <c r="S623" s="165"/>
      <c r="T623" s="165"/>
      <c r="U623" s="165"/>
      <c r="V623" s="165"/>
      <c r="W623" s="165"/>
      <c r="X623" s="165"/>
      <c r="Y623" s="165"/>
      <c r="Z623" s="165"/>
    </row>
    <row r="624" spans="16:26" ht="10.199999999999999" customHeight="1">
      <c r="P624" s="165"/>
      <c r="Q624" s="165"/>
      <c r="R624" s="165"/>
      <c r="S624" s="165"/>
      <c r="T624" s="165"/>
      <c r="U624" s="165"/>
      <c r="V624" s="165"/>
      <c r="W624" s="165"/>
      <c r="X624" s="165"/>
      <c r="Y624" s="165"/>
      <c r="Z624" s="165"/>
    </row>
    <row r="625" spans="16:26" ht="10.199999999999999" customHeight="1">
      <c r="P625" s="165"/>
      <c r="Q625" s="165"/>
      <c r="R625" s="165"/>
      <c r="S625" s="165"/>
      <c r="T625" s="165"/>
      <c r="U625" s="165"/>
      <c r="V625" s="165"/>
      <c r="W625" s="165"/>
      <c r="X625" s="165"/>
      <c r="Y625" s="165"/>
      <c r="Z625" s="165"/>
    </row>
    <row r="626" spans="16:26" ht="10.199999999999999" customHeight="1">
      <c r="P626" s="165"/>
      <c r="Q626" s="165"/>
      <c r="R626" s="165"/>
      <c r="S626" s="165"/>
      <c r="T626" s="165"/>
      <c r="U626" s="165"/>
      <c r="V626" s="165"/>
      <c r="W626" s="165"/>
      <c r="X626" s="165"/>
      <c r="Y626" s="165"/>
      <c r="Z626" s="165"/>
    </row>
    <row r="627" spans="16:26" ht="10.199999999999999" customHeight="1">
      <c r="P627" s="165"/>
      <c r="Q627" s="165"/>
      <c r="R627" s="165"/>
      <c r="S627" s="165"/>
      <c r="T627" s="165"/>
      <c r="U627" s="165"/>
      <c r="V627" s="165"/>
      <c r="W627" s="165"/>
      <c r="X627" s="165"/>
      <c r="Y627" s="165"/>
      <c r="Z627" s="165"/>
    </row>
    <row r="628" spans="16:26" ht="10.199999999999999" customHeight="1">
      <c r="P628" s="165"/>
      <c r="Q628" s="165"/>
      <c r="R628" s="165"/>
      <c r="S628" s="165"/>
      <c r="T628" s="165"/>
      <c r="U628" s="165"/>
      <c r="V628" s="165"/>
      <c r="W628" s="165"/>
      <c r="X628" s="165"/>
      <c r="Y628" s="165"/>
      <c r="Z628" s="165"/>
    </row>
    <row r="629" spans="16:26" ht="10.199999999999999" customHeight="1">
      <c r="P629" s="165"/>
      <c r="Q629" s="165"/>
      <c r="R629" s="165"/>
      <c r="S629" s="165"/>
      <c r="T629" s="165"/>
      <c r="U629" s="165"/>
      <c r="V629" s="165"/>
      <c r="W629" s="165"/>
      <c r="X629" s="165"/>
      <c r="Y629" s="165"/>
      <c r="Z629" s="165"/>
    </row>
    <row r="630" spans="16:26" ht="10.199999999999999" customHeight="1">
      <c r="P630" s="165"/>
      <c r="Q630" s="165"/>
      <c r="R630" s="165"/>
      <c r="S630" s="165"/>
      <c r="T630" s="165"/>
      <c r="U630" s="165"/>
      <c r="V630" s="165"/>
      <c r="W630" s="165"/>
      <c r="X630" s="165"/>
      <c r="Y630" s="165"/>
      <c r="Z630" s="165"/>
    </row>
    <row r="631" spans="16:26" ht="10.199999999999999" customHeight="1">
      <c r="P631" s="165"/>
      <c r="Q631" s="165"/>
      <c r="R631" s="165"/>
      <c r="S631" s="165"/>
      <c r="T631" s="165"/>
      <c r="U631" s="165"/>
      <c r="V631" s="165"/>
      <c r="W631" s="165"/>
      <c r="X631" s="165"/>
      <c r="Y631" s="165"/>
      <c r="Z631" s="165"/>
    </row>
    <row r="632" spans="16:26" ht="10.199999999999999" customHeight="1">
      <c r="P632" s="165"/>
      <c r="Q632" s="165"/>
      <c r="R632" s="165"/>
      <c r="S632" s="165"/>
      <c r="T632" s="165"/>
      <c r="U632" s="165"/>
      <c r="V632" s="165"/>
      <c r="W632" s="165"/>
      <c r="X632" s="165"/>
      <c r="Y632" s="165"/>
      <c r="Z632" s="165"/>
    </row>
    <row r="633" spans="16:26" ht="10.199999999999999" customHeight="1">
      <c r="P633" s="165"/>
      <c r="Q633" s="165"/>
      <c r="R633" s="165"/>
      <c r="S633" s="165"/>
      <c r="T633" s="165"/>
      <c r="U633" s="165"/>
      <c r="V633" s="165"/>
      <c r="W633" s="165"/>
      <c r="X633" s="165"/>
      <c r="Y633" s="165"/>
      <c r="Z633" s="165"/>
    </row>
    <row r="634" spans="16:26" ht="10.199999999999999" customHeight="1">
      <c r="P634" s="165"/>
      <c r="Q634" s="165"/>
      <c r="R634" s="165"/>
      <c r="S634" s="165"/>
      <c r="T634" s="165"/>
      <c r="U634" s="165"/>
      <c r="V634" s="165"/>
      <c r="W634" s="165"/>
      <c r="X634" s="165"/>
      <c r="Y634" s="165"/>
      <c r="Z634" s="165"/>
    </row>
    <row r="635" spans="16:26" ht="10.199999999999999" customHeight="1">
      <c r="P635" s="165"/>
      <c r="Q635" s="165"/>
      <c r="R635" s="165"/>
      <c r="S635" s="165"/>
      <c r="T635" s="165"/>
      <c r="U635" s="165"/>
      <c r="V635" s="165"/>
      <c r="W635" s="165"/>
      <c r="X635" s="165"/>
      <c r="Y635" s="165"/>
      <c r="Z635" s="165"/>
    </row>
    <row r="636" spans="16:26" ht="10.199999999999999" customHeight="1">
      <c r="P636" s="165"/>
      <c r="Q636" s="165"/>
      <c r="R636" s="165"/>
      <c r="S636" s="165"/>
      <c r="T636" s="165"/>
      <c r="U636" s="165"/>
      <c r="V636" s="165"/>
      <c r="W636" s="165"/>
      <c r="X636" s="165"/>
      <c r="Y636" s="165"/>
      <c r="Z636" s="165"/>
    </row>
    <row r="637" spans="16:26" ht="10.199999999999999" customHeight="1">
      <c r="P637" s="165"/>
      <c r="Q637" s="165"/>
      <c r="R637" s="165"/>
      <c r="S637" s="165"/>
      <c r="T637" s="165"/>
      <c r="U637" s="165"/>
      <c r="V637" s="165"/>
      <c r="W637" s="165"/>
      <c r="X637" s="165"/>
      <c r="Y637" s="165"/>
      <c r="Z637" s="165"/>
    </row>
    <row r="638" spans="16:26" ht="10.199999999999999" customHeight="1">
      <c r="P638" s="165"/>
      <c r="Q638" s="165"/>
      <c r="R638" s="165"/>
      <c r="S638" s="165"/>
      <c r="T638" s="165"/>
      <c r="U638" s="165"/>
      <c r="V638" s="165"/>
      <c r="W638" s="165"/>
      <c r="X638" s="165"/>
      <c r="Y638" s="165"/>
      <c r="Z638" s="165"/>
    </row>
    <row r="639" spans="16:26" ht="10.199999999999999" customHeight="1">
      <c r="P639" s="165"/>
      <c r="Q639" s="165"/>
      <c r="R639" s="165"/>
      <c r="S639" s="165"/>
      <c r="T639" s="165"/>
      <c r="U639" s="165"/>
      <c r="V639" s="165"/>
      <c r="W639" s="165"/>
      <c r="X639" s="165"/>
      <c r="Y639" s="165"/>
      <c r="Z639" s="165"/>
    </row>
    <row r="640" spans="16:26" ht="10.199999999999999" customHeight="1">
      <c r="P640" s="165"/>
      <c r="Q640" s="165"/>
      <c r="R640" s="165"/>
      <c r="S640" s="165"/>
      <c r="T640" s="165"/>
      <c r="U640" s="165"/>
      <c r="V640" s="165"/>
      <c r="W640" s="165"/>
      <c r="X640" s="165"/>
      <c r="Y640" s="165"/>
      <c r="Z640" s="165"/>
    </row>
    <row r="641" spans="16:26" ht="10.199999999999999" customHeight="1">
      <c r="P641" s="165"/>
      <c r="Q641" s="165"/>
      <c r="R641" s="165"/>
      <c r="S641" s="165"/>
      <c r="T641" s="165"/>
      <c r="U641" s="165"/>
      <c r="V641" s="165"/>
      <c r="W641" s="165"/>
      <c r="X641" s="165"/>
      <c r="Y641" s="165"/>
      <c r="Z641" s="165"/>
    </row>
    <row r="642" spans="16:26" ht="10.199999999999999" customHeight="1">
      <c r="P642" s="165"/>
      <c r="Q642" s="165"/>
      <c r="R642" s="165"/>
      <c r="S642" s="165"/>
      <c r="T642" s="165"/>
      <c r="U642" s="165"/>
      <c r="V642" s="165"/>
      <c r="W642" s="165"/>
      <c r="X642" s="165"/>
      <c r="Y642" s="165"/>
      <c r="Z642" s="165"/>
    </row>
    <row r="643" spans="16:26" ht="10.199999999999999" customHeight="1">
      <c r="P643" s="165"/>
      <c r="Q643" s="165"/>
      <c r="R643" s="165"/>
      <c r="S643" s="165"/>
      <c r="T643" s="165"/>
      <c r="U643" s="165"/>
      <c r="V643" s="165"/>
      <c r="W643" s="165"/>
      <c r="X643" s="165"/>
      <c r="Y643" s="165"/>
      <c r="Z643" s="165"/>
    </row>
    <row r="644" spans="16:26" ht="10.199999999999999" customHeight="1">
      <c r="P644" s="165"/>
      <c r="Q644" s="165"/>
      <c r="R644" s="165"/>
      <c r="S644" s="165"/>
      <c r="T644" s="165"/>
      <c r="U644" s="165"/>
      <c r="V644" s="165"/>
      <c r="W644" s="165"/>
      <c r="X644" s="165"/>
      <c r="Y644" s="165"/>
      <c r="Z644" s="165"/>
    </row>
    <row r="645" spans="16:26" ht="10.199999999999999" customHeight="1">
      <c r="P645" s="165"/>
      <c r="Q645" s="165"/>
      <c r="R645" s="165"/>
      <c r="S645" s="165"/>
      <c r="T645" s="165"/>
      <c r="U645" s="165"/>
      <c r="V645" s="165"/>
      <c r="W645" s="165"/>
      <c r="X645" s="165"/>
      <c r="Y645" s="165"/>
      <c r="Z645" s="165"/>
    </row>
    <row r="646" spans="16:26" ht="10.199999999999999" customHeight="1">
      <c r="P646" s="165"/>
      <c r="Q646" s="165"/>
      <c r="R646" s="165"/>
      <c r="S646" s="165"/>
      <c r="T646" s="165"/>
      <c r="U646" s="165"/>
      <c r="V646" s="165"/>
      <c r="W646" s="165"/>
      <c r="X646" s="165"/>
      <c r="Y646" s="165"/>
      <c r="Z646" s="165"/>
    </row>
    <row r="647" spans="16:26" ht="10.199999999999999" customHeight="1">
      <c r="P647" s="165"/>
      <c r="Q647" s="165"/>
      <c r="R647" s="165"/>
      <c r="S647" s="165"/>
      <c r="T647" s="165"/>
      <c r="U647" s="165"/>
      <c r="V647" s="165"/>
      <c r="W647" s="165"/>
      <c r="X647" s="165"/>
      <c r="Y647" s="165"/>
      <c r="Z647" s="165"/>
    </row>
    <row r="648" spans="16:26" ht="10.199999999999999" customHeight="1">
      <c r="P648" s="165"/>
      <c r="Q648" s="165"/>
      <c r="R648" s="165"/>
      <c r="S648" s="165"/>
      <c r="T648" s="165"/>
      <c r="U648" s="165"/>
      <c r="V648" s="165"/>
      <c r="W648" s="165"/>
      <c r="X648" s="165"/>
      <c r="Y648" s="165"/>
      <c r="Z648" s="165"/>
    </row>
    <row r="649" spans="16:26" ht="10.199999999999999" customHeight="1">
      <c r="P649" s="165"/>
      <c r="Q649" s="165"/>
      <c r="R649" s="165"/>
      <c r="S649" s="165"/>
      <c r="T649" s="165"/>
      <c r="U649" s="165"/>
      <c r="V649" s="165"/>
      <c r="W649" s="165"/>
      <c r="X649" s="165"/>
      <c r="Y649" s="165"/>
      <c r="Z649" s="165"/>
    </row>
    <row r="650" spans="16:26" ht="10.199999999999999" customHeight="1">
      <c r="P650" s="165"/>
      <c r="Q650" s="165"/>
      <c r="R650" s="165"/>
      <c r="S650" s="165"/>
      <c r="T650" s="165"/>
      <c r="U650" s="165"/>
      <c r="V650" s="165"/>
      <c r="W650" s="165"/>
      <c r="X650" s="165"/>
      <c r="Y650" s="165"/>
      <c r="Z650" s="165"/>
    </row>
    <row r="651" spans="16:26" ht="10.199999999999999" customHeight="1">
      <c r="P651" s="165"/>
      <c r="Q651" s="165"/>
      <c r="R651" s="165"/>
      <c r="S651" s="165"/>
      <c r="T651" s="165"/>
      <c r="U651" s="165"/>
      <c r="V651" s="165"/>
      <c r="W651" s="165"/>
      <c r="X651" s="165"/>
      <c r="Y651" s="165"/>
      <c r="Z651" s="165"/>
    </row>
    <row r="652" spans="16:26" ht="10.199999999999999" customHeight="1">
      <c r="P652" s="165"/>
      <c r="Q652" s="165"/>
      <c r="R652" s="165"/>
      <c r="S652" s="165"/>
      <c r="T652" s="165"/>
      <c r="U652" s="165"/>
      <c r="V652" s="165"/>
      <c r="W652" s="165"/>
      <c r="X652" s="165"/>
      <c r="Y652" s="165"/>
      <c r="Z652" s="165"/>
    </row>
    <row r="653" spans="16:26" ht="10.199999999999999" customHeight="1">
      <c r="P653" s="165"/>
      <c r="Q653" s="165"/>
      <c r="R653" s="165"/>
      <c r="S653" s="165"/>
      <c r="T653" s="165"/>
      <c r="U653" s="165"/>
      <c r="V653" s="165"/>
      <c r="W653" s="165"/>
      <c r="X653" s="165"/>
      <c r="Y653" s="165"/>
      <c r="Z653" s="165"/>
    </row>
    <row r="654" spans="16:26" ht="10.199999999999999" customHeight="1">
      <c r="P654" s="165"/>
      <c r="Q654" s="165"/>
      <c r="R654" s="165"/>
      <c r="S654" s="165"/>
      <c r="T654" s="165"/>
      <c r="U654" s="165"/>
      <c r="V654" s="165"/>
      <c r="W654" s="165"/>
      <c r="X654" s="165"/>
      <c r="Y654" s="165"/>
      <c r="Z654" s="165"/>
    </row>
    <row r="655" spans="16:26" ht="10.199999999999999" customHeight="1">
      <c r="P655" s="165"/>
      <c r="Q655" s="165"/>
      <c r="R655" s="165"/>
      <c r="S655" s="165"/>
      <c r="T655" s="165"/>
      <c r="U655" s="165"/>
      <c r="V655" s="165"/>
      <c r="W655" s="165"/>
      <c r="X655" s="165"/>
      <c r="Y655" s="165"/>
      <c r="Z655" s="165"/>
    </row>
    <row r="656" spans="16:26" ht="10.199999999999999" customHeight="1">
      <c r="P656" s="165"/>
      <c r="Q656" s="165"/>
      <c r="R656" s="165"/>
      <c r="S656" s="165"/>
      <c r="T656" s="165"/>
      <c r="U656" s="165"/>
      <c r="V656" s="165"/>
      <c r="W656" s="165"/>
      <c r="X656" s="165"/>
      <c r="Y656" s="165"/>
      <c r="Z656" s="165"/>
    </row>
    <row r="657" spans="16:26" ht="10.199999999999999" customHeight="1">
      <c r="P657" s="165"/>
      <c r="Q657" s="165"/>
      <c r="R657" s="165"/>
      <c r="S657" s="165"/>
      <c r="T657" s="165"/>
      <c r="U657" s="165"/>
      <c r="V657" s="165"/>
      <c r="W657" s="165"/>
      <c r="X657" s="165"/>
      <c r="Y657" s="165"/>
      <c r="Z657" s="165"/>
    </row>
    <row r="658" spans="16:26" ht="10.199999999999999" customHeight="1">
      <c r="P658" s="165"/>
      <c r="Q658" s="165"/>
      <c r="R658" s="165"/>
      <c r="S658" s="165"/>
      <c r="T658" s="165"/>
      <c r="U658" s="165"/>
      <c r="V658" s="165"/>
      <c r="W658" s="165"/>
      <c r="X658" s="165"/>
      <c r="Y658" s="165"/>
      <c r="Z658" s="165"/>
    </row>
    <row r="659" spans="16:26" ht="10.199999999999999" customHeight="1">
      <c r="P659" s="165"/>
      <c r="Q659" s="165"/>
      <c r="R659" s="165"/>
      <c r="S659" s="165"/>
      <c r="T659" s="165"/>
      <c r="U659" s="165"/>
      <c r="V659" s="165"/>
      <c r="W659" s="165"/>
      <c r="X659" s="165"/>
      <c r="Y659" s="165"/>
      <c r="Z659" s="165"/>
    </row>
    <row r="660" spans="16:26" ht="10.199999999999999" customHeight="1">
      <c r="P660" s="165"/>
      <c r="Q660" s="165"/>
      <c r="R660" s="165"/>
      <c r="S660" s="165"/>
      <c r="T660" s="165"/>
      <c r="U660" s="165"/>
      <c r="V660" s="165"/>
      <c r="W660" s="165"/>
      <c r="X660" s="165"/>
      <c r="Y660" s="165"/>
      <c r="Z660" s="165"/>
    </row>
    <row r="661" spans="16:26" ht="10.199999999999999" customHeight="1">
      <c r="P661" s="165"/>
      <c r="Q661" s="165"/>
      <c r="R661" s="165"/>
      <c r="S661" s="165"/>
      <c r="T661" s="165"/>
      <c r="U661" s="165"/>
      <c r="V661" s="165"/>
      <c r="W661" s="165"/>
      <c r="X661" s="165"/>
      <c r="Y661" s="165"/>
      <c r="Z661" s="165"/>
    </row>
    <row r="662" spans="16:26" ht="10.199999999999999" customHeight="1">
      <c r="P662" s="165"/>
      <c r="Q662" s="165"/>
      <c r="R662" s="165"/>
      <c r="S662" s="165"/>
      <c r="T662" s="165"/>
      <c r="U662" s="165"/>
      <c r="V662" s="165"/>
      <c r="W662" s="165"/>
      <c r="X662" s="165"/>
      <c r="Y662" s="165"/>
      <c r="Z662" s="165"/>
    </row>
    <row r="663" spans="16:26" ht="10.199999999999999" customHeight="1">
      <c r="P663" s="165"/>
      <c r="Q663" s="165"/>
      <c r="R663" s="165"/>
      <c r="S663" s="165"/>
      <c r="T663" s="165"/>
      <c r="U663" s="165"/>
      <c r="V663" s="165"/>
      <c r="W663" s="165"/>
      <c r="X663" s="165"/>
      <c r="Y663" s="165"/>
      <c r="Z663" s="165"/>
    </row>
    <row r="664" spans="16:26" ht="10.199999999999999" customHeight="1">
      <c r="P664" s="165"/>
      <c r="Q664" s="165"/>
      <c r="R664" s="165"/>
      <c r="S664" s="165"/>
      <c r="T664" s="165"/>
      <c r="U664" s="165"/>
      <c r="V664" s="165"/>
      <c r="W664" s="165"/>
      <c r="X664" s="165"/>
      <c r="Y664" s="165"/>
      <c r="Z664" s="165"/>
    </row>
    <row r="665" spans="16:26" ht="10.199999999999999" customHeight="1">
      <c r="P665" s="165"/>
      <c r="Q665" s="165"/>
      <c r="R665" s="165"/>
      <c r="S665" s="165"/>
      <c r="T665" s="165"/>
      <c r="U665" s="165"/>
      <c r="V665" s="165"/>
      <c r="W665" s="165"/>
      <c r="X665" s="165"/>
      <c r="Y665" s="165"/>
      <c r="Z665" s="165"/>
    </row>
    <row r="666" spans="16:26" ht="10.199999999999999" customHeight="1">
      <c r="P666" s="165"/>
      <c r="Q666" s="165"/>
      <c r="R666" s="165"/>
      <c r="S666" s="165"/>
      <c r="T666" s="165"/>
      <c r="U666" s="165"/>
      <c r="V666" s="165"/>
      <c r="W666" s="165"/>
      <c r="X666" s="165"/>
      <c r="Y666" s="165"/>
      <c r="Z666" s="165"/>
    </row>
    <row r="667" spans="16:26" ht="10.199999999999999" customHeight="1">
      <c r="P667" s="165"/>
      <c r="Q667" s="165"/>
      <c r="R667" s="165"/>
      <c r="S667" s="165"/>
      <c r="T667" s="165"/>
      <c r="U667" s="165"/>
      <c r="V667" s="165"/>
      <c r="W667" s="165"/>
      <c r="X667" s="165"/>
      <c r="Y667" s="165"/>
      <c r="Z667" s="165"/>
    </row>
    <row r="668" spans="16:26" ht="10.199999999999999" customHeight="1">
      <c r="P668" s="165"/>
      <c r="Q668" s="165"/>
      <c r="R668" s="165"/>
      <c r="S668" s="165"/>
      <c r="T668" s="165"/>
      <c r="U668" s="165"/>
      <c r="V668" s="165"/>
      <c r="W668" s="165"/>
      <c r="X668" s="165"/>
      <c r="Y668" s="165"/>
      <c r="Z668" s="165"/>
    </row>
    <row r="669" spans="16:26" ht="10.199999999999999" customHeight="1">
      <c r="P669" s="165"/>
      <c r="Q669" s="165"/>
      <c r="R669" s="165"/>
      <c r="S669" s="165"/>
      <c r="T669" s="165"/>
      <c r="U669" s="165"/>
      <c r="V669" s="165"/>
      <c r="W669" s="165"/>
      <c r="X669" s="165"/>
      <c r="Y669" s="165"/>
      <c r="Z669" s="165"/>
    </row>
    <row r="670" spans="16:26" ht="10.199999999999999" customHeight="1">
      <c r="P670" s="165"/>
      <c r="Q670" s="165"/>
      <c r="R670" s="165"/>
      <c r="S670" s="165"/>
      <c r="T670" s="165"/>
      <c r="U670" s="165"/>
      <c r="V670" s="165"/>
      <c r="W670" s="165"/>
      <c r="X670" s="165"/>
      <c r="Y670" s="165"/>
      <c r="Z670" s="165"/>
    </row>
    <row r="671" spans="16:26" ht="10.199999999999999" customHeight="1">
      <c r="P671" s="165"/>
      <c r="Q671" s="165"/>
      <c r="R671" s="165"/>
      <c r="S671" s="165"/>
      <c r="T671" s="165"/>
      <c r="U671" s="165"/>
      <c r="V671" s="165"/>
      <c r="W671" s="165"/>
      <c r="X671" s="165"/>
      <c r="Y671" s="165"/>
      <c r="Z671" s="165"/>
    </row>
    <row r="672" spans="16:26" ht="10.199999999999999" customHeight="1">
      <c r="P672" s="165"/>
      <c r="Q672" s="165"/>
      <c r="R672" s="165"/>
      <c r="S672" s="165"/>
      <c r="T672" s="165"/>
      <c r="U672" s="165"/>
      <c r="V672" s="165"/>
      <c r="W672" s="165"/>
      <c r="X672" s="165"/>
      <c r="Y672" s="165"/>
      <c r="Z672" s="165"/>
    </row>
    <row r="673" spans="16:26" ht="10.199999999999999" customHeight="1">
      <c r="P673" s="165"/>
      <c r="Q673" s="165"/>
      <c r="R673" s="165"/>
      <c r="S673" s="165"/>
      <c r="T673" s="165"/>
      <c r="U673" s="165"/>
      <c r="V673" s="165"/>
      <c r="W673" s="165"/>
      <c r="X673" s="165"/>
      <c r="Y673" s="165"/>
      <c r="Z673" s="165"/>
    </row>
    <row r="674" spans="16:26" ht="10.199999999999999" customHeight="1">
      <c r="P674" s="165"/>
      <c r="Q674" s="165"/>
      <c r="R674" s="165"/>
      <c r="S674" s="165"/>
      <c r="T674" s="165"/>
      <c r="U674" s="165"/>
      <c r="V674" s="165"/>
      <c r="W674" s="165"/>
      <c r="X674" s="165"/>
      <c r="Y674" s="165"/>
      <c r="Z674" s="165"/>
    </row>
    <row r="675" spans="16:26" ht="10.199999999999999" customHeight="1">
      <c r="P675" s="165"/>
      <c r="Q675" s="165"/>
      <c r="R675" s="165"/>
      <c r="S675" s="165"/>
      <c r="T675" s="165"/>
      <c r="U675" s="165"/>
      <c r="V675" s="165"/>
      <c r="W675" s="165"/>
      <c r="X675" s="165"/>
      <c r="Y675" s="165"/>
      <c r="Z675" s="165"/>
    </row>
    <row r="676" spans="16:26" ht="10.199999999999999" customHeight="1">
      <c r="P676" s="165"/>
      <c r="Q676" s="165"/>
      <c r="R676" s="165"/>
      <c r="S676" s="165"/>
      <c r="T676" s="165"/>
      <c r="U676" s="165"/>
      <c r="V676" s="165"/>
      <c r="W676" s="165"/>
      <c r="X676" s="165"/>
      <c r="Y676" s="165"/>
      <c r="Z676" s="165"/>
    </row>
    <row r="677" spans="16:26" ht="10.199999999999999" customHeight="1">
      <c r="P677" s="165"/>
      <c r="Q677" s="165"/>
      <c r="R677" s="165"/>
      <c r="S677" s="165"/>
      <c r="T677" s="165"/>
      <c r="U677" s="165"/>
      <c r="V677" s="165"/>
      <c r="W677" s="165"/>
      <c r="X677" s="165"/>
      <c r="Y677" s="165"/>
      <c r="Z677" s="165"/>
    </row>
    <row r="678" spans="16:26" ht="10.199999999999999" customHeight="1">
      <c r="P678" s="165"/>
      <c r="Q678" s="165"/>
      <c r="R678" s="165"/>
      <c r="S678" s="165"/>
      <c r="T678" s="165"/>
      <c r="U678" s="165"/>
      <c r="V678" s="165"/>
      <c r="W678" s="165"/>
      <c r="X678" s="165"/>
      <c r="Y678" s="165"/>
      <c r="Z678" s="165"/>
    </row>
    <row r="679" spans="16:26" ht="10.199999999999999" customHeight="1">
      <c r="P679" s="165"/>
      <c r="Q679" s="165"/>
      <c r="R679" s="165"/>
      <c r="S679" s="165"/>
      <c r="T679" s="165"/>
      <c r="U679" s="165"/>
      <c r="V679" s="165"/>
      <c r="W679" s="165"/>
      <c r="X679" s="165"/>
      <c r="Y679" s="165"/>
      <c r="Z679" s="165"/>
    </row>
    <row r="680" spans="16:26" ht="10.199999999999999" customHeight="1">
      <c r="P680" s="165"/>
      <c r="Q680" s="165"/>
      <c r="R680" s="165"/>
      <c r="S680" s="165"/>
      <c r="T680" s="165"/>
      <c r="U680" s="165"/>
      <c r="V680" s="165"/>
      <c r="W680" s="165"/>
      <c r="X680" s="165"/>
      <c r="Y680" s="165"/>
      <c r="Z680" s="165"/>
    </row>
    <row r="681" spans="16:26" ht="10.199999999999999" customHeight="1">
      <c r="P681" s="165"/>
      <c r="Q681" s="165"/>
      <c r="R681" s="165"/>
      <c r="S681" s="165"/>
      <c r="T681" s="165"/>
      <c r="U681" s="165"/>
      <c r="V681" s="165"/>
      <c r="W681" s="165"/>
      <c r="X681" s="165"/>
      <c r="Y681" s="165"/>
      <c r="Z681" s="165"/>
    </row>
    <row r="682" spans="16:26" ht="10.199999999999999" customHeight="1">
      <c r="P682" s="165"/>
      <c r="Q682" s="165"/>
      <c r="R682" s="165"/>
      <c r="S682" s="165"/>
      <c r="T682" s="165"/>
      <c r="U682" s="165"/>
      <c r="V682" s="165"/>
      <c r="W682" s="165"/>
      <c r="X682" s="165"/>
      <c r="Y682" s="165"/>
      <c r="Z682" s="165"/>
    </row>
    <row r="683" spans="16:26" ht="10.199999999999999" customHeight="1">
      <c r="P683" s="165"/>
      <c r="Q683" s="165"/>
      <c r="R683" s="165"/>
      <c r="S683" s="165"/>
      <c r="T683" s="165"/>
      <c r="U683" s="165"/>
      <c r="V683" s="165"/>
      <c r="W683" s="165"/>
      <c r="X683" s="165"/>
      <c r="Y683" s="165"/>
      <c r="Z683" s="165"/>
    </row>
    <row r="684" spans="16:26" ht="10.199999999999999" customHeight="1">
      <c r="P684" s="165"/>
      <c r="Q684" s="165"/>
      <c r="R684" s="165"/>
      <c r="S684" s="165"/>
      <c r="T684" s="165"/>
      <c r="U684" s="165"/>
      <c r="V684" s="165"/>
      <c r="W684" s="165"/>
      <c r="X684" s="165"/>
      <c r="Y684" s="165"/>
      <c r="Z684" s="165"/>
    </row>
    <row r="685" spans="16:26" ht="10.199999999999999" customHeight="1">
      <c r="P685" s="165"/>
      <c r="Q685" s="165"/>
      <c r="R685" s="165"/>
      <c r="S685" s="165"/>
      <c r="T685" s="165"/>
      <c r="U685" s="165"/>
      <c r="V685" s="165"/>
      <c r="W685" s="165"/>
      <c r="X685" s="165"/>
      <c r="Y685" s="165"/>
      <c r="Z685" s="165"/>
    </row>
    <row r="686" spans="16:26" ht="10.199999999999999" customHeight="1">
      <c r="P686" s="165"/>
      <c r="Q686" s="165"/>
      <c r="R686" s="165"/>
      <c r="S686" s="165"/>
      <c r="T686" s="165"/>
      <c r="U686" s="165"/>
      <c r="V686" s="165"/>
      <c r="W686" s="165"/>
      <c r="X686" s="165"/>
      <c r="Y686" s="165"/>
      <c r="Z686" s="165"/>
    </row>
    <row r="687" spans="16:26" ht="10.199999999999999" customHeight="1">
      <c r="P687" s="165"/>
      <c r="Q687" s="165"/>
      <c r="R687" s="165"/>
      <c r="S687" s="165"/>
      <c r="T687" s="165"/>
      <c r="U687" s="165"/>
      <c r="V687" s="165"/>
      <c r="W687" s="165"/>
      <c r="X687" s="165"/>
      <c r="Y687" s="165"/>
      <c r="Z687" s="165"/>
    </row>
    <row r="688" spans="16:26" ht="10.199999999999999" customHeight="1">
      <c r="P688" s="165"/>
      <c r="Q688" s="165"/>
      <c r="R688" s="165"/>
      <c r="S688" s="165"/>
      <c r="T688" s="165"/>
      <c r="U688" s="165"/>
      <c r="V688" s="165"/>
      <c r="W688" s="165"/>
      <c r="X688" s="165"/>
      <c r="Y688" s="165"/>
      <c r="Z688" s="165"/>
    </row>
    <row r="689" spans="16:26" ht="10.199999999999999" customHeight="1">
      <c r="P689" s="165"/>
      <c r="Q689" s="165"/>
      <c r="R689" s="165"/>
      <c r="S689" s="165"/>
      <c r="T689" s="165"/>
      <c r="U689" s="165"/>
      <c r="V689" s="165"/>
      <c r="W689" s="165"/>
      <c r="X689" s="165"/>
      <c r="Y689" s="165"/>
      <c r="Z689" s="165"/>
    </row>
    <row r="690" spans="16:26" ht="10.199999999999999" customHeight="1">
      <c r="P690" s="165"/>
      <c r="Q690" s="165"/>
      <c r="R690" s="165"/>
      <c r="S690" s="165"/>
      <c r="T690" s="165"/>
      <c r="U690" s="165"/>
      <c r="V690" s="165"/>
      <c r="W690" s="165"/>
      <c r="X690" s="165"/>
      <c r="Y690" s="165"/>
      <c r="Z690" s="165"/>
    </row>
    <row r="691" spans="16:26" ht="10.199999999999999" customHeight="1">
      <c r="P691" s="165"/>
      <c r="Q691" s="165"/>
      <c r="R691" s="165"/>
      <c r="S691" s="165"/>
      <c r="T691" s="165"/>
      <c r="U691" s="165"/>
      <c r="V691" s="165"/>
      <c r="W691" s="165"/>
      <c r="X691" s="165"/>
      <c r="Y691" s="165"/>
      <c r="Z691" s="165"/>
    </row>
    <row r="692" spans="16:26" ht="10.199999999999999" customHeight="1">
      <c r="P692" s="165"/>
      <c r="Q692" s="165"/>
      <c r="R692" s="165"/>
      <c r="S692" s="165"/>
      <c r="T692" s="165"/>
      <c r="U692" s="165"/>
      <c r="V692" s="165"/>
      <c r="W692" s="165"/>
      <c r="X692" s="165"/>
      <c r="Y692" s="165"/>
      <c r="Z692" s="165"/>
    </row>
    <row r="693" spans="16:26" ht="10.199999999999999" customHeight="1">
      <c r="P693" s="165"/>
      <c r="Q693" s="165"/>
      <c r="R693" s="165"/>
      <c r="S693" s="165"/>
      <c r="T693" s="165"/>
      <c r="U693" s="165"/>
      <c r="V693" s="165"/>
      <c r="W693" s="165"/>
      <c r="X693" s="165"/>
      <c r="Y693" s="165"/>
      <c r="Z693" s="165"/>
    </row>
    <row r="694" spans="16:26" ht="10.199999999999999" customHeight="1">
      <c r="P694" s="165"/>
      <c r="Q694" s="165"/>
      <c r="R694" s="165"/>
      <c r="S694" s="165"/>
      <c r="T694" s="165"/>
      <c r="U694" s="165"/>
      <c r="V694" s="165"/>
      <c r="W694" s="165"/>
      <c r="X694" s="165"/>
      <c r="Y694" s="165"/>
      <c r="Z694" s="165"/>
    </row>
    <row r="695" spans="16:26" ht="10.199999999999999" customHeight="1">
      <c r="P695" s="165"/>
      <c r="Q695" s="165"/>
      <c r="R695" s="165"/>
      <c r="S695" s="165"/>
      <c r="T695" s="165"/>
      <c r="U695" s="165"/>
      <c r="V695" s="165"/>
      <c r="W695" s="165"/>
      <c r="X695" s="165"/>
      <c r="Y695" s="165"/>
      <c r="Z695" s="165"/>
    </row>
    <row r="696" spans="16:26" ht="10.199999999999999" customHeight="1">
      <c r="P696" s="165"/>
      <c r="Q696" s="165"/>
      <c r="R696" s="165"/>
      <c r="S696" s="165"/>
      <c r="T696" s="165"/>
      <c r="U696" s="165"/>
      <c r="V696" s="165"/>
      <c r="W696" s="165"/>
      <c r="X696" s="165"/>
      <c r="Y696" s="165"/>
      <c r="Z696" s="165"/>
    </row>
    <row r="697" spans="16:26" ht="10.199999999999999" customHeight="1">
      <c r="P697" s="165"/>
      <c r="Q697" s="165"/>
      <c r="R697" s="165"/>
      <c r="S697" s="165"/>
      <c r="T697" s="165"/>
      <c r="U697" s="165"/>
      <c r="V697" s="165"/>
      <c r="W697" s="165"/>
      <c r="X697" s="165"/>
      <c r="Y697" s="165"/>
      <c r="Z697" s="165"/>
    </row>
    <row r="698" spans="16:26" ht="10.199999999999999" customHeight="1">
      <c r="P698" s="165"/>
      <c r="Q698" s="165"/>
      <c r="R698" s="165"/>
      <c r="S698" s="165"/>
      <c r="T698" s="165"/>
      <c r="U698" s="165"/>
      <c r="V698" s="165"/>
      <c r="W698" s="165"/>
      <c r="X698" s="165"/>
      <c r="Y698" s="165"/>
      <c r="Z698" s="165"/>
    </row>
    <row r="699" spans="16:26" ht="10.199999999999999" customHeight="1">
      <c r="P699" s="165"/>
      <c r="Q699" s="165"/>
      <c r="R699" s="165"/>
      <c r="S699" s="165"/>
      <c r="T699" s="165"/>
      <c r="U699" s="165"/>
      <c r="V699" s="165"/>
      <c r="W699" s="165"/>
      <c r="X699" s="165"/>
      <c r="Y699" s="165"/>
      <c r="Z699" s="165"/>
    </row>
    <row r="700" spans="16:26" ht="10.199999999999999" customHeight="1">
      <c r="P700" s="165"/>
      <c r="Q700" s="165"/>
      <c r="R700" s="165"/>
      <c r="S700" s="165"/>
      <c r="T700" s="165"/>
      <c r="U700" s="165"/>
      <c r="V700" s="165"/>
      <c r="W700" s="165"/>
      <c r="X700" s="165"/>
      <c r="Y700" s="165"/>
      <c r="Z700" s="165"/>
    </row>
    <row r="701" spans="16:26" ht="10.199999999999999" customHeight="1">
      <c r="P701" s="165"/>
      <c r="Q701" s="165"/>
      <c r="R701" s="165"/>
      <c r="S701" s="165"/>
      <c r="T701" s="165"/>
      <c r="U701" s="165"/>
      <c r="V701" s="165"/>
      <c r="W701" s="165"/>
      <c r="X701" s="165"/>
      <c r="Y701" s="165"/>
      <c r="Z701" s="165"/>
    </row>
    <row r="702" spans="16:26" ht="10.199999999999999" customHeight="1">
      <c r="P702" s="165"/>
      <c r="Q702" s="165"/>
      <c r="R702" s="165"/>
      <c r="S702" s="165"/>
      <c r="T702" s="165"/>
      <c r="U702" s="165"/>
      <c r="V702" s="165"/>
      <c r="W702" s="165"/>
      <c r="X702" s="165"/>
      <c r="Y702" s="165"/>
      <c r="Z702" s="165"/>
    </row>
    <row r="703" spans="16:26" ht="10.199999999999999" customHeight="1">
      <c r="P703" s="165"/>
      <c r="Q703" s="165"/>
      <c r="R703" s="165"/>
      <c r="S703" s="165"/>
      <c r="T703" s="165"/>
      <c r="U703" s="165"/>
      <c r="V703" s="165"/>
      <c r="W703" s="165"/>
      <c r="X703" s="165"/>
      <c r="Y703" s="165"/>
      <c r="Z703" s="165"/>
    </row>
    <row r="704" spans="16:26" ht="10.199999999999999" customHeight="1">
      <c r="P704" s="165"/>
      <c r="Q704" s="165"/>
      <c r="R704" s="165"/>
      <c r="S704" s="165"/>
      <c r="T704" s="165"/>
      <c r="U704" s="165"/>
      <c r="V704" s="165"/>
      <c r="W704" s="165"/>
      <c r="X704" s="165"/>
      <c r="Y704" s="165"/>
      <c r="Z704" s="165"/>
    </row>
    <row r="705" spans="16:26" ht="10.199999999999999" customHeight="1">
      <c r="P705" s="165"/>
      <c r="Q705" s="165"/>
      <c r="R705" s="165"/>
      <c r="S705" s="165"/>
      <c r="T705" s="165"/>
      <c r="U705" s="165"/>
      <c r="V705" s="165"/>
      <c r="W705" s="165"/>
      <c r="X705" s="165"/>
      <c r="Y705" s="165"/>
      <c r="Z705" s="165"/>
    </row>
    <row r="706" spans="16:26" ht="10.199999999999999" customHeight="1">
      <c r="P706" s="165"/>
      <c r="Q706" s="165"/>
      <c r="R706" s="165"/>
      <c r="S706" s="165"/>
      <c r="T706" s="165"/>
      <c r="U706" s="165"/>
      <c r="V706" s="165"/>
      <c r="W706" s="165"/>
      <c r="X706" s="165"/>
      <c r="Y706" s="165"/>
      <c r="Z706" s="165"/>
    </row>
    <row r="707" spans="16:26" ht="10.199999999999999" customHeight="1">
      <c r="P707" s="165"/>
      <c r="Q707" s="165"/>
      <c r="R707" s="165"/>
      <c r="S707" s="165"/>
      <c r="T707" s="165"/>
      <c r="U707" s="165"/>
      <c r="V707" s="165"/>
      <c r="W707" s="165"/>
      <c r="X707" s="165"/>
      <c r="Y707" s="165"/>
      <c r="Z707" s="165"/>
    </row>
    <row r="708" spans="16:26" ht="10.199999999999999" customHeight="1">
      <c r="P708" s="165"/>
      <c r="Q708" s="165"/>
      <c r="R708" s="165"/>
      <c r="S708" s="165"/>
      <c r="T708" s="165"/>
      <c r="U708" s="165"/>
      <c r="V708" s="165"/>
      <c r="W708" s="165"/>
      <c r="X708" s="165"/>
      <c r="Y708" s="165"/>
      <c r="Z708" s="165"/>
    </row>
    <row r="709" spans="16:26" ht="10.199999999999999" customHeight="1">
      <c r="P709" s="165"/>
      <c r="Q709" s="165"/>
      <c r="R709" s="165"/>
      <c r="S709" s="165"/>
      <c r="T709" s="165"/>
      <c r="U709" s="165"/>
      <c r="V709" s="165"/>
      <c r="W709" s="165"/>
      <c r="X709" s="165"/>
      <c r="Y709" s="165"/>
      <c r="Z709" s="165"/>
    </row>
    <row r="710" spans="16:26" ht="10.199999999999999" customHeight="1">
      <c r="P710" s="165"/>
      <c r="Q710" s="165"/>
      <c r="R710" s="165"/>
      <c r="S710" s="165"/>
      <c r="T710" s="165"/>
      <c r="U710" s="165"/>
      <c r="V710" s="165"/>
      <c r="W710" s="165"/>
      <c r="X710" s="165"/>
      <c r="Y710" s="165"/>
      <c r="Z710" s="165"/>
    </row>
    <row r="711" spans="16:26" ht="10.199999999999999" customHeight="1">
      <c r="P711" s="165"/>
      <c r="Q711" s="165"/>
      <c r="R711" s="165"/>
      <c r="S711" s="165"/>
      <c r="T711" s="165"/>
      <c r="U711" s="165"/>
      <c r="V711" s="165"/>
      <c r="W711" s="165"/>
      <c r="X711" s="165"/>
      <c r="Y711" s="165"/>
      <c r="Z711" s="165"/>
    </row>
    <row r="712" spans="16:26" ht="10.199999999999999" customHeight="1">
      <c r="P712" s="165"/>
      <c r="Q712" s="165"/>
      <c r="R712" s="165"/>
      <c r="S712" s="165"/>
      <c r="T712" s="165"/>
      <c r="U712" s="165"/>
      <c r="V712" s="165"/>
      <c r="W712" s="165"/>
      <c r="X712" s="165"/>
      <c r="Y712" s="165"/>
      <c r="Z712" s="165"/>
    </row>
    <row r="713" spans="16:26" ht="10.199999999999999" customHeight="1">
      <c r="P713" s="165"/>
      <c r="Q713" s="165"/>
      <c r="R713" s="165"/>
      <c r="S713" s="165"/>
      <c r="T713" s="165"/>
      <c r="U713" s="165"/>
      <c r="V713" s="165"/>
      <c r="W713" s="165"/>
      <c r="X713" s="165"/>
      <c r="Y713" s="165"/>
      <c r="Z713" s="165"/>
    </row>
    <row r="714" spans="16:26" ht="10.199999999999999" customHeight="1">
      <c r="P714" s="165"/>
      <c r="Q714" s="165"/>
      <c r="R714" s="165"/>
      <c r="S714" s="165"/>
      <c r="T714" s="165"/>
      <c r="U714" s="165"/>
      <c r="V714" s="165"/>
      <c r="W714" s="165"/>
      <c r="X714" s="165"/>
      <c r="Y714" s="165"/>
      <c r="Z714" s="165"/>
    </row>
    <row r="715" spans="16:26" ht="10.199999999999999" customHeight="1">
      <c r="P715" s="165"/>
      <c r="Q715" s="165"/>
      <c r="R715" s="165"/>
      <c r="S715" s="165"/>
      <c r="T715" s="165"/>
      <c r="U715" s="165"/>
      <c r="V715" s="165"/>
      <c r="W715" s="165"/>
      <c r="X715" s="165"/>
      <c r="Y715" s="165"/>
      <c r="Z715" s="165"/>
    </row>
    <row r="716" spans="16:26" ht="10.199999999999999" customHeight="1">
      <c r="P716" s="165"/>
      <c r="Q716" s="165"/>
      <c r="R716" s="165"/>
      <c r="S716" s="165"/>
      <c r="T716" s="165"/>
      <c r="U716" s="165"/>
      <c r="V716" s="165"/>
      <c r="W716" s="165"/>
      <c r="X716" s="165"/>
      <c r="Y716" s="165"/>
      <c r="Z716" s="165"/>
    </row>
    <row r="717" spans="16:26" ht="10.199999999999999" customHeight="1">
      <c r="P717" s="165"/>
      <c r="Q717" s="165"/>
      <c r="R717" s="165"/>
      <c r="S717" s="165"/>
      <c r="T717" s="165"/>
      <c r="U717" s="165"/>
      <c r="V717" s="165"/>
      <c r="W717" s="165"/>
      <c r="X717" s="165"/>
      <c r="Y717" s="165"/>
      <c r="Z717" s="165"/>
    </row>
    <row r="718" spans="16:26" ht="10.199999999999999" customHeight="1">
      <c r="P718" s="165"/>
      <c r="Q718" s="165"/>
      <c r="R718" s="165"/>
      <c r="S718" s="165"/>
      <c r="T718" s="165"/>
      <c r="U718" s="165"/>
      <c r="V718" s="165"/>
      <c r="W718" s="165"/>
      <c r="X718" s="165"/>
      <c r="Y718" s="165"/>
      <c r="Z718" s="165"/>
    </row>
    <row r="719" spans="16:26" ht="10.199999999999999" customHeight="1">
      <c r="P719" s="165"/>
      <c r="Q719" s="165"/>
      <c r="R719" s="165"/>
      <c r="S719" s="165"/>
      <c r="T719" s="165"/>
      <c r="U719" s="165"/>
      <c r="V719" s="165"/>
      <c r="W719" s="165"/>
      <c r="X719" s="165"/>
      <c r="Y719" s="165"/>
      <c r="Z719" s="165"/>
    </row>
    <row r="720" spans="16:26" ht="10.199999999999999" customHeight="1">
      <c r="P720" s="165"/>
      <c r="Q720" s="165"/>
      <c r="R720" s="165"/>
      <c r="S720" s="165"/>
      <c r="T720" s="165"/>
      <c r="U720" s="165"/>
      <c r="V720" s="165"/>
      <c r="W720" s="165"/>
      <c r="X720" s="165"/>
      <c r="Y720" s="165"/>
      <c r="Z720" s="165"/>
    </row>
    <row r="721" spans="16:26" ht="10.199999999999999" customHeight="1">
      <c r="P721" s="165"/>
      <c r="Q721" s="165"/>
      <c r="R721" s="165"/>
      <c r="S721" s="165"/>
      <c r="T721" s="165"/>
      <c r="U721" s="165"/>
      <c r="V721" s="165"/>
      <c r="W721" s="165"/>
      <c r="X721" s="165"/>
      <c r="Y721" s="165"/>
      <c r="Z721" s="165"/>
    </row>
    <row r="722" spans="16:26" ht="10.199999999999999" customHeight="1">
      <c r="P722" s="165"/>
      <c r="Q722" s="165"/>
      <c r="R722" s="165"/>
      <c r="S722" s="165"/>
      <c r="T722" s="165"/>
      <c r="U722" s="165"/>
      <c r="V722" s="165"/>
      <c r="W722" s="165"/>
      <c r="X722" s="165"/>
      <c r="Y722" s="165"/>
      <c r="Z722" s="165"/>
    </row>
    <row r="723" spans="16:26" ht="10.199999999999999" customHeight="1">
      <c r="P723" s="165"/>
      <c r="Q723" s="165"/>
      <c r="R723" s="165"/>
      <c r="S723" s="165"/>
      <c r="T723" s="165"/>
      <c r="U723" s="165"/>
      <c r="V723" s="165"/>
      <c r="W723" s="165"/>
      <c r="X723" s="165"/>
      <c r="Y723" s="165"/>
      <c r="Z723" s="165"/>
    </row>
    <row r="724" spans="16:26" ht="10.199999999999999" customHeight="1">
      <c r="P724" s="165"/>
      <c r="Q724" s="165"/>
      <c r="R724" s="165"/>
      <c r="S724" s="165"/>
      <c r="T724" s="165"/>
      <c r="U724" s="165"/>
      <c r="V724" s="165"/>
      <c r="W724" s="165"/>
      <c r="X724" s="165"/>
      <c r="Y724" s="165"/>
      <c r="Z724" s="165"/>
    </row>
    <row r="725" spans="16:26" ht="10.199999999999999" customHeight="1">
      <c r="P725" s="165"/>
      <c r="Q725" s="165"/>
      <c r="R725" s="165"/>
      <c r="S725" s="165"/>
      <c r="T725" s="165"/>
      <c r="U725" s="165"/>
      <c r="V725" s="165"/>
      <c r="W725" s="165"/>
      <c r="X725" s="165"/>
      <c r="Y725" s="165"/>
      <c r="Z725" s="165"/>
    </row>
    <row r="726" spans="16:26" ht="10.199999999999999" customHeight="1">
      <c r="P726" s="165"/>
      <c r="Q726" s="165"/>
      <c r="R726" s="165"/>
      <c r="S726" s="165"/>
      <c r="T726" s="165"/>
      <c r="U726" s="165"/>
      <c r="V726" s="165"/>
      <c r="W726" s="165"/>
      <c r="X726" s="165"/>
      <c r="Y726" s="165"/>
      <c r="Z726" s="165"/>
    </row>
    <row r="727" spans="16:26" ht="10.199999999999999" customHeight="1">
      <c r="P727" s="165"/>
      <c r="Q727" s="165"/>
      <c r="R727" s="165"/>
      <c r="S727" s="165"/>
      <c r="T727" s="165"/>
      <c r="U727" s="165"/>
      <c r="V727" s="165"/>
      <c r="W727" s="165"/>
      <c r="X727" s="165"/>
      <c r="Y727" s="165"/>
      <c r="Z727" s="165"/>
    </row>
    <row r="728" spans="16:26" ht="10.199999999999999" customHeight="1">
      <c r="P728" s="165"/>
      <c r="Q728" s="165"/>
      <c r="R728" s="165"/>
      <c r="S728" s="165"/>
      <c r="T728" s="165"/>
      <c r="U728" s="165"/>
      <c r="V728" s="165"/>
      <c r="W728" s="165"/>
      <c r="X728" s="165"/>
      <c r="Y728" s="165"/>
      <c r="Z728" s="165"/>
    </row>
    <row r="729" spans="16:26" ht="10.199999999999999" customHeight="1">
      <c r="P729" s="165"/>
      <c r="Q729" s="165"/>
      <c r="R729" s="165"/>
      <c r="S729" s="165"/>
      <c r="T729" s="165"/>
      <c r="U729" s="165"/>
      <c r="V729" s="165"/>
      <c r="W729" s="165"/>
      <c r="X729" s="165"/>
      <c r="Y729" s="165"/>
      <c r="Z729" s="165"/>
    </row>
    <row r="730" spans="16:26" ht="10.199999999999999" customHeight="1">
      <c r="P730" s="165"/>
      <c r="Q730" s="165"/>
      <c r="R730" s="165"/>
      <c r="S730" s="165"/>
      <c r="T730" s="165"/>
      <c r="U730" s="165"/>
      <c r="V730" s="165"/>
      <c r="W730" s="165"/>
      <c r="X730" s="165"/>
      <c r="Y730" s="165"/>
      <c r="Z730" s="165"/>
    </row>
    <row r="731" spans="16:26" ht="10.199999999999999" customHeight="1">
      <c r="P731" s="165"/>
      <c r="Q731" s="165"/>
      <c r="R731" s="165"/>
      <c r="S731" s="165"/>
      <c r="T731" s="165"/>
      <c r="U731" s="165"/>
      <c r="V731" s="165"/>
      <c r="W731" s="165"/>
      <c r="X731" s="165"/>
      <c r="Y731" s="165"/>
      <c r="Z731" s="165"/>
    </row>
    <row r="732" spans="16:26" ht="10.199999999999999" customHeight="1">
      <c r="P732" s="165"/>
      <c r="Q732" s="165"/>
      <c r="R732" s="165"/>
      <c r="S732" s="165"/>
      <c r="T732" s="165"/>
      <c r="U732" s="165"/>
      <c r="V732" s="165"/>
      <c r="W732" s="165"/>
      <c r="X732" s="165"/>
      <c r="Y732" s="165"/>
      <c r="Z732" s="165"/>
    </row>
    <row r="733" spans="16:26" ht="10.199999999999999" customHeight="1">
      <c r="P733" s="165"/>
      <c r="Q733" s="165"/>
      <c r="R733" s="165"/>
      <c r="S733" s="165"/>
      <c r="T733" s="165"/>
      <c r="U733" s="165"/>
      <c r="V733" s="165"/>
      <c r="W733" s="165"/>
      <c r="X733" s="165"/>
      <c r="Y733" s="165"/>
      <c r="Z733" s="165"/>
    </row>
    <row r="734" spans="16:26" ht="10.199999999999999" customHeight="1">
      <c r="P734" s="165"/>
      <c r="Q734" s="165"/>
      <c r="R734" s="165"/>
      <c r="S734" s="165"/>
      <c r="T734" s="165"/>
      <c r="U734" s="165"/>
      <c r="V734" s="165"/>
      <c r="W734" s="165"/>
      <c r="X734" s="165"/>
      <c r="Y734" s="165"/>
      <c r="Z734" s="165"/>
    </row>
    <row r="735" spans="16:26" ht="10.199999999999999" customHeight="1">
      <c r="P735" s="165"/>
      <c r="Q735" s="165"/>
      <c r="R735" s="165"/>
      <c r="S735" s="165"/>
      <c r="T735" s="165"/>
      <c r="U735" s="165"/>
      <c r="V735" s="165"/>
      <c r="W735" s="165"/>
      <c r="X735" s="165"/>
      <c r="Y735" s="165"/>
      <c r="Z735" s="165"/>
    </row>
    <row r="736" spans="16:26" ht="10.199999999999999" customHeight="1">
      <c r="P736" s="165"/>
      <c r="Q736" s="165"/>
      <c r="R736" s="165"/>
      <c r="S736" s="165"/>
      <c r="T736" s="165"/>
      <c r="U736" s="165"/>
      <c r="V736" s="165"/>
      <c r="W736" s="165"/>
      <c r="X736" s="165"/>
      <c r="Y736" s="165"/>
      <c r="Z736" s="165"/>
    </row>
    <row r="737" spans="16:26" ht="10.199999999999999" customHeight="1">
      <c r="P737" s="165"/>
      <c r="Q737" s="165"/>
      <c r="R737" s="165"/>
      <c r="S737" s="165"/>
      <c r="T737" s="165"/>
      <c r="U737" s="165"/>
      <c r="V737" s="165"/>
      <c r="W737" s="165"/>
      <c r="X737" s="165"/>
      <c r="Y737" s="165"/>
      <c r="Z737" s="165"/>
    </row>
    <row r="738" spans="16:26" ht="10.199999999999999" customHeight="1">
      <c r="P738" s="165"/>
      <c r="Q738" s="165"/>
      <c r="R738" s="165"/>
      <c r="S738" s="165"/>
      <c r="T738" s="165"/>
      <c r="U738" s="165"/>
      <c r="V738" s="165"/>
      <c r="W738" s="165"/>
      <c r="X738" s="165"/>
      <c r="Y738" s="165"/>
      <c r="Z738" s="165"/>
    </row>
    <row r="739" spans="16:26" ht="10.199999999999999" customHeight="1">
      <c r="P739" s="165"/>
      <c r="Q739" s="165"/>
      <c r="R739" s="165"/>
      <c r="S739" s="165"/>
      <c r="T739" s="165"/>
      <c r="U739" s="165"/>
      <c r="V739" s="165"/>
      <c r="W739" s="165"/>
      <c r="X739" s="165"/>
      <c r="Y739" s="165"/>
      <c r="Z739" s="165"/>
    </row>
    <row r="740" spans="16:26" ht="10.199999999999999" customHeight="1">
      <c r="P740" s="165"/>
      <c r="Q740" s="165"/>
      <c r="R740" s="165"/>
      <c r="S740" s="165"/>
      <c r="T740" s="165"/>
      <c r="U740" s="165"/>
      <c r="V740" s="165"/>
      <c r="W740" s="165"/>
      <c r="X740" s="165"/>
      <c r="Y740" s="165"/>
      <c r="Z740" s="165"/>
    </row>
    <row r="741" spans="16:26" ht="10.199999999999999" customHeight="1">
      <c r="P741" s="165"/>
      <c r="Q741" s="165"/>
      <c r="R741" s="165"/>
      <c r="S741" s="165"/>
      <c r="T741" s="165"/>
      <c r="U741" s="165"/>
      <c r="V741" s="165"/>
      <c r="W741" s="165"/>
      <c r="X741" s="165"/>
      <c r="Y741" s="165"/>
      <c r="Z741" s="165"/>
    </row>
    <row r="742" spans="16:26" ht="10.199999999999999" customHeight="1">
      <c r="P742" s="165"/>
      <c r="Q742" s="165"/>
      <c r="R742" s="165"/>
      <c r="S742" s="165"/>
      <c r="T742" s="165"/>
      <c r="U742" s="165"/>
      <c r="V742" s="165"/>
      <c r="W742" s="165"/>
      <c r="X742" s="165"/>
      <c r="Y742" s="165"/>
      <c r="Z742" s="165"/>
    </row>
    <row r="743" spans="16:26" ht="10.199999999999999" customHeight="1">
      <c r="P743" s="165"/>
      <c r="Q743" s="165"/>
      <c r="R743" s="165"/>
      <c r="S743" s="165"/>
      <c r="T743" s="165"/>
      <c r="U743" s="165"/>
      <c r="V743" s="165"/>
      <c r="W743" s="165"/>
      <c r="X743" s="165"/>
      <c r="Y743" s="165"/>
      <c r="Z743" s="165"/>
    </row>
    <row r="744" spans="16:26" ht="10.199999999999999" customHeight="1">
      <c r="P744" s="165"/>
      <c r="Q744" s="165"/>
      <c r="R744" s="165"/>
      <c r="S744" s="165"/>
      <c r="T744" s="165"/>
      <c r="U744" s="165"/>
      <c r="V744" s="165"/>
      <c r="W744" s="165"/>
      <c r="X744" s="165"/>
      <c r="Y744" s="165"/>
      <c r="Z744" s="165"/>
    </row>
    <row r="745" spans="16:26" ht="10.199999999999999" customHeight="1">
      <c r="P745" s="165"/>
      <c r="Q745" s="165"/>
      <c r="R745" s="165"/>
      <c r="S745" s="165"/>
      <c r="T745" s="165"/>
      <c r="U745" s="165"/>
      <c r="V745" s="165"/>
      <c r="W745" s="165"/>
      <c r="X745" s="165"/>
      <c r="Y745" s="165"/>
      <c r="Z745" s="165"/>
    </row>
    <row r="746" spans="16:26" ht="10.199999999999999" customHeight="1">
      <c r="P746" s="165"/>
      <c r="Q746" s="165"/>
      <c r="R746" s="165"/>
      <c r="S746" s="165"/>
      <c r="T746" s="165"/>
      <c r="U746" s="165"/>
      <c r="V746" s="165"/>
      <c r="W746" s="165"/>
      <c r="X746" s="165"/>
      <c r="Y746" s="165"/>
      <c r="Z746" s="165"/>
    </row>
    <row r="747" spans="16:26" ht="10.199999999999999" customHeight="1">
      <c r="P747" s="165"/>
      <c r="Q747" s="165"/>
      <c r="R747" s="165"/>
      <c r="S747" s="165"/>
      <c r="T747" s="165"/>
      <c r="U747" s="165"/>
      <c r="V747" s="165"/>
      <c r="W747" s="165"/>
      <c r="X747" s="165"/>
      <c r="Y747" s="165"/>
      <c r="Z747" s="165"/>
    </row>
    <row r="748" spans="16:26" ht="10.199999999999999" customHeight="1">
      <c r="P748" s="165"/>
      <c r="Q748" s="165"/>
      <c r="R748" s="165"/>
      <c r="S748" s="165"/>
      <c r="T748" s="165"/>
      <c r="U748" s="165"/>
      <c r="V748" s="165"/>
      <c r="W748" s="165"/>
      <c r="X748" s="165"/>
      <c r="Y748" s="165"/>
      <c r="Z748" s="165"/>
    </row>
    <row r="749" spans="16:26" ht="10.199999999999999" customHeight="1">
      <c r="P749" s="165"/>
      <c r="Q749" s="165"/>
      <c r="R749" s="165"/>
      <c r="S749" s="165"/>
      <c r="T749" s="165"/>
      <c r="U749" s="165"/>
      <c r="V749" s="165"/>
      <c r="W749" s="165"/>
      <c r="X749" s="165"/>
      <c r="Y749" s="165"/>
      <c r="Z749" s="165"/>
    </row>
    <row r="750" spans="16:26" ht="10.199999999999999" customHeight="1">
      <c r="P750" s="165"/>
      <c r="Q750" s="165"/>
      <c r="R750" s="165"/>
      <c r="S750" s="165"/>
      <c r="T750" s="165"/>
      <c r="U750" s="165"/>
      <c r="V750" s="165"/>
      <c r="W750" s="165"/>
      <c r="X750" s="165"/>
      <c r="Y750" s="165"/>
      <c r="Z750" s="165"/>
    </row>
    <row r="751" spans="16:26" ht="10.199999999999999" customHeight="1">
      <c r="P751" s="165"/>
      <c r="Q751" s="165"/>
      <c r="R751" s="165"/>
      <c r="S751" s="165"/>
      <c r="T751" s="165"/>
      <c r="U751" s="165"/>
      <c r="V751" s="165"/>
      <c r="W751" s="165"/>
      <c r="X751" s="165"/>
      <c r="Y751" s="165"/>
      <c r="Z751" s="165"/>
    </row>
    <row r="752" spans="16:26" ht="10.199999999999999" customHeight="1">
      <c r="P752" s="165"/>
      <c r="Q752" s="165"/>
      <c r="R752" s="165"/>
      <c r="S752" s="165"/>
      <c r="T752" s="165"/>
      <c r="U752" s="165"/>
      <c r="V752" s="165"/>
      <c r="W752" s="165"/>
      <c r="X752" s="165"/>
      <c r="Y752" s="165"/>
      <c r="Z752" s="165"/>
    </row>
    <row r="753" spans="16:26" ht="10.199999999999999" customHeight="1">
      <c r="P753" s="165"/>
      <c r="Q753" s="165"/>
      <c r="R753" s="165"/>
      <c r="S753" s="165"/>
      <c r="T753" s="165"/>
      <c r="U753" s="165"/>
      <c r="V753" s="165"/>
      <c r="W753" s="165"/>
      <c r="X753" s="165"/>
      <c r="Y753" s="165"/>
      <c r="Z753" s="165"/>
    </row>
    <row r="754" spans="16:26" ht="10.199999999999999" customHeight="1">
      <c r="P754" s="165"/>
      <c r="Q754" s="165"/>
      <c r="R754" s="165"/>
      <c r="S754" s="165"/>
      <c r="T754" s="165"/>
      <c r="U754" s="165"/>
      <c r="V754" s="165"/>
      <c r="W754" s="165"/>
      <c r="X754" s="165"/>
      <c r="Y754" s="165"/>
      <c r="Z754" s="165"/>
    </row>
    <row r="755" spans="16:26" ht="10.199999999999999" customHeight="1">
      <c r="P755" s="165"/>
      <c r="Q755" s="165"/>
      <c r="R755" s="165"/>
      <c r="S755" s="165"/>
      <c r="T755" s="165"/>
      <c r="U755" s="165"/>
      <c r="V755" s="165"/>
      <c r="W755" s="165"/>
      <c r="X755" s="165"/>
      <c r="Y755" s="165"/>
      <c r="Z755" s="165"/>
    </row>
    <row r="756" spans="16:26" ht="10.199999999999999" customHeight="1">
      <c r="P756" s="165"/>
      <c r="Q756" s="165"/>
      <c r="R756" s="165"/>
      <c r="S756" s="165"/>
      <c r="T756" s="165"/>
      <c r="U756" s="165"/>
      <c r="V756" s="165"/>
      <c r="W756" s="165"/>
      <c r="X756" s="165"/>
      <c r="Y756" s="165"/>
      <c r="Z756" s="165"/>
    </row>
    <row r="757" spans="16:26" ht="10.199999999999999" customHeight="1">
      <c r="P757" s="165"/>
      <c r="Q757" s="165"/>
      <c r="R757" s="165"/>
      <c r="S757" s="165"/>
      <c r="T757" s="165"/>
      <c r="U757" s="165"/>
      <c r="V757" s="165"/>
      <c r="W757" s="165"/>
      <c r="X757" s="165"/>
      <c r="Y757" s="165"/>
      <c r="Z757" s="165"/>
    </row>
    <row r="758" spans="16:26" ht="10.199999999999999" customHeight="1">
      <c r="P758" s="165"/>
      <c r="Q758" s="165"/>
      <c r="R758" s="165"/>
      <c r="S758" s="165"/>
      <c r="T758" s="165"/>
      <c r="U758" s="165"/>
      <c r="V758" s="165"/>
      <c r="W758" s="165"/>
      <c r="X758" s="165"/>
      <c r="Y758" s="165"/>
      <c r="Z758" s="165"/>
    </row>
    <row r="759" spans="16:26" ht="10.199999999999999" customHeight="1">
      <c r="P759" s="165"/>
      <c r="Q759" s="165"/>
      <c r="R759" s="165"/>
      <c r="S759" s="165"/>
      <c r="T759" s="165"/>
      <c r="U759" s="165"/>
      <c r="V759" s="165"/>
      <c r="W759" s="165"/>
      <c r="X759" s="165"/>
      <c r="Y759" s="165"/>
      <c r="Z759" s="165"/>
    </row>
    <row r="760" spans="16:26" ht="10.199999999999999" customHeight="1">
      <c r="P760" s="165"/>
      <c r="Q760" s="165"/>
      <c r="R760" s="165"/>
      <c r="S760" s="165"/>
      <c r="T760" s="165"/>
      <c r="U760" s="165"/>
      <c r="V760" s="165"/>
      <c r="W760" s="165"/>
      <c r="X760" s="165"/>
      <c r="Y760" s="165"/>
      <c r="Z760" s="165"/>
    </row>
    <row r="761" spans="16:26" ht="10.199999999999999" customHeight="1">
      <c r="P761" s="165"/>
      <c r="Q761" s="165"/>
      <c r="R761" s="165"/>
      <c r="S761" s="165"/>
      <c r="T761" s="165"/>
      <c r="U761" s="165"/>
      <c r="V761" s="165"/>
      <c r="W761" s="165"/>
      <c r="X761" s="165"/>
      <c r="Y761" s="165"/>
      <c r="Z761" s="165"/>
    </row>
    <row r="762" spans="16:26" ht="10.199999999999999" customHeight="1">
      <c r="P762" s="165"/>
      <c r="Q762" s="165"/>
      <c r="R762" s="165"/>
      <c r="S762" s="165"/>
      <c r="T762" s="165"/>
      <c r="U762" s="165"/>
      <c r="V762" s="165"/>
      <c r="W762" s="165"/>
      <c r="X762" s="165"/>
      <c r="Y762" s="165"/>
      <c r="Z762" s="165"/>
    </row>
    <row r="763" spans="16:26" ht="10.199999999999999" customHeight="1">
      <c r="P763" s="165"/>
      <c r="Q763" s="165"/>
      <c r="R763" s="165"/>
      <c r="S763" s="165"/>
      <c r="T763" s="165"/>
      <c r="U763" s="165"/>
      <c r="V763" s="165"/>
      <c r="W763" s="165"/>
      <c r="X763" s="165"/>
      <c r="Y763" s="165"/>
      <c r="Z763" s="165"/>
    </row>
    <row r="764" spans="16:26" ht="10.199999999999999" customHeight="1">
      <c r="P764" s="165"/>
      <c r="Q764" s="165"/>
      <c r="R764" s="165"/>
      <c r="S764" s="165"/>
      <c r="T764" s="165"/>
      <c r="U764" s="165"/>
      <c r="V764" s="165"/>
      <c r="W764" s="165"/>
      <c r="X764" s="165"/>
      <c r="Y764" s="165"/>
      <c r="Z764" s="165"/>
    </row>
    <row r="765" spans="16:26" ht="10.199999999999999" customHeight="1">
      <c r="P765" s="165"/>
      <c r="Q765" s="165"/>
      <c r="R765" s="165"/>
      <c r="S765" s="165"/>
      <c r="T765" s="165"/>
      <c r="U765" s="165"/>
      <c r="V765" s="165"/>
      <c r="W765" s="165"/>
      <c r="X765" s="165"/>
      <c r="Y765" s="165"/>
      <c r="Z765" s="165"/>
    </row>
    <row r="766" spans="16:26" ht="10.199999999999999" customHeight="1">
      <c r="P766" s="165"/>
      <c r="Q766" s="165"/>
      <c r="R766" s="165"/>
      <c r="S766" s="165"/>
      <c r="T766" s="165"/>
      <c r="U766" s="165"/>
      <c r="V766" s="165"/>
      <c r="W766" s="165"/>
      <c r="X766" s="165"/>
      <c r="Y766" s="165"/>
      <c r="Z766" s="165"/>
    </row>
    <row r="767" spans="16:26" ht="10.199999999999999" customHeight="1">
      <c r="P767" s="165"/>
      <c r="Q767" s="165"/>
      <c r="R767" s="165"/>
      <c r="S767" s="165"/>
      <c r="T767" s="165"/>
      <c r="U767" s="165"/>
      <c r="V767" s="165"/>
      <c r="W767" s="165"/>
      <c r="X767" s="165"/>
      <c r="Y767" s="165"/>
      <c r="Z767" s="165"/>
    </row>
    <row r="768" spans="16:26" ht="10.199999999999999" customHeight="1">
      <c r="P768" s="165"/>
      <c r="Q768" s="165"/>
      <c r="R768" s="165"/>
      <c r="S768" s="165"/>
      <c r="T768" s="165"/>
      <c r="U768" s="165"/>
      <c r="V768" s="165"/>
      <c r="W768" s="165"/>
      <c r="X768" s="165"/>
      <c r="Y768" s="165"/>
      <c r="Z768" s="165"/>
    </row>
    <row r="769" spans="16:26" ht="10.199999999999999" customHeight="1">
      <c r="P769" s="165"/>
      <c r="Q769" s="165"/>
      <c r="R769" s="165"/>
      <c r="S769" s="165"/>
      <c r="T769" s="165"/>
      <c r="U769" s="165"/>
      <c r="V769" s="165"/>
      <c r="W769" s="165"/>
      <c r="X769" s="165"/>
      <c r="Y769" s="165"/>
      <c r="Z769" s="165"/>
    </row>
    <row r="770" spans="16:26" ht="10.199999999999999" customHeight="1">
      <c r="P770" s="165"/>
      <c r="Q770" s="165"/>
      <c r="R770" s="165"/>
      <c r="S770" s="165"/>
      <c r="T770" s="165"/>
      <c r="U770" s="165"/>
      <c r="V770" s="165"/>
      <c r="W770" s="165"/>
      <c r="X770" s="165"/>
      <c r="Y770" s="165"/>
      <c r="Z770" s="165"/>
    </row>
    <row r="771" spans="16:26" ht="10.199999999999999" customHeight="1">
      <c r="P771" s="165"/>
      <c r="Q771" s="165"/>
      <c r="R771" s="165"/>
      <c r="S771" s="165"/>
      <c r="T771" s="165"/>
      <c r="U771" s="165"/>
      <c r="V771" s="165"/>
      <c r="W771" s="165"/>
      <c r="X771" s="165"/>
      <c r="Y771" s="165"/>
      <c r="Z771" s="165"/>
    </row>
    <row r="772" spans="16:26" ht="10.199999999999999" customHeight="1">
      <c r="P772" s="165"/>
      <c r="Q772" s="165"/>
      <c r="R772" s="165"/>
      <c r="S772" s="165"/>
      <c r="T772" s="165"/>
      <c r="U772" s="165"/>
      <c r="V772" s="165"/>
      <c r="W772" s="165"/>
      <c r="X772" s="165"/>
      <c r="Y772" s="165"/>
      <c r="Z772" s="165"/>
    </row>
    <row r="773" spans="16:26" ht="10.199999999999999" customHeight="1">
      <c r="P773" s="165"/>
      <c r="Q773" s="165"/>
      <c r="R773" s="165"/>
      <c r="S773" s="165"/>
      <c r="T773" s="165"/>
      <c r="U773" s="165"/>
      <c r="V773" s="165"/>
      <c r="W773" s="165"/>
      <c r="X773" s="165"/>
      <c r="Y773" s="165"/>
      <c r="Z773" s="165"/>
    </row>
    <row r="774" spans="16:26" ht="10.199999999999999" customHeight="1">
      <c r="P774" s="165"/>
      <c r="Q774" s="165"/>
      <c r="R774" s="165"/>
      <c r="S774" s="165"/>
      <c r="T774" s="165"/>
      <c r="U774" s="165"/>
      <c r="V774" s="165"/>
      <c r="W774" s="165"/>
      <c r="X774" s="165"/>
      <c r="Y774" s="165"/>
      <c r="Z774" s="165"/>
    </row>
    <row r="775" spans="16:26" ht="10.199999999999999" customHeight="1">
      <c r="P775" s="165"/>
      <c r="Q775" s="165"/>
      <c r="R775" s="165"/>
      <c r="S775" s="165"/>
      <c r="T775" s="165"/>
      <c r="U775" s="165"/>
      <c r="V775" s="165"/>
      <c r="W775" s="165"/>
      <c r="X775" s="165"/>
      <c r="Y775" s="165"/>
      <c r="Z775" s="165"/>
    </row>
    <row r="776" spans="16:26" ht="10.199999999999999" customHeight="1">
      <c r="P776" s="165"/>
      <c r="Q776" s="165"/>
      <c r="R776" s="165"/>
      <c r="S776" s="165"/>
      <c r="T776" s="165"/>
      <c r="U776" s="165"/>
      <c r="V776" s="165"/>
      <c r="W776" s="165"/>
      <c r="X776" s="165"/>
      <c r="Y776" s="165"/>
      <c r="Z776" s="165"/>
    </row>
    <row r="777" spans="16:26" ht="10.199999999999999" customHeight="1">
      <c r="P777" s="165"/>
      <c r="Q777" s="165"/>
      <c r="R777" s="165"/>
      <c r="S777" s="165"/>
      <c r="T777" s="165"/>
      <c r="U777" s="165"/>
      <c r="V777" s="165"/>
      <c r="W777" s="165"/>
      <c r="X777" s="165"/>
      <c r="Y777" s="165"/>
      <c r="Z777" s="165"/>
    </row>
    <row r="778" spans="16:26" ht="10.199999999999999" customHeight="1">
      <c r="P778" s="165"/>
      <c r="Q778" s="165"/>
      <c r="R778" s="165"/>
      <c r="S778" s="165"/>
      <c r="T778" s="165"/>
      <c r="U778" s="165"/>
      <c r="V778" s="165"/>
      <c r="W778" s="165"/>
      <c r="X778" s="165"/>
      <c r="Y778" s="165"/>
      <c r="Z778" s="165"/>
    </row>
    <row r="779" spans="16:26" ht="10.199999999999999" customHeight="1">
      <c r="P779" s="165"/>
      <c r="Q779" s="165"/>
      <c r="R779" s="165"/>
      <c r="S779" s="165"/>
      <c r="T779" s="165"/>
      <c r="U779" s="165"/>
      <c r="V779" s="165"/>
      <c r="W779" s="165"/>
      <c r="X779" s="165"/>
      <c r="Y779" s="165"/>
      <c r="Z779" s="165"/>
    </row>
    <row r="780" spans="16:26" ht="10.199999999999999" customHeight="1">
      <c r="P780" s="165"/>
      <c r="Q780" s="165"/>
      <c r="R780" s="165"/>
      <c r="S780" s="165"/>
      <c r="T780" s="165"/>
      <c r="U780" s="165"/>
      <c r="V780" s="165"/>
      <c r="W780" s="165"/>
      <c r="X780" s="165"/>
      <c r="Y780" s="165"/>
      <c r="Z780" s="165"/>
    </row>
    <row r="781" spans="16:26" ht="10.199999999999999" customHeight="1">
      <c r="P781" s="165"/>
      <c r="Q781" s="165"/>
      <c r="R781" s="165"/>
      <c r="S781" s="165"/>
      <c r="T781" s="165"/>
      <c r="U781" s="165"/>
      <c r="V781" s="165"/>
      <c r="W781" s="165"/>
      <c r="X781" s="165"/>
      <c r="Y781" s="165"/>
      <c r="Z781" s="165"/>
    </row>
    <row r="782" spans="16:26" ht="10.199999999999999" customHeight="1">
      <c r="P782" s="165"/>
      <c r="Q782" s="165"/>
      <c r="R782" s="165"/>
      <c r="S782" s="165"/>
      <c r="T782" s="165"/>
      <c r="U782" s="165"/>
      <c r="V782" s="165"/>
      <c r="W782" s="165"/>
      <c r="X782" s="165"/>
      <c r="Y782" s="165"/>
      <c r="Z782" s="165"/>
    </row>
    <row r="783" spans="16:26" ht="10.199999999999999" customHeight="1">
      <c r="P783" s="165"/>
      <c r="Q783" s="165"/>
      <c r="R783" s="165"/>
      <c r="S783" s="165"/>
      <c r="T783" s="165"/>
      <c r="U783" s="165"/>
      <c r="V783" s="165"/>
      <c r="W783" s="165"/>
      <c r="X783" s="165"/>
      <c r="Y783" s="165"/>
      <c r="Z783" s="165"/>
    </row>
    <row r="784" spans="16:26" ht="10.199999999999999" customHeight="1">
      <c r="P784" s="165"/>
      <c r="Q784" s="165"/>
      <c r="R784" s="165"/>
      <c r="S784" s="165"/>
      <c r="T784" s="165"/>
      <c r="U784" s="165"/>
      <c r="V784" s="165"/>
      <c r="W784" s="165"/>
      <c r="X784" s="165"/>
      <c r="Y784" s="165"/>
      <c r="Z784" s="165"/>
    </row>
    <row r="785" spans="16:26" ht="10.199999999999999" customHeight="1">
      <c r="P785" s="165"/>
      <c r="Q785" s="165"/>
      <c r="R785" s="165"/>
      <c r="S785" s="165"/>
      <c r="T785" s="165"/>
      <c r="U785" s="165"/>
      <c r="V785" s="165"/>
      <c r="W785" s="165"/>
      <c r="X785" s="165"/>
      <c r="Y785" s="165"/>
      <c r="Z785" s="165"/>
    </row>
    <row r="786" spans="16:26" ht="10.199999999999999" customHeight="1">
      <c r="P786" s="165"/>
      <c r="Q786" s="165"/>
      <c r="R786" s="165"/>
      <c r="S786" s="165"/>
      <c r="T786" s="165"/>
      <c r="U786" s="165"/>
      <c r="V786" s="165"/>
      <c r="W786" s="165"/>
      <c r="X786" s="165"/>
      <c r="Y786" s="165"/>
      <c r="Z786" s="165"/>
    </row>
    <row r="787" spans="16:26" ht="10.199999999999999" customHeight="1">
      <c r="P787" s="165"/>
      <c r="Q787" s="165"/>
      <c r="R787" s="165"/>
      <c r="S787" s="165"/>
      <c r="T787" s="165"/>
      <c r="U787" s="165"/>
      <c r="V787" s="165"/>
      <c r="W787" s="165"/>
      <c r="X787" s="165"/>
      <c r="Y787" s="165"/>
      <c r="Z787" s="165"/>
    </row>
    <row r="788" spans="16:26" ht="10.199999999999999" customHeight="1">
      <c r="P788" s="165"/>
      <c r="Q788" s="165"/>
      <c r="R788" s="165"/>
      <c r="S788" s="165"/>
      <c r="T788" s="165"/>
      <c r="U788" s="165"/>
      <c r="V788" s="165"/>
      <c r="W788" s="165"/>
      <c r="X788" s="165"/>
      <c r="Y788" s="165"/>
      <c r="Z788" s="165"/>
    </row>
    <row r="789" spans="16:26" ht="10.199999999999999" customHeight="1">
      <c r="P789" s="165"/>
      <c r="Q789" s="165"/>
      <c r="R789" s="165"/>
      <c r="S789" s="165"/>
      <c r="T789" s="165"/>
      <c r="U789" s="165"/>
      <c r="V789" s="165"/>
      <c r="W789" s="165"/>
      <c r="X789" s="165"/>
      <c r="Y789" s="165"/>
      <c r="Z789" s="165"/>
    </row>
    <row r="790" spans="16:26" ht="10.199999999999999" customHeight="1">
      <c r="P790" s="165"/>
      <c r="Q790" s="165"/>
      <c r="R790" s="165"/>
      <c r="S790" s="165"/>
      <c r="T790" s="165"/>
      <c r="U790" s="165"/>
      <c r="V790" s="165"/>
      <c r="W790" s="165"/>
      <c r="X790" s="165"/>
      <c r="Y790" s="165"/>
      <c r="Z790" s="165"/>
    </row>
    <row r="791" spans="16:26" ht="10.199999999999999" customHeight="1">
      <c r="P791" s="165"/>
      <c r="Q791" s="165"/>
      <c r="R791" s="165"/>
      <c r="S791" s="165"/>
      <c r="T791" s="165"/>
      <c r="U791" s="165"/>
      <c r="V791" s="165"/>
      <c r="W791" s="165"/>
      <c r="X791" s="165"/>
      <c r="Y791" s="165"/>
      <c r="Z791" s="165"/>
    </row>
    <row r="792" spans="16:26" ht="10.199999999999999" customHeight="1">
      <c r="P792" s="165"/>
      <c r="Q792" s="165"/>
      <c r="R792" s="165"/>
      <c r="S792" s="165"/>
      <c r="T792" s="165"/>
      <c r="U792" s="165"/>
      <c r="V792" s="165"/>
      <c r="W792" s="165"/>
      <c r="X792" s="165"/>
      <c r="Y792" s="165"/>
      <c r="Z792" s="165"/>
    </row>
    <row r="793" spans="16:26" ht="10.199999999999999" customHeight="1">
      <c r="P793" s="165"/>
      <c r="Q793" s="165"/>
      <c r="R793" s="165"/>
      <c r="S793" s="165"/>
      <c r="T793" s="165"/>
      <c r="U793" s="165"/>
      <c r="V793" s="165"/>
      <c r="W793" s="165"/>
      <c r="X793" s="165"/>
      <c r="Y793" s="165"/>
      <c r="Z793" s="165"/>
    </row>
    <row r="794" spans="16:26" ht="10.199999999999999" customHeight="1">
      <c r="P794" s="165"/>
      <c r="Q794" s="165"/>
      <c r="R794" s="165"/>
      <c r="S794" s="165"/>
      <c r="T794" s="165"/>
      <c r="U794" s="165"/>
      <c r="V794" s="165"/>
      <c r="W794" s="165"/>
      <c r="X794" s="165"/>
      <c r="Y794" s="165"/>
      <c r="Z794" s="165"/>
    </row>
    <row r="795" spans="16:26" ht="10.199999999999999" customHeight="1">
      <c r="P795" s="165"/>
      <c r="Q795" s="165"/>
      <c r="R795" s="165"/>
      <c r="S795" s="165"/>
      <c r="T795" s="165"/>
      <c r="U795" s="165"/>
      <c r="V795" s="165"/>
      <c r="W795" s="165"/>
      <c r="X795" s="165"/>
      <c r="Y795" s="165"/>
      <c r="Z795" s="165"/>
    </row>
    <row r="796" spans="16:26" ht="10.199999999999999" customHeight="1">
      <c r="P796" s="165"/>
      <c r="Q796" s="165"/>
      <c r="R796" s="165"/>
      <c r="S796" s="165"/>
      <c r="T796" s="165"/>
      <c r="U796" s="165"/>
      <c r="V796" s="165"/>
      <c r="W796" s="165"/>
      <c r="X796" s="165"/>
      <c r="Y796" s="165"/>
      <c r="Z796" s="165"/>
    </row>
    <row r="797" spans="16:26" ht="10.199999999999999" customHeight="1">
      <c r="P797" s="165"/>
      <c r="Q797" s="165"/>
      <c r="R797" s="165"/>
      <c r="S797" s="165"/>
      <c r="T797" s="165"/>
      <c r="U797" s="165"/>
      <c r="V797" s="165"/>
      <c r="W797" s="165"/>
      <c r="X797" s="165"/>
      <c r="Y797" s="165"/>
      <c r="Z797" s="165"/>
    </row>
    <row r="798" spans="16:26" ht="10.199999999999999" customHeight="1">
      <c r="P798" s="165"/>
      <c r="Q798" s="165"/>
      <c r="R798" s="165"/>
      <c r="S798" s="165"/>
      <c r="T798" s="165"/>
      <c r="U798" s="165"/>
      <c r="V798" s="165"/>
      <c r="W798" s="165"/>
      <c r="X798" s="165"/>
      <c r="Y798" s="165"/>
      <c r="Z798" s="165"/>
    </row>
    <row r="799" spans="16:26" ht="10.199999999999999" customHeight="1">
      <c r="P799" s="165"/>
      <c r="Q799" s="165"/>
      <c r="R799" s="165"/>
      <c r="S799" s="165"/>
      <c r="T799" s="165"/>
      <c r="U799" s="165"/>
      <c r="V799" s="165"/>
      <c r="W799" s="165"/>
      <c r="X799" s="165"/>
      <c r="Y799" s="165"/>
      <c r="Z799" s="165"/>
    </row>
    <row r="800" spans="16:26" ht="10.199999999999999" customHeight="1">
      <c r="P800" s="165"/>
      <c r="Q800" s="165"/>
      <c r="R800" s="165"/>
      <c r="S800" s="165"/>
      <c r="T800" s="165"/>
      <c r="U800" s="165"/>
      <c r="V800" s="165"/>
      <c r="W800" s="165"/>
      <c r="X800" s="165"/>
      <c r="Y800" s="165"/>
      <c r="Z800" s="165"/>
    </row>
    <row r="801" spans="16:26" ht="10.199999999999999" customHeight="1">
      <c r="P801" s="165"/>
      <c r="Q801" s="165"/>
      <c r="R801" s="165"/>
      <c r="S801" s="165"/>
      <c r="T801" s="165"/>
      <c r="U801" s="165"/>
      <c r="V801" s="165"/>
      <c r="W801" s="165"/>
      <c r="X801" s="165"/>
      <c r="Y801" s="165"/>
      <c r="Z801" s="165"/>
    </row>
    <row r="802" spans="16:26" ht="10.199999999999999" customHeight="1">
      <c r="P802" s="165"/>
      <c r="Q802" s="165"/>
      <c r="R802" s="165"/>
      <c r="S802" s="165"/>
      <c r="T802" s="165"/>
      <c r="U802" s="165"/>
      <c r="V802" s="165"/>
      <c r="W802" s="165"/>
      <c r="X802" s="165"/>
      <c r="Y802" s="165"/>
      <c r="Z802" s="165"/>
    </row>
    <row r="803" spans="16:26" ht="10.199999999999999" customHeight="1">
      <c r="P803" s="165"/>
      <c r="Q803" s="165"/>
      <c r="R803" s="165"/>
      <c r="S803" s="165"/>
      <c r="T803" s="165"/>
      <c r="U803" s="165"/>
      <c r="V803" s="165"/>
      <c r="W803" s="165"/>
      <c r="X803" s="165"/>
      <c r="Y803" s="165"/>
      <c r="Z803" s="165"/>
    </row>
    <row r="804" spans="16:26" ht="10.199999999999999" customHeight="1">
      <c r="P804" s="165"/>
      <c r="Q804" s="165"/>
      <c r="R804" s="165"/>
      <c r="S804" s="165"/>
      <c r="T804" s="165"/>
      <c r="U804" s="165"/>
      <c r="V804" s="165"/>
      <c r="W804" s="165"/>
      <c r="X804" s="165"/>
      <c r="Y804" s="165"/>
      <c r="Z804" s="165"/>
    </row>
    <row r="805" spans="16:26" ht="10.199999999999999" customHeight="1">
      <c r="P805" s="165"/>
      <c r="Q805" s="165"/>
      <c r="R805" s="165"/>
      <c r="S805" s="165"/>
      <c r="T805" s="165"/>
      <c r="U805" s="165"/>
      <c r="V805" s="165"/>
      <c r="W805" s="165"/>
      <c r="X805" s="165"/>
      <c r="Y805" s="165"/>
      <c r="Z805" s="165"/>
    </row>
    <row r="806" spans="16:26" ht="10.199999999999999" customHeight="1">
      <c r="P806" s="165"/>
      <c r="Q806" s="165"/>
      <c r="R806" s="165"/>
      <c r="S806" s="165"/>
      <c r="T806" s="165"/>
      <c r="U806" s="165"/>
      <c r="V806" s="165"/>
      <c r="W806" s="165"/>
      <c r="X806" s="165"/>
      <c r="Y806" s="165"/>
      <c r="Z806" s="165"/>
    </row>
    <row r="807" spans="16:26" ht="10.199999999999999" customHeight="1">
      <c r="P807" s="165"/>
      <c r="Q807" s="165"/>
      <c r="R807" s="165"/>
      <c r="S807" s="165"/>
      <c r="T807" s="165"/>
      <c r="U807" s="165"/>
      <c r="V807" s="165"/>
      <c r="W807" s="165"/>
      <c r="X807" s="165"/>
      <c r="Y807" s="165"/>
      <c r="Z807" s="165"/>
    </row>
    <row r="808" spans="16:26" ht="10.199999999999999" customHeight="1">
      <c r="P808" s="165"/>
      <c r="Q808" s="165"/>
      <c r="R808" s="165"/>
      <c r="S808" s="165"/>
      <c r="T808" s="165"/>
      <c r="U808" s="165"/>
      <c r="V808" s="165"/>
      <c r="W808" s="165"/>
      <c r="X808" s="165"/>
      <c r="Y808" s="165"/>
      <c r="Z808" s="165"/>
    </row>
    <row r="809" spans="16:26" ht="10.199999999999999" customHeight="1">
      <c r="P809" s="165"/>
      <c r="Q809" s="165"/>
      <c r="R809" s="165"/>
      <c r="S809" s="165"/>
      <c r="T809" s="165"/>
      <c r="U809" s="165"/>
      <c r="V809" s="165"/>
      <c r="W809" s="165"/>
      <c r="X809" s="165"/>
      <c r="Y809" s="165"/>
      <c r="Z809" s="165"/>
    </row>
    <row r="810" spans="16:26" ht="10.199999999999999" customHeight="1">
      <c r="P810" s="165"/>
      <c r="Q810" s="165"/>
      <c r="R810" s="165"/>
      <c r="S810" s="165"/>
      <c r="T810" s="165"/>
      <c r="U810" s="165"/>
      <c r="V810" s="165"/>
      <c r="W810" s="165"/>
      <c r="X810" s="165"/>
      <c r="Y810" s="165"/>
      <c r="Z810" s="165"/>
    </row>
    <row r="811" spans="16:26" ht="10.199999999999999" customHeight="1">
      <c r="P811" s="165"/>
      <c r="Q811" s="165"/>
      <c r="R811" s="165"/>
      <c r="S811" s="165"/>
      <c r="T811" s="165"/>
      <c r="U811" s="165"/>
      <c r="V811" s="165"/>
      <c r="W811" s="165"/>
      <c r="X811" s="165"/>
      <c r="Y811" s="165"/>
      <c r="Z811" s="165"/>
    </row>
    <row r="812" spans="16:26" ht="10.199999999999999" customHeight="1">
      <c r="P812" s="165"/>
      <c r="Q812" s="165"/>
      <c r="R812" s="165"/>
      <c r="S812" s="165"/>
      <c r="T812" s="165"/>
      <c r="U812" s="165"/>
      <c r="V812" s="165"/>
      <c r="W812" s="165"/>
      <c r="X812" s="165"/>
      <c r="Y812" s="165"/>
      <c r="Z812" s="165"/>
    </row>
    <row r="813" spans="16:26" ht="10.199999999999999" customHeight="1">
      <c r="P813" s="165"/>
      <c r="Q813" s="165"/>
      <c r="R813" s="165"/>
      <c r="S813" s="165"/>
      <c r="T813" s="165"/>
      <c r="U813" s="165"/>
      <c r="V813" s="165"/>
      <c r="W813" s="165"/>
      <c r="X813" s="165"/>
      <c r="Y813" s="165"/>
      <c r="Z813" s="165"/>
    </row>
    <row r="814" spans="16:26" ht="10.199999999999999" customHeight="1">
      <c r="P814" s="165"/>
      <c r="Q814" s="165"/>
      <c r="R814" s="165"/>
      <c r="S814" s="165"/>
      <c r="T814" s="165"/>
      <c r="U814" s="165"/>
      <c r="V814" s="165"/>
      <c r="W814" s="165"/>
      <c r="X814" s="165"/>
      <c r="Y814" s="165"/>
      <c r="Z814" s="165"/>
    </row>
    <row r="815" spans="16:26" ht="10.199999999999999" customHeight="1">
      <c r="P815" s="165"/>
      <c r="Q815" s="165"/>
      <c r="R815" s="165"/>
      <c r="S815" s="165"/>
      <c r="T815" s="165"/>
      <c r="U815" s="165"/>
      <c r="V815" s="165"/>
      <c r="W815" s="165"/>
      <c r="X815" s="165"/>
      <c r="Y815" s="165"/>
      <c r="Z815" s="165"/>
    </row>
    <row r="816" spans="16:26" ht="10.199999999999999" customHeight="1">
      <c r="P816" s="165"/>
      <c r="Q816" s="165"/>
      <c r="R816" s="165"/>
      <c r="S816" s="165"/>
      <c r="T816" s="165"/>
      <c r="U816" s="165"/>
      <c r="V816" s="165"/>
      <c r="W816" s="165"/>
      <c r="X816" s="165"/>
      <c r="Y816" s="165"/>
      <c r="Z816" s="165"/>
    </row>
    <row r="817" spans="16:26" ht="10.199999999999999" customHeight="1">
      <c r="P817" s="165"/>
      <c r="Q817" s="165"/>
      <c r="R817" s="165"/>
      <c r="S817" s="165"/>
      <c r="T817" s="165"/>
      <c r="U817" s="165"/>
      <c r="V817" s="165"/>
      <c r="W817" s="165"/>
      <c r="X817" s="165"/>
      <c r="Y817" s="165"/>
      <c r="Z817" s="165"/>
    </row>
    <row r="818" spans="16:26" ht="10.199999999999999" customHeight="1">
      <c r="P818" s="165"/>
      <c r="Q818" s="165"/>
      <c r="R818" s="165"/>
      <c r="S818" s="165"/>
      <c r="T818" s="165"/>
      <c r="U818" s="165"/>
      <c r="V818" s="165"/>
      <c r="W818" s="165"/>
      <c r="X818" s="165"/>
      <c r="Y818" s="165"/>
      <c r="Z818" s="165"/>
    </row>
    <row r="819" spans="16:26" ht="10.199999999999999" customHeight="1">
      <c r="P819" s="165"/>
      <c r="Q819" s="165"/>
      <c r="R819" s="165"/>
      <c r="S819" s="165"/>
      <c r="T819" s="165"/>
      <c r="U819" s="165"/>
      <c r="V819" s="165"/>
      <c r="W819" s="165"/>
      <c r="X819" s="165"/>
      <c r="Y819" s="165"/>
      <c r="Z819" s="165"/>
    </row>
    <row r="820" spans="16:26" ht="10.199999999999999" customHeight="1">
      <c r="P820" s="165"/>
      <c r="Q820" s="165"/>
      <c r="R820" s="165"/>
      <c r="S820" s="165"/>
      <c r="T820" s="165"/>
      <c r="U820" s="165"/>
      <c r="V820" s="165"/>
      <c r="W820" s="165"/>
      <c r="X820" s="165"/>
      <c r="Y820" s="165"/>
      <c r="Z820" s="165"/>
    </row>
    <row r="821" spans="16:26" ht="10.199999999999999" customHeight="1">
      <c r="P821" s="165"/>
      <c r="Q821" s="165"/>
      <c r="R821" s="165"/>
      <c r="S821" s="165"/>
      <c r="T821" s="165"/>
      <c r="U821" s="165"/>
      <c r="V821" s="165"/>
      <c r="W821" s="165"/>
      <c r="X821" s="165"/>
      <c r="Y821" s="165"/>
      <c r="Z821" s="165"/>
    </row>
    <row r="822" spans="16:26" ht="10.199999999999999" customHeight="1">
      <c r="P822" s="165"/>
      <c r="Q822" s="165"/>
      <c r="R822" s="165"/>
      <c r="S822" s="165"/>
      <c r="T822" s="165"/>
      <c r="U822" s="165"/>
      <c r="V822" s="165"/>
      <c r="W822" s="165"/>
      <c r="X822" s="165"/>
      <c r="Y822" s="165"/>
      <c r="Z822" s="165"/>
    </row>
    <row r="823" spans="16:26" ht="10.199999999999999" customHeight="1">
      <c r="P823" s="165"/>
      <c r="Q823" s="165"/>
      <c r="R823" s="165"/>
      <c r="S823" s="165"/>
      <c r="T823" s="165"/>
      <c r="U823" s="165"/>
      <c r="V823" s="165"/>
      <c r="W823" s="165"/>
      <c r="X823" s="165"/>
      <c r="Y823" s="165"/>
      <c r="Z823" s="165"/>
    </row>
    <row r="824" spans="16:26" ht="10.199999999999999" customHeight="1">
      <c r="P824" s="165"/>
      <c r="Q824" s="165"/>
      <c r="R824" s="165"/>
      <c r="S824" s="165"/>
      <c r="T824" s="165"/>
      <c r="U824" s="165"/>
      <c r="V824" s="165"/>
      <c r="W824" s="165"/>
      <c r="X824" s="165"/>
      <c r="Y824" s="165"/>
      <c r="Z824" s="165"/>
    </row>
    <row r="825" spans="16:26" ht="10.199999999999999" customHeight="1">
      <c r="P825" s="165"/>
      <c r="Q825" s="165"/>
      <c r="R825" s="165"/>
      <c r="S825" s="165"/>
      <c r="T825" s="165"/>
      <c r="U825" s="165"/>
      <c r="V825" s="165"/>
      <c r="W825" s="165"/>
      <c r="X825" s="165"/>
      <c r="Y825" s="165"/>
      <c r="Z825" s="165"/>
    </row>
    <row r="826" spans="16:26" ht="10.199999999999999" customHeight="1">
      <c r="P826" s="165"/>
      <c r="Q826" s="165"/>
      <c r="R826" s="165"/>
      <c r="S826" s="165"/>
      <c r="T826" s="165"/>
      <c r="U826" s="165"/>
      <c r="V826" s="165"/>
      <c r="W826" s="165"/>
      <c r="X826" s="165"/>
      <c r="Y826" s="165"/>
      <c r="Z826" s="165"/>
    </row>
    <row r="827" spans="16:26" ht="10.199999999999999" customHeight="1">
      <c r="P827" s="165"/>
      <c r="Q827" s="165"/>
      <c r="R827" s="165"/>
      <c r="S827" s="165"/>
      <c r="T827" s="165"/>
      <c r="U827" s="165"/>
      <c r="V827" s="165"/>
      <c r="W827" s="165"/>
      <c r="X827" s="165"/>
      <c r="Y827" s="165"/>
      <c r="Z827" s="165"/>
    </row>
    <row r="828" spans="16:26" ht="10.199999999999999" customHeight="1">
      <c r="P828" s="165"/>
      <c r="Q828" s="165"/>
      <c r="R828" s="165"/>
      <c r="S828" s="165"/>
      <c r="T828" s="165"/>
      <c r="U828" s="165"/>
      <c r="V828" s="165"/>
      <c r="W828" s="165"/>
      <c r="X828" s="165"/>
      <c r="Y828" s="165"/>
      <c r="Z828" s="165"/>
    </row>
    <row r="829" spans="16:26" ht="10.199999999999999" customHeight="1">
      <c r="P829" s="165"/>
      <c r="Q829" s="165"/>
      <c r="R829" s="165"/>
      <c r="S829" s="165"/>
      <c r="T829" s="165"/>
      <c r="U829" s="165"/>
      <c r="V829" s="165"/>
      <c r="W829" s="165"/>
      <c r="X829" s="165"/>
      <c r="Y829" s="165"/>
      <c r="Z829" s="165"/>
    </row>
    <row r="830" spans="16:26" ht="10.199999999999999" customHeight="1">
      <c r="P830" s="165"/>
      <c r="Q830" s="165"/>
      <c r="R830" s="165"/>
      <c r="S830" s="165"/>
      <c r="T830" s="165"/>
      <c r="U830" s="165"/>
      <c r="V830" s="165"/>
      <c r="W830" s="165"/>
      <c r="X830" s="165"/>
      <c r="Y830" s="165"/>
      <c r="Z830" s="165"/>
    </row>
    <row r="831" spans="16:26" ht="10.199999999999999" customHeight="1">
      <c r="P831" s="165"/>
      <c r="Q831" s="165"/>
      <c r="R831" s="165"/>
      <c r="S831" s="165"/>
      <c r="T831" s="165"/>
      <c r="U831" s="165"/>
      <c r="V831" s="165"/>
      <c r="W831" s="165"/>
      <c r="X831" s="165"/>
      <c r="Y831" s="165"/>
      <c r="Z831" s="165"/>
    </row>
    <row r="832" spans="16:26" ht="10.199999999999999" customHeight="1">
      <c r="P832" s="165"/>
      <c r="Q832" s="165"/>
      <c r="R832" s="165"/>
      <c r="S832" s="165"/>
      <c r="T832" s="165"/>
      <c r="U832" s="165"/>
      <c r="V832" s="165"/>
      <c r="W832" s="165"/>
      <c r="X832" s="165"/>
      <c r="Y832" s="165"/>
      <c r="Z832" s="165"/>
    </row>
    <row r="833" spans="16:26" ht="10.199999999999999" customHeight="1">
      <c r="P833" s="165"/>
      <c r="Q833" s="165"/>
      <c r="R833" s="165"/>
      <c r="S833" s="165"/>
      <c r="T833" s="165"/>
      <c r="U833" s="165"/>
      <c r="V833" s="165"/>
      <c r="W833" s="165"/>
      <c r="X833" s="165"/>
      <c r="Y833" s="165"/>
      <c r="Z833" s="165"/>
    </row>
    <row r="834" spans="16:26" ht="10.199999999999999" customHeight="1">
      <c r="P834" s="165"/>
      <c r="Q834" s="165"/>
      <c r="R834" s="165"/>
      <c r="S834" s="165"/>
      <c r="T834" s="165"/>
      <c r="U834" s="165"/>
      <c r="V834" s="165"/>
      <c r="W834" s="165"/>
      <c r="X834" s="165"/>
      <c r="Y834" s="165"/>
      <c r="Z834" s="165"/>
    </row>
    <row r="835" spans="16:26" ht="10.199999999999999" customHeight="1">
      <c r="P835" s="165"/>
      <c r="Q835" s="165"/>
      <c r="R835" s="165"/>
      <c r="S835" s="165"/>
      <c r="T835" s="165"/>
      <c r="U835" s="165"/>
      <c r="V835" s="165"/>
      <c r="W835" s="165"/>
      <c r="X835" s="165"/>
      <c r="Y835" s="165"/>
      <c r="Z835" s="165"/>
    </row>
    <row r="836" spans="16:26" ht="10.199999999999999" customHeight="1">
      <c r="P836" s="165"/>
      <c r="Q836" s="165"/>
      <c r="R836" s="165"/>
      <c r="S836" s="165"/>
      <c r="T836" s="165"/>
      <c r="U836" s="165"/>
      <c r="V836" s="165"/>
      <c r="W836" s="165"/>
      <c r="X836" s="165"/>
      <c r="Y836" s="165"/>
      <c r="Z836" s="165"/>
    </row>
    <row r="837" spans="16:26" ht="10.199999999999999" customHeight="1">
      <c r="P837" s="165"/>
      <c r="Q837" s="165"/>
      <c r="R837" s="165"/>
      <c r="S837" s="165"/>
      <c r="T837" s="165"/>
      <c r="U837" s="165"/>
      <c r="V837" s="165"/>
      <c r="W837" s="165"/>
      <c r="X837" s="165"/>
      <c r="Y837" s="165"/>
      <c r="Z837" s="165"/>
    </row>
    <row r="838" spans="16:26" ht="10.199999999999999" customHeight="1">
      <c r="P838" s="165"/>
      <c r="Q838" s="165"/>
      <c r="R838" s="165"/>
      <c r="S838" s="165"/>
      <c r="T838" s="165"/>
      <c r="U838" s="165"/>
      <c r="V838" s="165"/>
      <c r="W838" s="165"/>
      <c r="X838" s="165"/>
      <c r="Y838" s="165"/>
      <c r="Z838" s="165"/>
    </row>
    <row r="839" spans="16:26" ht="10.199999999999999" customHeight="1">
      <c r="P839" s="165"/>
      <c r="Q839" s="165"/>
      <c r="R839" s="165"/>
      <c r="S839" s="165"/>
      <c r="T839" s="165"/>
      <c r="U839" s="165"/>
      <c r="V839" s="165"/>
      <c r="W839" s="165"/>
      <c r="X839" s="165"/>
      <c r="Y839" s="165"/>
      <c r="Z839" s="165"/>
    </row>
    <row r="840" spans="16:26" ht="10.199999999999999" customHeight="1">
      <c r="P840" s="165"/>
      <c r="Q840" s="165"/>
      <c r="R840" s="165"/>
      <c r="S840" s="165"/>
      <c r="T840" s="165"/>
      <c r="U840" s="165"/>
      <c r="V840" s="165"/>
      <c r="W840" s="165"/>
      <c r="X840" s="165"/>
      <c r="Y840" s="165"/>
      <c r="Z840" s="165"/>
    </row>
    <row r="841" spans="16:26" ht="10.199999999999999" customHeight="1">
      <c r="P841" s="165"/>
      <c r="Q841" s="165"/>
      <c r="R841" s="165"/>
      <c r="S841" s="165"/>
      <c r="T841" s="165"/>
      <c r="U841" s="165"/>
      <c r="V841" s="165"/>
      <c r="W841" s="165"/>
      <c r="X841" s="165"/>
      <c r="Y841" s="165"/>
      <c r="Z841" s="165"/>
    </row>
    <row r="842" spans="16:26" ht="10.199999999999999" customHeight="1">
      <c r="P842" s="165"/>
      <c r="Q842" s="165"/>
      <c r="R842" s="165"/>
      <c r="S842" s="165"/>
      <c r="T842" s="165"/>
      <c r="U842" s="165"/>
      <c r="V842" s="165"/>
      <c r="W842" s="165"/>
      <c r="X842" s="165"/>
      <c r="Y842" s="165"/>
      <c r="Z842" s="165"/>
    </row>
    <row r="843" spans="16:26" ht="10.199999999999999" customHeight="1">
      <c r="P843" s="165"/>
      <c r="Q843" s="165"/>
      <c r="R843" s="165"/>
      <c r="S843" s="165"/>
      <c r="T843" s="165"/>
      <c r="U843" s="165"/>
      <c r="V843" s="165"/>
      <c r="W843" s="165"/>
      <c r="X843" s="165"/>
      <c r="Y843" s="165"/>
      <c r="Z843" s="165"/>
    </row>
    <row r="844" spans="16:26" ht="10.199999999999999" customHeight="1">
      <c r="P844" s="165"/>
      <c r="Q844" s="165"/>
      <c r="R844" s="165"/>
      <c r="S844" s="165"/>
      <c r="T844" s="165"/>
      <c r="U844" s="165"/>
      <c r="V844" s="165"/>
      <c r="W844" s="165"/>
      <c r="X844" s="165"/>
      <c r="Y844" s="165"/>
      <c r="Z844" s="165"/>
    </row>
    <row r="845" spans="16:26" ht="10.199999999999999" customHeight="1">
      <c r="P845" s="165"/>
      <c r="Q845" s="165"/>
      <c r="R845" s="165"/>
      <c r="S845" s="165"/>
      <c r="T845" s="165"/>
      <c r="U845" s="165"/>
      <c r="V845" s="165"/>
      <c r="W845" s="165"/>
      <c r="X845" s="165"/>
      <c r="Y845" s="165"/>
      <c r="Z845" s="165"/>
    </row>
    <row r="846" spans="16:26" ht="10.199999999999999" customHeight="1">
      <c r="P846" s="165"/>
      <c r="Q846" s="165"/>
      <c r="R846" s="165"/>
      <c r="S846" s="165"/>
      <c r="T846" s="165"/>
      <c r="U846" s="165"/>
      <c r="V846" s="165"/>
      <c r="W846" s="165"/>
      <c r="X846" s="165"/>
      <c r="Y846" s="165"/>
      <c r="Z846" s="165"/>
    </row>
    <row r="847" spans="16:26" ht="10.199999999999999" customHeight="1">
      <c r="P847" s="165"/>
      <c r="Q847" s="165"/>
      <c r="R847" s="165"/>
      <c r="S847" s="165"/>
      <c r="T847" s="165"/>
      <c r="U847" s="165"/>
      <c r="V847" s="165"/>
      <c r="W847" s="165"/>
      <c r="X847" s="165"/>
      <c r="Y847" s="165"/>
      <c r="Z847" s="165"/>
    </row>
    <row r="848" spans="16:26" ht="10.199999999999999" customHeight="1">
      <c r="P848" s="165"/>
      <c r="Q848" s="165"/>
      <c r="R848" s="165"/>
      <c r="S848" s="165"/>
      <c r="T848" s="165"/>
      <c r="U848" s="165"/>
      <c r="V848" s="165"/>
      <c r="W848" s="165"/>
      <c r="X848" s="165"/>
      <c r="Y848" s="165"/>
      <c r="Z848" s="165"/>
    </row>
    <row r="849" spans="16:26" ht="10.199999999999999" customHeight="1">
      <c r="P849" s="165"/>
      <c r="Q849" s="165"/>
      <c r="R849" s="165"/>
      <c r="S849" s="165"/>
      <c r="T849" s="165"/>
      <c r="U849" s="165"/>
      <c r="V849" s="165"/>
      <c r="W849" s="165"/>
      <c r="X849" s="165"/>
      <c r="Y849" s="165"/>
      <c r="Z849" s="165"/>
    </row>
    <row r="850" spans="16:26" ht="10.199999999999999" customHeight="1">
      <c r="P850" s="165"/>
      <c r="Q850" s="165"/>
      <c r="R850" s="165"/>
      <c r="S850" s="165"/>
      <c r="T850" s="165"/>
      <c r="U850" s="165"/>
      <c r="V850" s="165"/>
      <c r="W850" s="165"/>
      <c r="X850" s="165"/>
      <c r="Y850" s="165"/>
      <c r="Z850" s="165"/>
    </row>
    <row r="851" spans="16:26" ht="10.199999999999999" customHeight="1">
      <c r="P851" s="165"/>
      <c r="Q851" s="165"/>
      <c r="R851" s="165"/>
      <c r="S851" s="165"/>
      <c r="T851" s="165"/>
      <c r="U851" s="165"/>
      <c r="V851" s="165"/>
      <c r="W851" s="165"/>
      <c r="X851" s="165"/>
      <c r="Y851" s="165"/>
      <c r="Z851" s="165"/>
    </row>
    <row r="852" spans="16:26" ht="10.199999999999999" customHeight="1">
      <c r="P852" s="165"/>
      <c r="Q852" s="165"/>
      <c r="R852" s="165"/>
      <c r="S852" s="165"/>
      <c r="T852" s="165"/>
      <c r="U852" s="165"/>
      <c r="V852" s="165"/>
      <c r="W852" s="165"/>
      <c r="X852" s="165"/>
      <c r="Y852" s="165"/>
      <c r="Z852" s="165"/>
    </row>
    <row r="853" spans="16:26" ht="10.199999999999999" customHeight="1">
      <c r="P853" s="165"/>
      <c r="Q853" s="165"/>
      <c r="R853" s="165"/>
      <c r="S853" s="165"/>
      <c r="T853" s="165"/>
      <c r="U853" s="165"/>
      <c r="V853" s="165"/>
      <c r="W853" s="165"/>
      <c r="X853" s="165"/>
      <c r="Y853" s="165"/>
      <c r="Z853" s="165"/>
    </row>
    <row r="854" spans="16:26" ht="10.199999999999999" customHeight="1">
      <c r="P854" s="165"/>
      <c r="Q854" s="165"/>
      <c r="R854" s="165"/>
      <c r="S854" s="165"/>
      <c r="T854" s="165"/>
      <c r="U854" s="165"/>
      <c r="V854" s="165"/>
      <c r="W854" s="165"/>
      <c r="X854" s="165"/>
      <c r="Y854" s="165"/>
      <c r="Z854" s="165"/>
    </row>
    <row r="855" spans="16:26" ht="10.199999999999999" customHeight="1">
      <c r="P855" s="165"/>
      <c r="Q855" s="165"/>
      <c r="R855" s="165"/>
      <c r="S855" s="165"/>
      <c r="T855" s="165"/>
      <c r="U855" s="165"/>
      <c r="V855" s="165"/>
      <c r="W855" s="165"/>
      <c r="X855" s="165"/>
      <c r="Y855" s="165"/>
      <c r="Z855" s="165"/>
    </row>
    <row r="856" spans="16:26" ht="10.199999999999999" customHeight="1">
      <c r="P856" s="165"/>
      <c r="Q856" s="165"/>
      <c r="R856" s="165"/>
      <c r="S856" s="165"/>
      <c r="T856" s="165"/>
      <c r="U856" s="165"/>
      <c r="V856" s="165"/>
      <c r="W856" s="165"/>
      <c r="X856" s="165"/>
      <c r="Y856" s="165"/>
      <c r="Z856" s="165"/>
    </row>
    <row r="857" spans="16:26" ht="10.199999999999999" customHeight="1">
      <c r="P857" s="165"/>
      <c r="Q857" s="165"/>
      <c r="R857" s="165"/>
      <c r="S857" s="165"/>
      <c r="T857" s="165"/>
      <c r="U857" s="165"/>
      <c r="V857" s="165"/>
      <c r="W857" s="165"/>
      <c r="X857" s="165"/>
      <c r="Y857" s="165"/>
      <c r="Z857" s="165"/>
    </row>
    <row r="858" spans="16:26" ht="10.199999999999999" customHeight="1">
      <c r="P858" s="165"/>
      <c r="Q858" s="165"/>
      <c r="R858" s="165"/>
      <c r="S858" s="165"/>
      <c r="T858" s="165"/>
      <c r="U858" s="165"/>
      <c r="V858" s="165"/>
      <c r="W858" s="165"/>
      <c r="X858" s="165"/>
      <c r="Y858" s="165"/>
      <c r="Z858" s="165"/>
    </row>
    <row r="859" spans="16:26" ht="10.199999999999999" customHeight="1">
      <c r="P859" s="165"/>
      <c r="Q859" s="165"/>
      <c r="R859" s="165"/>
      <c r="S859" s="165"/>
      <c r="T859" s="165"/>
      <c r="U859" s="165"/>
      <c r="V859" s="165"/>
      <c r="W859" s="165"/>
      <c r="X859" s="165"/>
      <c r="Y859" s="165"/>
      <c r="Z859" s="165"/>
    </row>
    <row r="860" spans="16:26" ht="10.199999999999999" customHeight="1">
      <c r="P860" s="165"/>
      <c r="Q860" s="165"/>
      <c r="R860" s="165"/>
      <c r="S860" s="165"/>
      <c r="T860" s="165"/>
      <c r="U860" s="165"/>
      <c r="V860" s="165"/>
      <c r="W860" s="165"/>
      <c r="X860" s="165"/>
      <c r="Y860" s="165"/>
      <c r="Z860" s="165"/>
    </row>
    <row r="861" spans="16:26" ht="10.199999999999999" customHeight="1">
      <c r="P861" s="165"/>
      <c r="Q861" s="165"/>
      <c r="R861" s="165"/>
      <c r="S861" s="165"/>
      <c r="T861" s="165"/>
      <c r="U861" s="165"/>
      <c r="V861" s="165"/>
      <c r="W861" s="165"/>
      <c r="X861" s="165"/>
      <c r="Y861" s="165"/>
      <c r="Z861" s="165"/>
    </row>
    <row r="862" spans="16:26" ht="10.199999999999999" customHeight="1">
      <c r="P862" s="165"/>
      <c r="Q862" s="165"/>
      <c r="R862" s="165"/>
      <c r="S862" s="165"/>
      <c r="T862" s="165"/>
      <c r="U862" s="165"/>
      <c r="V862" s="165"/>
      <c r="W862" s="165"/>
      <c r="X862" s="165"/>
      <c r="Y862" s="165"/>
      <c r="Z862" s="165"/>
    </row>
    <row r="863" spans="16:26" ht="10.199999999999999" customHeight="1">
      <c r="P863" s="165"/>
      <c r="Q863" s="165"/>
      <c r="R863" s="165"/>
      <c r="S863" s="165"/>
      <c r="T863" s="165"/>
      <c r="U863" s="165"/>
      <c r="V863" s="165"/>
      <c r="W863" s="165"/>
      <c r="X863" s="165"/>
      <c r="Y863" s="165"/>
      <c r="Z863" s="165"/>
    </row>
    <row r="864" spans="16:26" ht="10.199999999999999" customHeight="1">
      <c r="P864" s="165"/>
      <c r="Q864" s="165"/>
      <c r="R864" s="165"/>
      <c r="S864" s="165"/>
      <c r="T864" s="165"/>
      <c r="U864" s="165"/>
      <c r="V864" s="165"/>
      <c r="W864" s="165"/>
      <c r="X864" s="165"/>
      <c r="Y864" s="165"/>
      <c r="Z864" s="165"/>
    </row>
    <row r="865" spans="16:26" ht="10.199999999999999" customHeight="1">
      <c r="P865" s="165"/>
      <c r="Q865" s="165"/>
      <c r="R865" s="165"/>
      <c r="S865" s="165"/>
      <c r="T865" s="165"/>
      <c r="U865" s="165"/>
      <c r="V865" s="165"/>
      <c r="W865" s="165"/>
      <c r="X865" s="165"/>
      <c r="Y865" s="165"/>
      <c r="Z865" s="165"/>
    </row>
    <row r="866" spans="16:26" ht="10.199999999999999" customHeight="1">
      <c r="P866" s="165"/>
      <c r="Q866" s="165"/>
      <c r="R866" s="165"/>
      <c r="S866" s="165"/>
      <c r="T866" s="165"/>
      <c r="U866" s="165"/>
      <c r="V866" s="165"/>
      <c r="W866" s="165"/>
      <c r="X866" s="165"/>
      <c r="Y866" s="165"/>
      <c r="Z866" s="165"/>
    </row>
    <row r="867" spans="16:26" ht="10.199999999999999" customHeight="1">
      <c r="P867" s="165"/>
      <c r="Q867" s="165"/>
      <c r="R867" s="165"/>
      <c r="S867" s="165"/>
      <c r="T867" s="165"/>
      <c r="U867" s="165"/>
      <c r="V867" s="165"/>
      <c r="W867" s="165"/>
      <c r="X867" s="165"/>
      <c r="Y867" s="165"/>
      <c r="Z867" s="165"/>
    </row>
    <row r="868" spans="16:26" ht="10.199999999999999" customHeight="1">
      <c r="P868" s="165"/>
      <c r="Q868" s="165"/>
      <c r="R868" s="165"/>
      <c r="S868" s="165"/>
      <c r="T868" s="165"/>
      <c r="U868" s="165"/>
      <c r="V868" s="165"/>
      <c r="W868" s="165"/>
      <c r="X868" s="165"/>
      <c r="Y868" s="165"/>
      <c r="Z868" s="165"/>
    </row>
    <row r="869" spans="16:26" ht="10.199999999999999" customHeight="1">
      <c r="P869" s="165"/>
      <c r="Q869" s="165"/>
      <c r="R869" s="165"/>
      <c r="S869" s="165"/>
      <c r="T869" s="165"/>
      <c r="U869" s="165"/>
      <c r="V869" s="165"/>
      <c r="W869" s="165"/>
      <c r="X869" s="165"/>
      <c r="Y869" s="165"/>
      <c r="Z869" s="165"/>
    </row>
    <row r="870" spans="16:26" ht="10.199999999999999" customHeight="1">
      <c r="P870" s="165"/>
      <c r="Q870" s="165"/>
      <c r="R870" s="165"/>
      <c r="S870" s="165"/>
      <c r="T870" s="165"/>
      <c r="U870" s="165"/>
      <c r="V870" s="165"/>
      <c r="W870" s="165"/>
      <c r="X870" s="165"/>
      <c r="Y870" s="165"/>
      <c r="Z870" s="165"/>
    </row>
    <row r="871" spans="16:26" ht="10.199999999999999" customHeight="1">
      <c r="P871" s="165"/>
      <c r="Q871" s="165"/>
      <c r="R871" s="165"/>
      <c r="S871" s="165"/>
      <c r="T871" s="165"/>
      <c r="U871" s="165"/>
      <c r="V871" s="165"/>
      <c r="W871" s="165"/>
      <c r="X871" s="165"/>
      <c r="Y871" s="165"/>
      <c r="Z871" s="165"/>
    </row>
    <row r="872" spans="16:26" ht="10.199999999999999" customHeight="1">
      <c r="P872" s="165"/>
      <c r="Q872" s="165"/>
      <c r="R872" s="165"/>
      <c r="S872" s="165"/>
      <c r="T872" s="165"/>
      <c r="U872" s="165"/>
      <c r="V872" s="165"/>
      <c r="W872" s="165"/>
      <c r="X872" s="165"/>
      <c r="Y872" s="165"/>
      <c r="Z872" s="165"/>
    </row>
    <row r="873" spans="16:26" ht="10.199999999999999" customHeight="1">
      <c r="P873" s="165"/>
      <c r="Q873" s="165"/>
      <c r="R873" s="165"/>
      <c r="S873" s="165"/>
      <c r="T873" s="165"/>
      <c r="U873" s="165"/>
      <c r="V873" s="165"/>
      <c r="W873" s="165"/>
      <c r="X873" s="165"/>
      <c r="Y873" s="165"/>
      <c r="Z873" s="165"/>
    </row>
    <row r="874" spans="16:26" ht="10.199999999999999" customHeight="1">
      <c r="P874" s="165"/>
      <c r="Q874" s="165"/>
      <c r="R874" s="165"/>
      <c r="S874" s="165"/>
      <c r="T874" s="165"/>
      <c r="U874" s="165"/>
      <c r="V874" s="165"/>
      <c r="W874" s="165"/>
      <c r="X874" s="165"/>
      <c r="Y874" s="165"/>
      <c r="Z874" s="165"/>
    </row>
    <row r="875" spans="16:26" ht="10.199999999999999" customHeight="1">
      <c r="P875" s="165"/>
      <c r="Q875" s="165"/>
      <c r="R875" s="165"/>
      <c r="S875" s="165"/>
      <c r="T875" s="165"/>
      <c r="U875" s="165"/>
      <c r="V875" s="165"/>
      <c r="W875" s="165"/>
      <c r="X875" s="165"/>
      <c r="Y875" s="165"/>
      <c r="Z875" s="165"/>
    </row>
    <row r="876" spans="16:26" ht="10.199999999999999" customHeight="1">
      <c r="P876" s="165"/>
      <c r="Q876" s="165"/>
      <c r="R876" s="165"/>
      <c r="S876" s="165"/>
      <c r="T876" s="165"/>
      <c r="U876" s="165"/>
      <c r="V876" s="165"/>
      <c r="W876" s="165"/>
      <c r="X876" s="165"/>
      <c r="Y876" s="165"/>
      <c r="Z876" s="165"/>
    </row>
    <row r="877" spans="16:26" ht="10.199999999999999" customHeight="1">
      <c r="P877" s="165"/>
      <c r="Q877" s="165"/>
      <c r="R877" s="165"/>
      <c r="S877" s="165"/>
      <c r="T877" s="165"/>
      <c r="U877" s="165"/>
      <c r="V877" s="165"/>
      <c r="W877" s="165"/>
      <c r="X877" s="165"/>
      <c r="Y877" s="165"/>
      <c r="Z877" s="165"/>
    </row>
    <row r="878" spans="16:26" ht="10.199999999999999" customHeight="1">
      <c r="P878" s="165"/>
      <c r="Q878" s="165"/>
      <c r="R878" s="165"/>
      <c r="S878" s="165"/>
      <c r="T878" s="165"/>
      <c r="U878" s="165"/>
      <c r="V878" s="165"/>
      <c r="W878" s="165"/>
      <c r="X878" s="165"/>
      <c r="Y878" s="165"/>
      <c r="Z878" s="165"/>
    </row>
    <row r="879" spans="16:26" ht="10.199999999999999" customHeight="1">
      <c r="P879" s="165"/>
      <c r="Q879" s="165"/>
      <c r="R879" s="165"/>
      <c r="S879" s="165"/>
      <c r="T879" s="165"/>
      <c r="U879" s="165"/>
      <c r="V879" s="165"/>
      <c r="W879" s="165"/>
      <c r="X879" s="165"/>
      <c r="Y879" s="165"/>
      <c r="Z879" s="165"/>
    </row>
    <row r="880" spans="16:26" ht="10.199999999999999" customHeight="1">
      <c r="P880" s="165"/>
      <c r="Q880" s="165"/>
      <c r="R880" s="165"/>
      <c r="S880" s="165"/>
      <c r="T880" s="165"/>
      <c r="U880" s="165"/>
      <c r="V880" s="165"/>
      <c r="W880" s="165"/>
      <c r="X880" s="165"/>
      <c r="Y880" s="165"/>
      <c r="Z880" s="165"/>
    </row>
    <row r="881" spans="16:26" ht="10.199999999999999" customHeight="1">
      <c r="P881" s="165"/>
      <c r="Q881" s="165"/>
      <c r="R881" s="165"/>
      <c r="S881" s="165"/>
      <c r="T881" s="165"/>
      <c r="U881" s="165"/>
      <c r="V881" s="165"/>
      <c r="W881" s="165"/>
      <c r="X881" s="165"/>
      <c r="Y881" s="165"/>
      <c r="Z881" s="165"/>
    </row>
    <row r="882" spans="16:26" ht="10.199999999999999" customHeight="1">
      <c r="P882" s="165"/>
      <c r="Q882" s="165"/>
      <c r="R882" s="165"/>
      <c r="S882" s="165"/>
      <c r="T882" s="165"/>
      <c r="U882" s="165"/>
      <c r="V882" s="165"/>
      <c r="W882" s="165"/>
      <c r="X882" s="165"/>
      <c r="Y882" s="165"/>
      <c r="Z882" s="165"/>
    </row>
    <row r="883" spans="16:26" ht="10.199999999999999" customHeight="1">
      <c r="P883" s="165"/>
      <c r="Q883" s="165"/>
      <c r="R883" s="165"/>
      <c r="S883" s="165"/>
      <c r="T883" s="165"/>
      <c r="U883" s="165"/>
      <c r="V883" s="165"/>
      <c r="W883" s="165"/>
      <c r="X883" s="165"/>
      <c r="Y883" s="165"/>
      <c r="Z883" s="165"/>
    </row>
    <row r="884" spans="16:26" ht="10.199999999999999" customHeight="1">
      <c r="P884" s="165"/>
      <c r="Q884" s="165"/>
      <c r="R884" s="165"/>
      <c r="S884" s="165"/>
      <c r="T884" s="165"/>
      <c r="U884" s="165"/>
      <c r="V884" s="165"/>
      <c r="W884" s="165"/>
      <c r="X884" s="165"/>
      <c r="Y884" s="165"/>
      <c r="Z884" s="165"/>
    </row>
  </sheetData>
  <sheetProtection password="83B1" sheet="1" objects="1" scenarios="1" selectLockedCells="1"/>
  <pageMargins left="0.75" right="0.75" top="1" bottom="1" header="0.5" footer="0.5"/>
  <pageSetup orientation="portrait" horizontalDpi="1200" verticalDpi="1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Z884"/>
  <sheetViews>
    <sheetView workbookViewId="0">
      <selection activeCell="P1" sqref="P1"/>
    </sheetView>
  </sheetViews>
  <sheetFormatPr defaultRowHeight="10.199999999999999" customHeight="1"/>
  <cols>
    <col min="1" max="15" width="8.88671875" style="98"/>
    <col min="16" max="26" width="8.88671875" style="166"/>
    <col min="27" max="16384" width="8.88671875" style="98"/>
  </cols>
  <sheetData>
    <row r="1" spans="2:26" ht="10.199999999999999" customHeight="1">
      <c r="B1" s="98" t="s">
        <v>144</v>
      </c>
      <c r="C1" s="98" t="s">
        <v>145</v>
      </c>
      <c r="D1" s="98" t="s">
        <v>146</v>
      </c>
      <c r="E1" s="98" t="s">
        <v>147</v>
      </c>
      <c r="F1" s="98" t="s">
        <v>148</v>
      </c>
      <c r="G1" s="98" t="s">
        <v>149</v>
      </c>
      <c r="H1" s="98" t="s">
        <v>150</v>
      </c>
      <c r="I1" s="98" t="s">
        <v>151</v>
      </c>
      <c r="J1" s="98" t="s">
        <v>152</v>
      </c>
      <c r="P1" s="167"/>
      <c r="Q1" s="167"/>
      <c r="R1" s="167"/>
      <c r="S1" s="167"/>
      <c r="T1" s="167"/>
      <c r="U1" s="167"/>
      <c r="V1" s="167"/>
      <c r="W1" s="167"/>
      <c r="X1" s="167"/>
      <c r="Y1" s="167"/>
      <c r="Z1" s="167"/>
    </row>
    <row r="2" spans="2:26" ht="10.199999999999999" customHeight="1">
      <c r="B2" s="98" t="s">
        <v>153</v>
      </c>
      <c r="C2" s="98" t="s">
        <v>154</v>
      </c>
      <c r="D2" s="98" t="s">
        <v>154</v>
      </c>
      <c r="E2" s="98" t="s">
        <v>155</v>
      </c>
      <c r="F2" s="98" t="s">
        <v>155</v>
      </c>
      <c r="G2" s="98" t="s">
        <v>156</v>
      </c>
      <c r="H2" s="98" t="s">
        <v>157</v>
      </c>
      <c r="I2" s="98" t="s">
        <v>158</v>
      </c>
      <c r="J2" s="98" t="s">
        <v>159</v>
      </c>
      <c r="K2" s="98" t="s">
        <v>160</v>
      </c>
      <c r="L2" s="98" t="s">
        <v>161</v>
      </c>
      <c r="P2" s="167"/>
      <c r="Q2" s="167"/>
      <c r="R2" s="167"/>
      <c r="S2" s="167"/>
      <c r="T2" s="167"/>
      <c r="U2" s="167"/>
      <c r="V2" s="167"/>
      <c r="W2" s="167"/>
      <c r="X2" s="167"/>
      <c r="Y2" s="167"/>
      <c r="Z2" s="167"/>
    </row>
    <row r="3" spans="2:26" ht="10.199999999999999" customHeight="1">
      <c r="P3" s="167"/>
      <c r="Q3" s="167"/>
      <c r="R3" s="167"/>
      <c r="S3" s="167"/>
      <c r="T3" s="167"/>
      <c r="U3" s="167"/>
      <c r="V3" s="167"/>
      <c r="W3" s="167"/>
      <c r="X3" s="167"/>
      <c r="Y3" s="167"/>
      <c r="Z3" s="167"/>
    </row>
    <row r="4" spans="2:26" ht="10.199999999999999" customHeight="1">
      <c r="B4" s="98" t="s">
        <v>162</v>
      </c>
      <c r="C4" s="95" t="str">
        <f ca="1">IF(P1="","","L"&amp;MID(INDIRECT("P"&amp;L4),6,2))</f>
        <v/>
      </c>
      <c r="D4" s="95" t="str">
        <f ca="1">IF(P1="","",MID(INDIRECT("P"&amp;L4),SEARCH("(",INDIRECT("P"&amp;L4),1)+1,3))</f>
        <v/>
      </c>
      <c r="E4" s="95" t="str">
        <f ca="1">IF(P1="","",MID(INDIRECT("P"&amp;L4),SEARCH(")",INDIRECT("P"&amp;L4),1)+2,LEN(INDIRECT("P"&amp;L4))))</f>
        <v/>
      </c>
      <c r="F4" s="95"/>
      <c r="G4" s="95"/>
      <c r="H4" s="95"/>
      <c r="I4" s="95"/>
      <c r="J4" s="95"/>
      <c r="K4" s="95"/>
      <c r="L4" s="95" t="str">
        <f>IF(P1="","",MATCH("CASE*",P1:P10,0))</f>
        <v/>
      </c>
      <c r="M4" s="99">
        <f>ROUND(COUNT(P:P)*1.6,0)</f>
        <v>0</v>
      </c>
      <c r="P4" s="167"/>
      <c r="Q4" s="167"/>
      <c r="R4" s="167"/>
      <c r="S4" s="167"/>
      <c r="T4" s="167"/>
      <c r="U4" s="167"/>
      <c r="V4" s="167"/>
      <c r="W4" s="167"/>
      <c r="X4" s="167"/>
      <c r="Y4" s="167"/>
      <c r="Z4" s="167"/>
    </row>
    <row r="5" spans="2:26" ht="10.199999999999999" customHeight="1">
      <c r="P5" s="167"/>
      <c r="Q5" s="167"/>
      <c r="R5" s="167"/>
      <c r="S5" s="167"/>
      <c r="T5" s="167"/>
      <c r="U5" s="167"/>
      <c r="V5" s="167"/>
      <c r="W5" s="167"/>
      <c r="X5" s="167"/>
      <c r="Y5" s="167"/>
      <c r="Z5" s="167"/>
    </row>
    <row r="6" spans="2:26" ht="10.199999999999999" customHeight="1">
      <c r="B6" s="97" t="str">
        <f>IF(Calculation!BE11="","",Calculation!BE11)</f>
        <v/>
      </c>
      <c r="C6" s="99" t="str">
        <f t="shared" ref="C6:L21" ca="1" si="0">IF($M$4=0,"",VLOOKUP($B6,INDIRECT("$P$1:$Z$"&amp;$M$4),COLUMN()-1,0))</f>
        <v/>
      </c>
      <c r="D6" s="99" t="str">
        <f t="shared" ca="1" si="0"/>
        <v/>
      </c>
      <c r="E6" s="99" t="str">
        <f t="shared" ca="1" si="0"/>
        <v/>
      </c>
      <c r="F6" s="99" t="str">
        <f t="shared" ca="1" si="0"/>
        <v/>
      </c>
      <c r="G6" s="99" t="str">
        <f t="shared" ca="1" si="0"/>
        <v/>
      </c>
      <c r="H6" s="99" t="str">
        <f t="shared" ca="1" si="0"/>
        <v/>
      </c>
      <c r="I6" s="99" t="str">
        <f t="shared" ca="1" si="0"/>
        <v/>
      </c>
      <c r="J6" s="99" t="str">
        <f t="shared" ca="1" si="0"/>
        <v/>
      </c>
      <c r="K6" s="99" t="str">
        <f t="shared" ca="1" si="0"/>
        <v/>
      </c>
      <c r="L6" s="99" t="str">
        <f t="shared" ca="1" si="0"/>
        <v/>
      </c>
      <c r="P6" s="167"/>
      <c r="Q6" s="167"/>
      <c r="R6" s="167"/>
      <c r="S6" s="167"/>
      <c r="T6" s="167"/>
      <c r="U6" s="167"/>
      <c r="V6" s="167"/>
      <c r="W6" s="167"/>
      <c r="X6" s="167"/>
      <c r="Y6" s="167"/>
      <c r="Z6" s="167"/>
    </row>
    <row r="7" spans="2:26" ht="10.199999999999999" customHeight="1">
      <c r="B7" s="97" t="str">
        <f>IF(Calculation!BE12="","",Calculation!BE12)</f>
        <v/>
      </c>
      <c r="C7" s="99" t="str">
        <f t="shared" ca="1" si="0"/>
        <v/>
      </c>
      <c r="D7" s="99" t="str">
        <f t="shared" ca="1" si="0"/>
        <v/>
      </c>
      <c r="E7" s="99" t="str">
        <f t="shared" ca="1" si="0"/>
        <v/>
      </c>
      <c r="F7" s="99" t="str">
        <f t="shared" ca="1" si="0"/>
        <v/>
      </c>
      <c r="G7" s="99" t="str">
        <f t="shared" ca="1" si="0"/>
        <v/>
      </c>
      <c r="H7" s="99" t="str">
        <f t="shared" ca="1" si="0"/>
        <v/>
      </c>
      <c r="I7" s="99" t="str">
        <f t="shared" ca="1" si="0"/>
        <v/>
      </c>
      <c r="J7" s="99" t="str">
        <f t="shared" ca="1" si="0"/>
        <v/>
      </c>
      <c r="K7" s="99" t="str">
        <f t="shared" ca="1" si="0"/>
        <v/>
      </c>
      <c r="L7" s="99" t="str">
        <f t="shared" ca="1" si="0"/>
        <v/>
      </c>
      <c r="P7" s="167"/>
      <c r="Q7" s="167"/>
      <c r="R7" s="167"/>
      <c r="S7" s="167"/>
      <c r="T7" s="167"/>
      <c r="U7" s="167"/>
      <c r="V7" s="167"/>
      <c r="W7" s="167"/>
      <c r="X7" s="167"/>
      <c r="Y7" s="167"/>
      <c r="Z7" s="167"/>
    </row>
    <row r="8" spans="2:26" ht="10.199999999999999" customHeight="1">
      <c r="B8" s="97" t="str">
        <f>IF(Calculation!BE13="","",Calculation!BE13)</f>
        <v/>
      </c>
      <c r="C8" s="99" t="str">
        <f t="shared" ca="1" si="0"/>
        <v/>
      </c>
      <c r="D8" s="99" t="str">
        <f t="shared" ca="1" si="0"/>
        <v/>
      </c>
      <c r="E8" s="99" t="str">
        <f t="shared" ca="1" si="0"/>
        <v/>
      </c>
      <c r="F8" s="99" t="str">
        <f t="shared" ca="1" si="0"/>
        <v/>
      </c>
      <c r="G8" s="99" t="str">
        <f t="shared" ca="1" si="0"/>
        <v/>
      </c>
      <c r="H8" s="99" t="str">
        <f t="shared" ca="1" si="0"/>
        <v/>
      </c>
      <c r="I8" s="99" t="str">
        <f t="shared" ca="1" si="0"/>
        <v/>
      </c>
      <c r="J8" s="99" t="str">
        <f t="shared" ca="1" si="0"/>
        <v/>
      </c>
      <c r="K8" s="99" t="str">
        <f t="shared" ca="1" si="0"/>
        <v/>
      </c>
      <c r="L8" s="99" t="str">
        <f t="shared" ca="1" si="0"/>
        <v/>
      </c>
      <c r="P8" s="169"/>
      <c r="Q8" s="169"/>
      <c r="R8" s="169"/>
      <c r="S8" s="169"/>
      <c r="T8" s="169"/>
      <c r="U8" s="169"/>
      <c r="V8" s="169"/>
      <c r="W8" s="169"/>
      <c r="X8" s="169"/>
      <c r="Y8" s="169"/>
      <c r="Z8" s="169"/>
    </row>
    <row r="9" spans="2:26" ht="10.199999999999999" customHeight="1">
      <c r="B9" s="97" t="str">
        <f>IF(Calculation!BE14="","",Calculation!BE14)</f>
        <v/>
      </c>
      <c r="C9" s="99" t="str">
        <f t="shared" ca="1" si="0"/>
        <v/>
      </c>
      <c r="D9" s="99" t="str">
        <f t="shared" ca="1" si="0"/>
        <v/>
      </c>
      <c r="E9" s="99" t="str">
        <f t="shared" ca="1" si="0"/>
        <v/>
      </c>
      <c r="F9" s="99" t="str">
        <f t="shared" ca="1" si="0"/>
        <v/>
      </c>
      <c r="G9" s="99" t="str">
        <f t="shared" ca="1" si="0"/>
        <v/>
      </c>
      <c r="H9" s="99" t="str">
        <f t="shared" ca="1" si="0"/>
        <v/>
      </c>
      <c r="I9" s="99" t="str">
        <f t="shared" ca="1" si="0"/>
        <v/>
      </c>
      <c r="J9" s="99" t="str">
        <f t="shared" ca="1" si="0"/>
        <v/>
      </c>
      <c r="K9" s="99" t="str">
        <f t="shared" ca="1" si="0"/>
        <v/>
      </c>
      <c r="L9" s="99" t="str">
        <f t="shared" ca="1" si="0"/>
        <v/>
      </c>
      <c r="P9" s="167"/>
      <c r="Q9" s="167"/>
      <c r="R9" s="167"/>
      <c r="S9" s="167"/>
      <c r="T9" s="167"/>
      <c r="U9" s="167"/>
      <c r="V9" s="167"/>
      <c r="W9" s="167"/>
      <c r="X9" s="167"/>
      <c r="Y9" s="167"/>
      <c r="Z9" s="167"/>
    </row>
    <row r="10" spans="2:26" ht="10.199999999999999" customHeight="1">
      <c r="B10" s="97" t="str">
        <f>IF(Calculation!BE15="","",Calculation!BE15)</f>
        <v/>
      </c>
      <c r="C10" s="99" t="str">
        <f t="shared" ca="1" si="0"/>
        <v/>
      </c>
      <c r="D10" s="99" t="str">
        <f t="shared" ca="1" si="0"/>
        <v/>
      </c>
      <c r="E10" s="99" t="str">
        <f t="shared" ca="1" si="0"/>
        <v/>
      </c>
      <c r="F10" s="99" t="str">
        <f t="shared" ca="1" si="0"/>
        <v/>
      </c>
      <c r="G10" s="99" t="str">
        <f t="shared" ca="1" si="0"/>
        <v/>
      </c>
      <c r="H10" s="99" t="str">
        <f t="shared" ca="1" si="0"/>
        <v/>
      </c>
      <c r="I10" s="99" t="str">
        <f t="shared" ca="1" si="0"/>
        <v/>
      </c>
      <c r="J10" s="99" t="str">
        <f t="shared" ca="1" si="0"/>
        <v/>
      </c>
      <c r="K10" s="99" t="str">
        <f t="shared" ca="1" si="0"/>
        <v/>
      </c>
      <c r="L10" s="99" t="str">
        <f t="shared" ca="1" si="0"/>
        <v/>
      </c>
      <c r="P10" s="167"/>
      <c r="Q10" s="167"/>
      <c r="R10" s="167"/>
      <c r="S10" s="167"/>
      <c r="T10" s="167"/>
      <c r="U10" s="167"/>
      <c r="V10" s="167"/>
      <c r="W10" s="167"/>
      <c r="X10" s="167"/>
      <c r="Y10" s="167"/>
      <c r="Z10" s="167"/>
    </row>
    <row r="11" spans="2:26" ht="10.199999999999999" customHeight="1">
      <c r="B11" s="97" t="str">
        <f>IF(Calculation!BE16="","",Calculation!BE16)</f>
        <v/>
      </c>
      <c r="C11" s="99" t="str">
        <f t="shared" ca="1" si="0"/>
        <v/>
      </c>
      <c r="D11" s="99" t="str">
        <f t="shared" ca="1" si="0"/>
        <v/>
      </c>
      <c r="E11" s="99" t="str">
        <f t="shared" ca="1" si="0"/>
        <v/>
      </c>
      <c r="F11" s="99" t="str">
        <f t="shared" ca="1" si="0"/>
        <v/>
      </c>
      <c r="G11" s="99" t="str">
        <f t="shared" ca="1" si="0"/>
        <v/>
      </c>
      <c r="H11" s="99" t="str">
        <f t="shared" ca="1" si="0"/>
        <v/>
      </c>
      <c r="I11" s="99" t="str">
        <f t="shared" ca="1" si="0"/>
        <v/>
      </c>
      <c r="J11" s="99" t="str">
        <f t="shared" ca="1" si="0"/>
        <v/>
      </c>
      <c r="K11" s="99" t="str">
        <f t="shared" ca="1" si="0"/>
        <v/>
      </c>
      <c r="L11" s="99" t="str">
        <f t="shared" ca="1" si="0"/>
        <v/>
      </c>
      <c r="P11" s="167"/>
      <c r="Q11" s="167"/>
      <c r="R11" s="167"/>
      <c r="S11" s="167"/>
      <c r="T11" s="167"/>
      <c r="U11" s="167"/>
      <c r="V11" s="167"/>
      <c r="W11" s="167"/>
      <c r="X11" s="167"/>
      <c r="Y11" s="167"/>
      <c r="Z11" s="167"/>
    </row>
    <row r="12" spans="2:26" ht="10.199999999999999" customHeight="1">
      <c r="B12" s="97" t="str">
        <f>IF(Calculation!BE17="","",Calculation!BE17)</f>
        <v/>
      </c>
      <c r="C12" s="99" t="str">
        <f t="shared" ca="1" si="0"/>
        <v/>
      </c>
      <c r="D12" s="99" t="str">
        <f t="shared" ca="1" si="0"/>
        <v/>
      </c>
      <c r="E12" s="99" t="str">
        <f t="shared" ca="1" si="0"/>
        <v/>
      </c>
      <c r="F12" s="99" t="str">
        <f t="shared" ca="1" si="0"/>
        <v/>
      </c>
      <c r="G12" s="99" t="str">
        <f t="shared" ca="1" si="0"/>
        <v/>
      </c>
      <c r="H12" s="99" t="str">
        <f t="shared" ca="1" si="0"/>
        <v/>
      </c>
      <c r="I12" s="99" t="str">
        <f t="shared" ca="1" si="0"/>
        <v/>
      </c>
      <c r="J12" s="99" t="str">
        <f t="shared" ca="1" si="0"/>
        <v/>
      </c>
      <c r="K12" s="99" t="str">
        <f t="shared" ca="1" si="0"/>
        <v/>
      </c>
      <c r="L12" s="99" t="str">
        <f t="shared" ca="1" si="0"/>
        <v/>
      </c>
      <c r="P12" s="169"/>
      <c r="Q12" s="169"/>
      <c r="R12" s="169"/>
      <c r="S12" s="169"/>
      <c r="T12" s="169"/>
      <c r="U12" s="169"/>
      <c r="V12" s="169"/>
      <c r="W12" s="169"/>
      <c r="X12" s="169"/>
      <c r="Y12" s="169"/>
      <c r="Z12" s="169"/>
    </row>
    <row r="13" spans="2:26" ht="10.199999999999999" customHeight="1">
      <c r="B13" s="97" t="str">
        <f>IF(Calculation!BE18="","",Calculation!BE18)</f>
        <v/>
      </c>
      <c r="C13" s="99" t="str">
        <f t="shared" ca="1" si="0"/>
        <v/>
      </c>
      <c r="D13" s="99" t="str">
        <f t="shared" ca="1" si="0"/>
        <v/>
      </c>
      <c r="E13" s="99" t="str">
        <f t="shared" ca="1" si="0"/>
        <v/>
      </c>
      <c r="F13" s="99" t="str">
        <f t="shared" ca="1" si="0"/>
        <v/>
      </c>
      <c r="G13" s="99" t="str">
        <f t="shared" ca="1" si="0"/>
        <v/>
      </c>
      <c r="H13" s="99" t="str">
        <f t="shared" ca="1" si="0"/>
        <v/>
      </c>
      <c r="I13" s="99" t="str">
        <f t="shared" ca="1" si="0"/>
        <v/>
      </c>
      <c r="J13" s="99" t="str">
        <f t="shared" ca="1" si="0"/>
        <v/>
      </c>
      <c r="K13" s="99" t="str">
        <f t="shared" ca="1" si="0"/>
        <v/>
      </c>
      <c r="L13" s="99" t="str">
        <f t="shared" ca="1" si="0"/>
        <v/>
      </c>
      <c r="P13" s="167"/>
      <c r="Q13" s="167"/>
      <c r="R13" s="167"/>
      <c r="S13" s="167"/>
      <c r="T13" s="167"/>
      <c r="U13" s="167"/>
      <c r="V13" s="167"/>
      <c r="W13" s="167"/>
      <c r="X13" s="167"/>
      <c r="Y13" s="167"/>
      <c r="Z13" s="167"/>
    </row>
    <row r="14" spans="2:26" ht="10.199999999999999" customHeight="1">
      <c r="B14" s="97" t="str">
        <f>IF(Calculation!BE19="","",Calculation!BE19)</f>
        <v/>
      </c>
      <c r="C14" s="99" t="str">
        <f t="shared" ca="1" si="0"/>
        <v/>
      </c>
      <c r="D14" s="99" t="str">
        <f t="shared" ca="1" si="0"/>
        <v/>
      </c>
      <c r="E14" s="99" t="str">
        <f t="shared" ca="1" si="0"/>
        <v/>
      </c>
      <c r="F14" s="99" t="str">
        <f t="shared" ca="1" si="0"/>
        <v/>
      </c>
      <c r="G14" s="99" t="str">
        <f t="shared" ca="1" si="0"/>
        <v/>
      </c>
      <c r="H14" s="99" t="str">
        <f t="shared" ca="1" si="0"/>
        <v/>
      </c>
      <c r="I14" s="99" t="str">
        <f t="shared" ca="1" si="0"/>
        <v/>
      </c>
      <c r="J14" s="99" t="str">
        <f t="shared" ca="1" si="0"/>
        <v/>
      </c>
      <c r="K14" s="99" t="str">
        <f t="shared" ca="1" si="0"/>
        <v/>
      </c>
      <c r="L14" s="99" t="str">
        <f t="shared" ca="1" si="0"/>
        <v/>
      </c>
      <c r="P14" s="167"/>
      <c r="Q14" s="167"/>
      <c r="R14" s="167"/>
      <c r="S14" s="167"/>
      <c r="T14" s="167"/>
      <c r="U14" s="167"/>
      <c r="V14" s="167"/>
      <c r="W14" s="167"/>
      <c r="X14" s="167"/>
      <c r="Y14" s="167"/>
      <c r="Z14" s="167"/>
    </row>
    <row r="15" spans="2:26" ht="10.199999999999999" customHeight="1">
      <c r="B15" s="97" t="str">
        <f>IF(Calculation!BE20="","",Calculation!BE20)</f>
        <v/>
      </c>
      <c r="C15" s="99" t="str">
        <f t="shared" ca="1" si="0"/>
        <v/>
      </c>
      <c r="D15" s="99" t="str">
        <f t="shared" ca="1" si="0"/>
        <v/>
      </c>
      <c r="E15" s="99" t="str">
        <f t="shared" ca="1" si="0"/>
        <v/>
      </c>
      <c r="F15" s="99" t="str">
        <f t="shared" ca="1" si="0"/>
        <v/>
      </c>
      <c r="G15" s="99" t="str">
        <f t="shared" ca="1" si="0"/>
        <v/>
      </c>
      <c r="H15" s="99" t="str">
        <f t="shared" ca="1" si="0"/>
        <v/>
      </c>
      <c r="I15" s="99" t="str">
        <f t="shared" ca="1" si="0"/>
        <v/>
      </c>
      <c r="J15" s="99" t="str">
        <f t="shared" ca="1" si="0"/>
        <v/>
      </c>
      <c r="K15" s="99" t="str">
        <f t="shared" ca="1" si="0"/>
        <v/>
      </c>
      <c r="L15" s="99" t="str">
        <f t="shared" ca="1" si="0"/>
        <v/>
      </c>
      <c r="P15" s="169"/>
      <c r="Q15" s="169"/>
      <c r="R15" s="169"/>
      <c r="S15" s="169"/>
      <c r="T15" s="169"/>
      <c r="U15" s="169"/>
      <c r="V15" s="169"/>
      <c r="W15" s="169"/>
      <c r="X15" s="169"/>
      <c r="Y15" s="169"/>
      <c r="Z15" s="169"/>
    </row>
    <row r="16" spans="2:26" ht="10.199999999999999" customHeight="1">
      <c r="B16" s="97" t="str">
        <f>IF(Calculation!BE21="","",Calculation!BE21)</f>
        <v/>
      </c>
      <c r="C16" s="99" t="str">
        <f t="shared" ca="1" si="0"/>
        <v/>
      </c>
      <c r="D16" s="99" t="str">
        <f t="shared" ca="1" si="0"/>
        <v/>
      </c>
      <c r="E16" s="99" t="str">
        <f t="shared" ca="1" si="0"/>
        <v/>
      </c>
      <c r="F16" s="99" t="str">
        <f t="shared" ca="1" si="0"/>
        <v/>
      </c>
      <c r="G16" s="99" t="str">
        <f t="shared" ca="1" si="0"/>
        <v/>
      </c>
      <c r="H16" s="99" t="str">
        <f t="shared" ca="1" si="0"/>
        <v/>
      </c>
      <c r="I16" s="99" t="str">
        <f t="shared" ca="1" si="0"/>
        <v/>
      </c>
      <c r="J16" s="99" t="str">
        <f t="shared" ca="1" si="0"/>
        <v/>
      </c>
      <c r="K16" s="99" t="str">
        <f t="shared" ca="1" si="0"/>
        <v/>
      </c>
      <c r="L16" s="99" t="str">
        <f t="shared" ca="1" si="0"/>
        <v/>
      </c>
      <c r="P16" s="167"/>
      <c r="Q16" s="167"/>
      <c r="R16" s="167"/>
      <c r="S16" s="167"/>
      <c r="T16" s="167"/>
      <c r="U16" s="167"/>
      <c r="V16" s="167"/>
      <c r="W16" s="167"/>
      <c r="X16" s="167"/>
      <c r="Y16" s="167"/>
      <c r="Z16" s="167"/>
    </row>
    <row r="17" spans="2:26" ht="10.199999999999999" customHeight="1">
      <c r="B17" s="97" t="str">
        <f>IF(Calculation!BE22="","",Calculation!BE22)</f>
        <v/>
      </c>
      <c r="C17" s="99" t="str">
        <f t="shared" ca="1" si="0"/>
        <v/>
      </c>
      <c r="D17" s="99" t="str">
        <f t="shared" ca="1" si="0"/>
        <v/>
      </c>
      <c r="E17" s="99" t="str">
        <f t="shared" ca="1" si="0"/>
        <v/>
      </c>
      <c r="F17" s="99" t="str">
        <f t="shared" ca="1" si="0"/>
        <v/>
      </c>
      <c r="G17" s="99" t="str">
        <f t="shared" ca="1" si="0"/>
        <v/>
      </c>
      <c r="H17" s="99" t="str">
        <f t="shared" ca="1" si="0"/>
        <v/>
      </c>
      <c r="I17" s="99" t="str">
        <f t="shared" ca="1" si="0"/>
        <v/>
      </c>
      <c r="J17" s="99" t="str">
        <f t="shared" ca="1" si="0"/>
        <v/>
      </c>
      <c r="K17" s="99" t="str">
        <f t="shared" ca="1" si="0"/>
        <v/>
      </c>
      <c r="L17" s="99" t="str">
        <f t="shared" ca="1" si="0"/>
        <v/>
      </c>
      <c r="P17" s="167"/>
      <c r="Q17" s="167"/>
      <c r="R17" s="167"/>
      <c r="S17" s="167"/>
      <c r="T17" s="167"/>
      <c r="U17" s="167"/>
      <c r="V17" s="167"/>
      <c r="W17" s="167"/>
      <c r="X17" s="167"/>
      <c r="Y17" s="167"/>
      <c r="Z17" s="167"/>
    </row>
    <row r="18" spans="2:26" ht="10.199999999999999" customHeight="1">
      <c r="B18" s="97" t="str">
        <f>IF(Calculation!BE23="","",Calculation!BE23)</f>
        <v/>
      </c>
      <c r="C18" s="99" t="str">
        <f t="shared" ca="1" si="0"/>
        <v/>
      </c>
      <c r="D18" s="99" t="str">
        <f t="shared" ca="1" si="0"/>
        <v/>
      </c>
      <c r="E18" s="99" t="str">
        <f t="shared" ca="1" si="0"/>
        <v/>
      </c>
      <c r="F18" s="99" t="str">
        <f t="shared" ca="1" si="0"/>
        <v/>
      </c>
      <c r="G18" s="99" t="str">
        <f t="shared" ca="1" si="0"/>
        <v/>
      </c>
      <c r="H18" s="99" t="str">
        <f t="shared" ca="1" si="0"/>
        <v/>
      </c>
      <c r="I18" s="99" t="str">
        <f t="shared" ca="1" si="0"/>
        <v/>
      </c>
      <c r="J18" s="99" t="str">
        <f t="shared" ca="1" si="0"/>
        <v/>
      </c>
      <c r="K18" s="99" t="str">
        <f t="shared" ca="1" si="0"/>
        <v/>
      </c>
      <c r="L18" s="99" t="str">
        <f t="shared" ca="1" si="0"/>
        <v/>
      </c>
      <c r="P18" s="169"/>
      <c r="Q18" s="169"/>
      <c r="R18" s="169"/>
      <c r="S18" s="169"/>
      <c r="T18" s="169"/>
      <c r="U18" s="169"/>
      <c r="V18" s="169"/>
      <c r="W18" s="169"/>
      <c r="X18" s="169"/>
      <c r="Y18" s="169"/>
      <c r="Z18" s="169"/>
    </row>
    <row r="19" spans="2:26" ht="10.199999999999999" customHeight="1">
      <c r="B19" s="97" t="str">
        <f>IF(Calculation!BE24="","",Calculation!BE24)</f>
        <v/>
      </c>
      <c r="C19" s="99" t="str">
        <f t="shared" ca="1" si="0"/>
        <v/>
      </c>
      <c r="D19" s="99" t="str">
        <f t="shared" ca="1" si="0"/>
        <v/>
      </c>
      <c r="E19" s="99" t="str">
        <f t="shared" ca="1" si="0"/>
        <v/>
      </c>
      <c r="F19" s="99" t="str">
        <f t="shared" ca="1" si="0"/>
        <v/>
      </c>
      <c r="G19" s="99" t="str">
        <f t="shared" ca="1" si="0"/>
        <v/>
      </c>
      <c r="H19" s="99" t="str">
        <f t="shared" ca="1" si="0"/>
        <v/>
      </c>
      <c r="I19" s="99" t="str">
        <f t="shared" ca="1" si="0"/>
        <v/>
      </c>
      <c r="J19" s="99" t="str">
        <f t="shared" ca="1" si="0"/>
        <v/>
      </c>
      <c r="K19" s="99" t="str">
        <f t="shared" ca="1" si="0"/>
        <v/>
      </c>
      <c r="L19" s="99" t="str">
        <f t="shared" ca="1" si="0"/>
        <v/>
      </c>
      <c r="P19" s="167"/>
      <c r="Q19" s="167"/>
      <c r="R19" s="167"/>
      <c r="S19" s="167"/>
      <c r="T19" s="167"/>
      <c r="U19" s="167"/>
      <c r="V19" s="167"/>
      <c r="W19" s="167"/>
      <c r="X19" s="167"/>
      <c r="Y19" s="167"/>
      <c r="Z19" s="167"/>
    </row>
    <row r="20" spans="2:26" ht="10.199999999999999" customHeight="1">
      <c r="B20" s="97" t="str">
        <f>IF(Calculation!BE25="","",Calculation!BE25)</f>
        <v/>
      </c>
      <c r="C20" s="99" t="str">
        <f t="shared" ca="1" si="0"/>
        <v/>
      </c>
      <c r="D20" s="99" t="str">
        <f t="shared" ca="1" si="0"/>
        <v/>
      </c>
      <c r="E20" s="99" t="str">
        <f t="shared" ca="1" si="0"/>
        <v/>
      </c>
      <c r="F20" s="99" t="str">
        <f t="shared" ca="1" si="0"/>
        <v/>
      </c>
      <c r="G20" s="99" t="str">
        <f t="shared" ca="1" si="0"/>
        <v/>
      </c>
      <c r="H20" s="99" t="str">
        <f t="shared" ca="1" si="0"/>
        <v/>
      </c>
      <c r="I20" s="99" t="str">
        <f t="shared" ca="1" si="0"/>
        <v/>
      </c>
      <c r="J20" s="99" t="str">
        <f t="shared" ca="1" si="0"/>
        <v/>
      </c>
      <c r="K20" s="99" t="str">
        <f t="shared" ca="1" si="0"/>
        <v/>
      </c>
      <c r="L20" s="99" t="str">
        <f t="shared" ca="1" si="0"/>
        <v/>
      </c>
      <c r="P20" s="167"/>
      <c r="Q20" s="167"/>
      <c r="R20" s="167"/>
      <c r="S20" s="167"/>
      <c r="T20" s="167"/>
      <c r="U20" s="167"/>
      <c r="V20" s="167"/>
      <c r="W20" s="167"/>
      <c r="X20" s="167"/>
      <c r="Y20" s="167"/>
      <c r="Z20" s="167"/>
    </row>
    <row r="21" spans="2:26" ht="10.199999999999999" customHeight="1">
      <c r="B21" s="97" t="str">
        <f>IF(Calculation!BE26="","",Calculation!BE26)</f>
        <v/>
      </c>
      <c r="C21" s="99" t="str">
        <f t="shared" ca="1" si="0"/>
        <v/>
      </c>
      <c r="D21" s="99" t="str">
        <f t="shared" ca="1" si="0"/>
        <v/>
      </c>
      <c r="E21" s="99" t="str">
        <f t="shared" ca="1" si="0"/>
        <v/>
      </c>
      <c r="F21" s="99" t="str">
        <f t="shared" ca="1" si="0"/>
        <v/>
      </c>
      <c r="G21" s="99" t="str">
        <f t="shared" ca="1" si="0"/>
        <v/>
      </c>
      <c r="H21" s="99" t="str">
        <f t="shared" ca="1" si="0"/>
        <v/>
      </c>
      <c r="I21" s="99" t="str">
        <f t="shared" ca="1" si="0"/>
        <v/>
      </c>
      <c r="J21" s="99" t="str">
        <f t="shared" ca="1" si="0"/>
        <v/>
      </c>
      <c r="K21" s="99" t="str">
        <f t="shared" ca="1" si="0"/>
        <v/>
      </c>
      <c r="L21" s="99" t="str">
        <f t="shared" ca="1" si="0"/>
        <v/>
      </c>
      <c r="P21" s="169"/>
      <c r="Q21" s="169"/>
      <c r="R21" s="169"/>
      <c r="S21" s="169"/>
      <c r="T21" s="169"/>
      <c r="U21" s="169"/>
      <c r="V21" s="169"/>
      <c r="W21" s="169"/>
      <c r="X21" s="169"/>
      <c r="Y21" s="169"/>
      <c r="Z21" s="169"/>
    </row>
    <row r="22" spans="2:26" ht="10.199999999999999" customHeight="1">
      <c r="B22" s="97" t="str">
        <f>IF(Calculation!BE27="","",Calculation!BE27)</f>
        <v/>
      </c>
      <c r="C22" s="99" t="str">
        <f t="shared" ref="C22:L37" ca="1" si="1">IF($M$4=0,"",VLOOKUP($B22,INDIRECT("$P$1:$Z$"&amp;$M$4),COLUMN()-1,0))</f>
        <v/>
      </c>
      <c r="D22" s="99" t="str">
        <f t="shared" ca="1" si="1"/>
        <v/>
      </c>
      <c r="E22" s="99" t="str">
        <f t="shared" ca="1" si="1"/>
        <v/>
      </c>
      <c r="F22" s="99" t="str">
        <f t="shared" ca="1" si="1"/>
        <v/>
      </c>
      <c r="G22" s="99" t="str">
        <f t="shared" ca="1" si="1"/>
        <v/>
      </c>
      <c r="H22" s="99" t="str">
        <f t="shared" ca="1" si="1"/>
        <v/>
      </c>
      <c r="I22" s="99" t="str">
        <f t="shared" ca="1" si="1"/>
        <v/>
      </c>
      <c r="J22" s="99" t="str">
        <f t="shared" ca="1" si="1"/>
        <v/>
      </c>
      <c r="K22" s="99" t="str">
        <f t="shared" ca="1" si="1"/>
        <v/>
      </c>
      <c r="L22" s="99" t="str">
        <f t="shared" ca="1" si="1"/>
        <v/>
      </c>
      <c r="P22" s="167"/>
      <c r="Q22" s="167"/>
      <c r="R22" s="167"/>
      <c r="S22" s="167"/>
      <c r="T22" s="167"/>
      <c r="U22" s="167"/>
      <c r="V22" s="167"/>
      <c r="W22" s="167"/>
      <c r="X22" s="167"/>
      <c r="Y22" s="167"/>
      <c r="Z22" s="167"/>
    </row>
    <row r="23" spans="2:26" ht="10.199999999999999" customHeight="1">
      <c r="B23" s="97" t="str">
        <f>IF(Calculation!BE28="","",Calculation!BE28)</f>
        <v/>
      </c>
      <c r="C23" s="99" t="str">
        <f t="shared" ca="1" si="1"/>
        <v/>
      </c>
      <c r="D23" s="99" t="str">
        <f t="shared" ca="1" si="1"/>
        <v/>
      </c>
      <c r="E23" s="99" t="str">
        <f t="shared" ca="1" si="1"/>
        <v/>
      </c>
      <c r="F23" s="99" t="str">
        <f t="shared" ca="1" si="1"/>
        <v/>
      </c>
      <c r="G23" s="99" t="str">
        <f t="shared" ca="1" si="1"/>
        <v/>
      </c>
      <c r="H23" s="99" t="str">
        <f t="shared" ca="1" si="1"/>
        <v/>
      </c>
      <c r="I23" s="99" t="str">
        <f t="shared" ca="1" si="1"/>
        <v/>
      </c>
      <c r="J23" s="99" t="str">
        <f t="shared" ca="1" si="1"/>
        <v/>
      </c>
      <c r="K23" s="99" t="str">
        <f t="shared" ca="1" si="1"/>
        <v/>
      </c>
      <c r="L23" s="99" t="str">
        <f t="shared" ca="1" si="1"/>
        <v/>
      </c>
      <c r="P23" s="167"/>
      <c r="Q23" s="167"/>
      <c r="R23" s="167"/>
      <c r="S23" s="167"/>
      <c r="T23" s="167"/>
      <c r="U23" s="167"/>
      <c r="V23" s="167"/>
      <c r="W23" s="167"/>
      <c r="X23" s="167"/>
      <c r="Y23" s="167"/>
      <c r="Z23" s="167"/>
    </row>
    <row r="24" spans="2:26" ht="10.199999999999999" customHeight="1">
      <c r="B24" s="97" t="str">
        <f>IF(Calculation!BE29="","",Calculation!BE29)</f>
        <v/>
      </c>
      <c r="C24" s="99" t="str">
        <f t="shared" ca="1" si="1"/>
        <v/>
      </c>
      <c r="D24" s="99" t="str">
        <f t="shared" ca="1" si="1"/>
        <v/>
      </c>
      <c r="E24" s="99" t="str">
        <f t="shared" ca="1" si="1"/>
        <v/>
      </c>
      <c r="F24" s="99" t="str">
        <f t="shared" ca="1" si="1"/>
        <v/>
      </c>
      <c r="G24" s="99" t="str">
        <f t="shared" ca="1" si="1"/>
        <v/>
      </c>
      <c r="H24" s="99" t="str">
        <f t="shared" ca="1" si="1"/>
        <v/>
      </c>
      <c r="I24" s="99" t="str">
        <f t="shared" ca="1" si="1"/>
        <v/>
      </c>
      <c r="J24" s="99" t="str">
        <f t="shared" ca="1" si="1"/>
        <v/>
      </c>
      <c r="K24" s="99" t="str">
        <f t="shared" ca="1" si="1"/>
        <v/>
      </c>
      <c r="L24" s="99" t="str">
        <f t="shared" ca="1" si="1"/>
        <v/>
      </c>
      <c r="P24" s="169"/>
      <c r="Q24" s="169"/>
      <c r="R24" s="169"/>
      <c r="S24" s="169"/>
      <c r="T24" s="169"/>
      <c r="U24" s="169"/>
      <c r="V24" s="169"/>
      <c r="W24" s="169"/>
      <c r="X24" s="169"/>
      <c r="Y24" s="169"/>
      <c r="Z24" s="169"/>
    </row>
    <row r="25" spans="2:26" ht="10.199999999999999" customHeight="1">
      <c r="B25" s="97" t="str">
        <f>IF(Calculation!BE30="","",Calculation!BE30)</f>
        <v/>
      </c>
      <c r="C25" s="99" t="str">
        <f t="shared" ca="1" si="1"/>
        <v/>
      </c>
      <c r="D25" s="99" t="str">
        <f t="shared" ca="1" si="1"/>
        <v/>
      </c>
      <c r="E25" s="99" t="str">
        <f t="shared" ca="1" si="1"/>
        <v/>
      </c>
      <c r="F25" s="99" t="str">
        <f t="shared" ca="1" si="1"/>
        <v/>
      </c>
      <c r="G25" s="99" t="str">
        <f t="shared" ca="1" si="1"/>
        <v/>
      </c>
      <c r="H25" s="99" t="str">
        <f t="shared" ca="1" si="1"/>
        <v/>
      </c>
      <c r="I25" s="99" t="str">
        <f t="shared" ca="1" si="1"/>
        <v/>
      </c>
      <c r="J25" s="99" t="str">
        <f t="shared" ca="1" si="1"/>
        <v/>
      </c>
      <c r="K25" s="99" t="str">
        <f t="shared" ca="1" si="1"/>
        <v/>
      </c>
      <c r="L25" s="99" t="str">
        <f t="shared" ca="1" si="1"/>
        <v/>
      </c>
      <c r="P25" s="167"/>
      <c r="Q25" s="167"/>
      <c r="R25" s="167"/>
      <c r="S25" s="167"/>
      <c r="T25" s="167"/>
      <c r="U25" s="167"/>
      <c r="V25" s="167"/>
      <c r="W25" s="167"/>
      <c r="X25" s="167"/>
      <c r="Y25" s="167"/>
      <c r="Z25" s="167"/>
    </row>
    <row r="26" spans="2:26" ht="10.199999999999999" customHeight="1">
      <c r="B26" s="97" t="str">
        <f>IF(Calculation!BE31="","",Calculation!BE31)</f>
        <v/>
      </c>
      <c r="C26" s="99" t="str">
        <f t="shared" ca="1" si="1"/>
        <v/>
      </c>
      <c r="D26" s="99" t="str">
        <f t="shared" ca="1" si="1"/>
        <v/>
      </c>
      <c r="E26" s="99" t="str">
        <f t="shared" ca="1" si="1"/>
        <v/>
      </c>
      <c r="F26" s="99" t="str">
        <f t="shared" ca="1" si="1"/>
        <v/>
      </c>
      <c r="G26" s="99" t="str">
        <f t="shared" ca="1" si="1"/>
        <v/>
      </c>
      <c r="H26" s="99" t="str">
        <f t="shared" ca="1" si="1"/>
        <v/>
      </c>
      <c r="I26" s="99" t="str">
        <f t="shared" ca="1" si="1"/>
        <v/>
      </c>
      <c r="J26" s="99" t="str">
        <f t="shared" ca="1" si="1"/>
        <v/>
      </c>
      <c r="K26" s="99" t="str">
        <f t="shared" ca="1" si="1"/>
        <v/>
      </c>
      <c r="L26" s="99" t="str">
        <f t="shared" ca="1" si="1"/>
        <v/>
      </c>
      <c r="P26" s="167"/>
      <c r="Q26" s="167"/>
      <c r="R26" s="167"/>
      <c r="S26" s="167"/>
      <c r="T26" s="167"/>
      <c r="U26" s="167"/>
      <c r="V26" s="167"/>
      <c r="W26" s="167"/>
      <c r="X26" s="167"/>
      <c r="Y26" s="167"/>
      <c r="Z26" s="167"/>
    </row>
    <row r="27" spans="2:26" ht="10.199999999999999" customHeight="1">
      <c r="B27" s="97" t="str">
        <f>IF(Calculation!BE32="","",Calculation!BE32)</f>
        <v/>
      </c>
      <c r="C27" s="99" t="str">
        <f t="shared" ca="1" si="1"/>
        <v/>
      </c>
      <c r="D27" s="99" t="str">
        <f t="shared" ca="1" si="1"/>
        <v/>
      </c>
      <c r="E27" s="99" t="str">
        <f t="shared" ca="1" si="1"/>
        <v/>
      </c>
      <c r="F27" s="99" t="str">
        <f t="shared" ca="1" si="1"/>
        <v/>
      </c>
      <c r="G27" s="99" t="str">
        <f t="shared" ca="1" si="1"/>
        <v/>
      </c>
      <c r="H27" s="99" t="str">
        <f t="shared" ca="1" si="1"/>
        <v/>
      </c>
      <c r="I27" s="99" t="str">
        <f t="shared" ca="1" si="1"/>
        <v/>
      </c>
      <c r="J27" s="99" t="str">
        <f t="shared" ca="1" si="1"/>
        <v/>
      </c>
      <c r="K27" s="99" t="str">
        <f t="shared" ca="1" si="1"/>
        <v/>
      </c>
      <c r="L27" s="99" t="str">
        <f t="shared" ca="1" si="1"/>
        <v/>
      </c>
      <c r="P27" s="169"/>
      <c r="Q27" s="169"/>
      <c r="R27" s="169"/>
      <c r="S27" s="169"/>
      <c r="T27" s="169"/>
      <c r="U27" s="169"/>
      <c r="V27" s="169"/>
      <c r="W27" s="169"/>
      <c r="X27" s="169"/>
      <c r="Y27" s="169"/>
      <c r="Z27" s="169"/>
    </row>
    <row r="28" spans="2:26" ht="10.199999999999999" customHeight="1">
      <c r="B28" s="97" t="str">
        <f>IF(Calculation!BE33="","",Calculation!BE33)</f>
        <v/>
      </c>
      <c r="C28" s="99" t="str">
        <f t="shared" ca="1" si="1"/>
        <v/>
      </c>
      <c r="D28" s="99" t="str">
        <f t="shared" ca="1" si="1"/>
        <v/>
      </c>
      <c r="E28" s="99" t="str">
        <f t="shared" ca="1" si="1"/>
        <v/>
      </c>
      <c r="F28" s="99" t="str">
        <f t="shared" ca="1" si="1"/>
        <v/>
      </c>
      <c r="G28" s="99" t="str">
        <f t="shared" ca="1" si="1"/>
        <v/>
      </c>
      <c r="H28" s="99" t="str">
        <f t="shared" ca="1" si="1"/>
        <v/>
      </c>
      <c r="I28" s="99" t="str">
        <f t="shared" ca="1" si="1"/>
        <v/>
      </c>
      <c r="J28" s="99" t="str">
        <f t="shared" ca="1" si="1"/>
        <v/>
      </c>
      <c r="K28" s="99" t="str">
        <f t="shared" ca="1" si="1"/>
        <v/>
      </c>
      <c r="L28" s="99" t="str">
        <f t="shared" ca="1" si="1"/>
        <v/>
      </c>
      <c r="P28" s="167"/>
      <c r="Q28" s="167"/>
      <c r="R28" s="167"/>
      <c r="S28" s="167"/>
      <c r="T28" s="167"/>
      <c r="U28" s="167"/>
      <c r="V28" s="167"/>
      <c r="W28" s="167"/>
      <c r="X28" s="167"/>
      <c r="Y28" s="167"/>
      <c r="Z28" s="167"/>
    </row>
    <row r="29" spans="2:26" ht="10.199999999999999" customHeight="1">
      <c r="B29" s="97" t="str">
        <f>IF(Calculation!BE34="","",Calculation!BE34)</f>
        <v/>
      </c>
      <c r="C29" s="99" t="str">
        <f t="shared" ca="1" si="1"/>
        <v/>
      </c>
      <c r="D29" s="99" t="str">
        <f t="shared" ca="1" si="1"/>
        <v/>
      </c>
      <c r="E29" s="99" t="str">
        <f t="shared" ca="1" si="1"/>
        <v/>
      </c>
      <c r="F29" s="99" t="str">
        <f t="shared" ca="1" si="1"/>
        <v/>
      </c>
      <c r="G29" s="99" t="str">
        <f t="shared" ca="1" si="1"/>
        <v/>
      </c>
      <c r="H29" s="99" t="str">
        <f t="shared" ca="1" si="1"/>
        <v/>
      </c>
      <c r="I29" s="99" t="str">
        <f t="shared" ca="1" si="1"/>
        <v/>
      </c>
      <c r="J29" s="99" t="str">
        <f t="shared" ca="1" si="1"/>
        <v/>
      </c>
      <c r="K29" s="99" t="str">
        <f t="shared" ca="1" si="1"/>
        <v/>
      </c>
      <c r="L29" s="99" t="str">
        <f t="shared" ca="1" si="1"/>
        <v/>
      </c>
      <c r="P29" s="167"/>
      <c r="Q29" s="167"/>
      <c r="R29" s="167"/>
      <c r="S29" s="167"/>
      <c r="T29" s="167"/>
      <c r="U29" s="167"/>
      <c r="V29" s="167"/>
      <c r="W29" s="167"/>
      <c r="X29" s="167"/>
      <c r="Y29" s="167"/>
      <c r="Z29" s="167"/>
    </row>
    <row r="30" spans="2:26" ht="10.199999999999999" customHeight="1">
      <c r="B30" s="97" t="str">
        <f>IF(Calculation!BE35="","",Calculation!BE35)</f>
        <v/>
      </c>
      <c r="C30" s="99" t="str">
        <f t="shared" ca="1" si="1"/>
        <v/>
      </c>
      <c r="D30" s="99" t="str">
        <f t="shared" ca="1" si="1"/>
        <v/>
      </c>
      <c r="E30" s="99" t="str">
        <f t="shared" ca="1" si="1"/>
        <v/>
      </c>
      <c r="F30" s="99" t="str">
        <f t="shared" ca="1" si="1"/>
        <v/>
      </c>
      <c r="G30" s="99" t="str">
        <f t="shared" ca="1" si="1"/>
        <v/>
      </c>
      <c r="H30" s="99" t="str">
        <f t="shared" ca="1" si="1"/>
        <v/>
      </c>
      <c r="I30" s="99" t="str">
        <f t="shared" ca="1" si="1"/>
        <v/>
      </c>
      <c r="J30" s="99" t="str">
        <f t="shared" ca="1" si="1"/>
        <v/>
      </c>
      <c r="K30" s="99" t="str">
        <f t="shared" ca="1" si="1"/>
        <v/>
      </c>
      <c r="L30" s="99" t="str">
        <f t="shared" ca="1" si="1"/>
        <v/>
      </c>
      <c r="P30" s="169"/>
      <c r="Q30" s="169"/>
      <c r="R30" s="169"/>
      <c r="S30" s="169"/>
      <c r="T30" s="169"/>
      <c r="U30" s="169"/>
      <c r="V30" s="169"/>
      <c r="W30" s="169"/>
      <c r="X30" s="169"/>
      <c r="Y30" s="169"/>
      <c r="Z30" s="169"/>
    </row>
    <row r="31" spans="2:26" ht="10.199999999999999" customHeight="1">
      <c r="B31" s="97" t="str">
        <f>IF(Calculation!BE36="","",Calculation!BE36)</f>
        <v/>
      </c>
      <c r="C31" s="99" t="str">
        <f t="shared" ca="1" si="1"/>
        <v/>
      </c>
      <c r="D31" s="99" t="str">
        <f t="shared" ca="1" si="1"/>
        <v/>
      </c>
      <c r="E31" s="99" t="str">
        <f t="shared" ca="1" si="1"/>
        <v/>
      </c>
      <c r="F31" s="99" t="str">
        <f t="shared" ca="1" si="1"/>
        <v/>
      </c>
      <c r="G31" s="99" t="str">
        <f t="shared" ca="1" si="1"/>
        <v/>
      </c>
      <c r="H31" s="99" t="str">
        <f t="shared" ca="1" si="1"/>
        <v/>
      </c>
      <c r="I31" s="99" t="str">
        <f t="shared" ca="1" si="1"/>
        <v/>
      </c>
      <c r="J31" s="99" t="str">
        <f t="shared" ca="1" si="1"/>
        <v/>
      </c>
      <c r="K31" s="99" t="str">
        <f t="shared" ca="1" si="1"/>
        <v/>
      </c>
      <c r="L31" s="99" t="str">
        <f t="shared" ca="1" si="1"/>
        <v/>
      </c>
      <c r="P31" s="167"/>
      <c r="Q31" s="167"/>
      <c r="R31" s="167"/>
      <c r="S31" s="167"/>
      <c r="T31" s="167"/>
      <c r="U31" s="167"/>
      <c r="V31" s="167"/>
      <c r="W31" s="167"/>
      <c r="X31" s="167"/>
      <c r="Y31" s="167"/>
      <c r="Z31" s="167"/>
    </row>
    <row r="32" spans="2:26" ht="10.199999999999999" customHeight="1">
      <c r="B32" s="97" t="str">
        <f>IF(Calculation!BE37="","",Calculation!BE37)</f>
        <v/>
      </c>
      <c r="C32" s="99" t="str">
        <f t="shared" ca="1" si="1"/>
        <v/>
      </c>
      <c r="D32" s="99" t="str">
        <f t="shared" ca="1" si="1"/>
        <v/>
      </c>
      <c r="E32" s="99" t="str">
        <f t="shared" ca="1" si="1"/>
        <v/>
      </c>
      <c r="F32" s="99" t="str">
        <f t="shared" ca="1" si="1"/>
        <v/>
      </c>
      <c r="G32" s="99" t="str">
        <f t="shared" ca="1" si="1"/>
        <v/>
      </c>
      <c r="H32" s="99" t="str">
        <f t="shared" ca="1" si="1"/>
        <v/>
      </c>
      <c r="I32" s="99" t="str">
        <f t="shared" ca="1" si="1"/>
        <v/>
      </c>
      <c r="J32" s="99" t="str">
        <f t="shared" ca="1" si="1"/>
        <v/>
      </c>
      <c r="K32" s="99" t="str">
        <f t="shared" ca="1" si="1"/>
        <v/>
      </c>
      <c r="L32" s="99" t="str">
        <f t="shared" ca="1" si="1"/>
        <v/>
      </c>
      <c r="P32" s="167"/>
      <c r="Q32" s="167"/>
      <c r="R32" s="167"/>
      <c r="S32" s="167"/>
      <c r="T32" s="167"/>
      <c r="U32" s="167"/>
      <c r="V32" s="167"/>
      <c r="W32" s="167"/>
      <c r="X32" s="167"/>
      <c r="Y32" s="167"/>
      <c r="Z32" s="167"/>
    </row>
    <row r="33" spans="2:26" ht="10.199999999999999" customHeight="1">
      <c r="B33" s="97" t="str">
        <f>IF(Calculation!BE38="","",Calculation!BE38)</f>
        <v/>
      </c>
      <c r="C33" s="99" t="str">
        <f t="shared" ca="1" si="1"/>
        <v/>
      </c>
      <c r="D33" s="99" t="str">
        <f t="shared" ca="1" si="1"/>
        <v/>
      </c>
      <c r="E33" s="99" t="str">
        <f t="shared" ca="1" si="1"/>
        <v/>
      </c>
      <c r="F33" s="99" t="str">
        <f t="shared" ca="1" si="1"/>
        <v/>
      </c>
      <c r="G33" s="99" t="str">
        <f t="shared" ca="1" si="1"/>
        <v/>
      </c>
      <c r="H33" s="99" t="str">
        <f t="shared" ca="1" si="1"/>
        <v/>
      </c>
      <c r="I33" s="99" t="str">
        <f t="shared" ca="1" si="1"/>
        <v/>
      </c>
      <c r="J33" s="99" t="str">
        <f t="shared" ca="1" si="1"/>
        <v/>
      </c>
      <c r="K33" s="99" t="str">
        <f t="shared" ca="1" si="1"/>
        <v/>
      </c>
      <c r="L33" s="99" t="str">
        <f t="shared" ca="1" si="1"/>
        <v/>
      </c>
      <c r="P33" s="169"/>
      <c r="Q33" s="169"/>
      <c r="R33" s="169"/>
      <c r="S33" s="169"/>
      <c r="T33" s="169"/>
      <c r="U33" s="169"/>
      <c r="V33" s="169"/>
      <c r="W33" s="169"/>
      <c r="X33" s="169"/>
      <c r="Y33" s="169"/>
      <c r="Z33" s="169"/>
    </row>
    <row r="34" spans="2:26" ht="10.199999999999999" customHeight="1">
      <c r="B34" s="97" t="str">
        <f>IF(Calculation!BE39="","",Calculation!BE39)</f>
        <v/>
      </c>
      <c r="C34" s="99" t="str">
        <f t="shared" ca="1" si="1"/>
        <v/>
      </c>
      <c r="D34" s="99" t="str">
        <f t="shared" ca="1" si="1"/>
        <v/>
      </c>
      <c r="E34" s="99" t="str">
        <f t="shared" ca="1" si="1"/>
        <v/>
      </c>
      <c r="F34" s="99" t="str">
        <f t="shared" ca="1" si="1"/>
        <v/>
      </c>
      <c r="G34" s="99" t="str">
        <f t="shared" ca="1" si="1"/>
        <v/>
      </c>
      <c r="H34" s="99" t="str">
        <f t="shared" ca="1" si="1"/>
        <v/>
      </c>
      <c r="I34" s="99" t="str">
        <f t="shared" ca="1" si="1"/>
        <v/>
      </c>
      <c r="J34" s="99" t="str">
        <f t="shared" ca="1" si="1"/>
        <v/>
      </c>
      <c r="K34" s="99" t="str">
        <f t="shared" ca="1" si="1"/>
        <v/>
      </c>
      <c r="L34" s="99" t="str">
        <f t="shared" ca="1" si="1"/>
        <v/>
      </c>
      <c r="P34" s="167"/>
      <c r="Q34" s="167"/>
      <c r="R34" s="167"/>
      <c r="S34" s="167"/>
      <c r="T34" s="167"/>
      <c r="U34" s="167"/>
      <c r="V34" s="167"/>
      <c r="W34" s="167"/>
      <c r="X34" s="167"/>
      <c r="Y34" s="167"/>
      <c r="Z34" s="167"/>
    </row>
    <row r="35" spans="2:26" ht="10.199999999999999" customHeight="1">
      <c r="B35" s="97" t="str">
        <f>IF(Calculation!BE40="","",Calculation!BE40)</f>
        <v/>
      </c>
      <c r="C35" s="99" t="str">
        <f t="shared" ca="1" si="1"/>
        <v/>
      </c>
      <c r="D35" s="99" t="str">
        <f t="shared" ca="1" si="1"/>
        <v/>
      </c>
      <c r="E35" s="99" t="str">
        <f t="shared" ca="1" si="1"/>
        <v/>
      </c>
      <c r="F35" s="99" t="str">
        <f t="shared" ca="1" si="1"/>
        <v/>
      </c>
      <c r="G35" s="99" t="str">
        <f t="shared" ca="1" si="1"/>
        <v/>
      </c>
      <c r="H35" s="99" t="str">
        <f t="shared" ca="1" si="1"/>
        <v/>
      </c>
      <c r="I35" s="99" t="str">
        <f t="shared" ca="1" si="1"/>
        <v/>
      </c>
      <c r="J35" s="99" t="str">
        <f t="shared" ca="1" si="1"/>
        <v/>
      </c>
      <c r="K35" s="99" t="str">
        <f t="shared" ca="1" si="1"/>
        <v/>
      </c>
      <c r="L35" s="99" t="str">
        <f t="shared" ca="1" si="1"/>
        <v/>
      </c>
      <c r="P35" s="167"/>
      <c r="Q35" s="167"/>
      <c r="R35" s="167"/>
      <c r="S35" s="167"/>
      <c r="T35" s="167"/>
      <c r="U35" s="167"/>
      <c r="V35" s="167"/>
      <c r="W35" s="167"/>
      <c r="X35" s="167"/>
      <c r="Y35" s="167"/>
      <c r="Z35" s="167"/>
    </row>
    <row r="36" spans="2:26" ht="10.199999999999999" customHeight="1">
      <c r="B36" s="97" t="str">
        <f>IF(Calculation!BE41="","",Calculation!BE41)</f>
        <v/>
      </c>
      <c r="C36" s="99" t="str">
        <f t="shared" ca="1" si="1"/>
        <v/>
      </c>
      <c r="D36" s="99" t="str">
        <f t="shared" ca="1" si="1"/>
        <v/>
      </c>
      <c r="E36" s="99" t="str">
        <f t="shared" ca="1" si="1"/>
        <v/>
      </c>
      <c r="F36" s="99" t="str">
        <f t="shared" ca="1" si="1"/>
        <v/>
      </c>
      <c r="G36" s="99" t="str">
        <f t="shared" ca="1" si="1"/>
        <v/>
      </c>
      <c r="H36" s="99" t="str">
        <f t="shared" ca="1" si="1"/>
        <v/>
      </c>
      <c r="I36" s="99" t="str">
        <f t="shared" ca="1" si="1"/>
        <v/>
      </c>
      <c r="J36" s="99" t="str">
        <f t="shared" ca="1" si="1"/>
        <v/>
      </c>
      <c r="K36" s="99" t="str">
        <f t="shared" ca="1" si="1"/>
        <v/>
      </c>
      <c r="L36" s="99" t="str">
        <f t="shared" ca="1" si="1"/>
        <v/>
      </c>
      <c r="P36" s="169"/>
      <c r="Q36" s="169"/>
      <c r="R36" s="169"/>
      <c r="S36" s="169"/>
      <c r="T36" s="169"/>
      <c r="U36" s="169"/>
      <c r="V36" s="169"/>
      <c r="W36" s="169"/>
      <c r="X36" s="169"/>
      <c r="Y36" s="169"/>
      <c r="Z36" s="169"/>
    </row>
    <row r="37" spans="2:26" ht="10.199999999999999" customHeight="1">
      <c r="B37" s="97" t="str">
        <f>IF(Calculation!BE42="","",Calculation!BE42)</f>
        <v/>
      </c>
      <c r="C37" s="99" t="str">
        <f t="shared" ca="1" si="1"/>
        <v/>
      </c>
      <c r="D37" s="99" t="str">
        <f t="shared" ca="1" si="1"/>
        <v/>
      </c>
      <c r="E37" s="99" t="str">
        <f t="shared" ca="1" si="1"/>
        <v/>
      </c>
      <c r="F37" s="99" t="str">
        <f t="shared" ca="1" si="1"/>
        <v/>
      </c>
      <c r="G37" s="99" t="str">
        <f t="shared" ca="1" si="1"/>
        <v/>
      </c>
      <c r="H37" s="99" t="str">
        <f t="shared" ca="1" si="1"/>
        <v/>
      </c>
      <c r="I37" s="99" t="str">
        <f t="shared" ca="1" si="1"/>
        <v/>
      </c>
      <c r="J37" s="99" t="str">
        <f t="shared" ca="1" si="1"/>
        <v/>
      </c>
      <c r="K37" s="99" t="str">
        <f t="shared" ca="1" si="1"/>
        <v/>
      </c>
      <c r="L37" s="99" t="str">
        <f t="shared" ca="1" si="1"/>
        <v/>
      </c>
      <c r="P37" s="167"/>
      <c r="Q37" s="167"/>
      <c r="R37" s="167"/>
      <c r="S37" s="167"/>
      <c r="T37" s="167"/>
      <c r="U37" s="167"/>
      <c r="V37" s="167"/>
      <c r="W37" s="167"/>
      <c r="X37" s="167"/>
      <c r="Y37" s="167"/>
      <c r="Z37" s="167"/>
    </row>
    <row r="38" spans="2:26" ht="10.199999999999999" customHeight="1">
      <c r="B38" s="97" t="str">
        <f>IF(Calculation!BE43="","",Calculation!BE43)</f>
        <v/>
      </c>
      <c r="C38" s="99" t="str">
        <f t="shared" ref="C38:L53" ca="1" si="2">IF($M$4=0,"",VLOOKUP($B38,INDIRECT("$P$1:$Z$"&amp;$M$4),COLUMN()-1,0))</f>
        <v/>
      </c>
      <c r="D38" s="99" t="str">
        <f t="shared" ca="1" si="2"/>
        <v/>
      </c>
      <c r="E38" s="99" t="str">
        <f t="shared" ca="1" si="2"/>
        <v/>
      </c>
      <c r="F38" s="99" t="str">
        <f t="shared" ca="1" si="2"/>
        <v/>
      </c>
      <c r="G38" s="99" t="str">
        <f t="shared" ca="1" si="2"/>
        <v/>
      </c>
      <c r="H38" s="99" t="str">
        <f t="shared" ca="1" si="2"/>
        <v/>
      </c>
      <c r="I38" s="99" t="str">
        <f t="shared" ca="1" si="2"/>
        <v/>
      </c>
      <c r="J38" s="99" t="str">
        <f t="shared" ca="1" si="2"/>
        <v/>
      </c>
      <c r="K38" s="99" t="str">
        <f t="shared" ca="1" si="2"/>
        <v/>
      </c>
      <c r="L38" s="99" t="str">
        <f t="shared" ca="1" si="2"/>
        <v/>
      </c>
      <c r="P38" s="167"/>
      <c r="Q38" s="167"/>
      <c r="R38" s="167"/>
      <c r="S38" s="167"/>
      <c r="T38" s="167"/>
      <c r="U38" s="167"/>
      <c r="V38" s="167"/>
      <c r="W38" s="167"/>
      <c r="X38" s="167"/>
      <c r="Y38" s="167"/>
      <c r="Z38" s="167"/>
    </row>
    <row r="39" spans="2:26" ht="10.199999999999999" customHeight="1">
      <c r="B39" s="97" t="str">
        <f>IF(Calculation!BE44="","",Calculation!BE44)</f>
        <v/>
      </c>
      <c r="C39" s="99" t="str">
        <f t="shared" ca="1" si="2"/>
        <v/>
      </c>
      <c r="D39" s="99" t="str">
        <f t="shared" ca="1" si="2"/>
        <v/>
      </c>
      <c r="E39" s="99" t="str">
        <f t="shared" ca="1" si="2"/>
        <v/>
      </c>
      <c r="F39" s="99" t="str">
        <f t="shared" ca="1" si="2"/>
        <v/>
      </c>
      <c r="G39" s="99" t="str">
        <f t="shared" ca="1" si="2"/>
        <v/>
      </c>
      <c r="H39" s="99" t="str">
        <f t="shared" ca="1" si="2"/>
        <v/>
      </c>
      <c r="I39" s="99" t="str">
        <f t="shared" ca="1" si="2"/>
        <v/>
      </c>
      <c r="J39" s="99" t="str">
        <f t="shared" ca="1" si="2"/>
        <v/>
      </c>
      <c r="K39" s="99" t="str">
        <f t="shared" ca="1" si="2"/>
        <v/>
      </c>
      <c r="L39" s="99" t="str">
        <f t="shared" ca="1" si="2"/>
        <v/>
      </c>
      <c r="P39" s="169"/>
      <c r="Q39" s="169"/>
      <c r="R39" s="169"/>
      <c r="S39" s="169"/>
      <c r="T39" s="169"/>
      <c r="U39" s="169"/>
      <c r="V39" s="169"/>
      <c r="W39" s="169"/>
      <c r="X39" s="169"/>
      <c r="Y39" s="169"/>
      <c r="Z39" s="169"/>
    </row>
    <row r="40" spans="2:26" ht="10.199999999999999" customHeight="1">
      <c r="B40" s="97" t="str">
        <f>IF(Calculation!BE45="","",Calculation!BE45)</f>
        <v/>
      </c>
      <c r="C40" s="99" t="str">
        <f t="shared" ca="1" si="2"/>
        <v/>
      </c>
      <c r="D40" s="99" t="str">
        <f t="shared" ca="1" si="2"/>
        <v/>
      </c>
      <c r="E40" s="99" t="str">
        <f t="shared" ca="1" si="2"/>
        <v/>
      </c>
      <c r="F40" s="99" t="str">
        <f t="shared" ca="1" si="2"/>
        <v/>
      </c>
      <c r="G40" s="99" t="str">
        <f t="shared" ca="1" si="2"/>
        <v/>
      </c>
      <c r="H40" s="99" t="str">
        <f t="shared" ca="1" si="2"/>
        <v/>
      </c>
      <c r="I40" s="99" t="str">
        <f t="shared" ca="1" si="2"/>
        <v/>
      </c>
      <c r="J40" s="99" t="str">
        <f t="shared" ca="1" si="2"/>
        <v/>
      </c>
      <c r="K40" s="99" t="str">
        <f t="shared" ca="1" si="2"/>
        <v/>
      </c>
      <c r="L40" s="99" t="str">
        <f t="shared" ca="1" si="2"/>
        <v/>
      </c>
      <c r="P40" s="167"/>
      <c r="Q40" s="167"/>
      <c r="R40" s="167"/>
      <c r="S40" s="167"/>
      <c r="T40" s="167"/>
      <c r="U40" s="167"/>
      <c r="V40" s="167"/>
      <c r="W40" s="167"/>
      <c r="X40" s="167"/>
      <c r="Y40" s="167"/>
      <c r="Z40" s="167"/>
    </row>
    <row r="41" spans="2:26" ht="10.199999999999999" customHeight="1">
      <c r="B41" s="97" t="str">
        <f>IF(Calculation!BE47="","",Calculation!BE47)</f>
        <v/>
      </c>
      <c r="C41" s="99" t="str">
        <f t="shared" ca="1" si="2"/>
        <v/>
      </c>
      <c r="D41" s="99" t="str">
        <f t="shared" ca="1" si="2"/>
        <v/>
      </c>
      <c r="E41" s="99" t="str">
        <f t="shared" ca="1" si="2"/>
        <v/>
      </c>
      <c r="F41" s="99" t="str">
        <f t="shared" ca="1" si="2"/>
        <v/>
      </c>
      <c r="G41" s="99" t="str">
        <f t="shared" ca="1" si="2"/>
        <v/>
      </c>
      <c r="H41" s="99" t="str">
        <f t="shared" ca="1" si="2"/>
        <v/>
      </c>
      <c r="I41" s="99" t="str">
        <f t="shared" ca="1" si="2"/>
        <v/>
      </c>
      <c r="J41" s="99" t="str">
        <f t="shared" ca="1" si="2"/>
        <v/>
      </c>
      <c r="K41" s="99" t="str">
        <f t="shared" ca="1" si="2"/>
        <v/>
      </c>
      <c r="L41" s="99" t="str">
        <f t="shared" ca="1" si="2"/>
        <v/>
      </c>
      <c r="P41" s="167"/>
      <c r="Q41" s="167"/>
      <c r="R41" s="167"/>
      <c r="S41" s="167"/>
      <c r="T41" s="167"/>
      <c r="U41" s="167"/>
      <c r="V41" s="167"/>
      <c r="W41" s="167"/>
      <c r="X41" s="167"/>
      <c r="Y41" s="167"/>
      <c r="Z41" s="167"/>
    </row>
    <row r="42" spans="2:26" ht="10.199999999999999" customHeight="1">
      <c r="B42" s="97" t="str">
        <f>IF(Calculation!BE48="","",Calculation!BE48)</f>
        <v/>
      </c>
      <c r="C42" s="99" t="str">
        <f t="shared" ca="1" si="2"/>
        <v/>
      </c>
      <c r="D42" s="99" t="str">
        <f t="shared" ca="1" si="2"/>
        <v/>
      </c>
      <c r="E42" s="99" t="str">
        <f t="shared" ca="1" si="2"/>
        <v/>
      </c>
      <c r="F42" s="99" t="str">
        <f t="shared" ca="1" si="2"/>
        <v/>
      </c>
      <c r="G42" s="99" t="str">
        <f t="shared" ca="1" si="2"/>
        <v/>
      </c>
      <c r="H42" s="99" t="str">
        <f t="shared" ca="1" si="2"/>
        <v/>
      </c>
      <c r="I42" s="99" t="str">
        <f t="shared" ca="1" si="2"/>
        <v/>
      </c>
      <c r="J42" s="99" t="str">
        <f t="shared" ca="1" si="2"/>
        <v/>
      </c>
      <c r="K42" s="99" t="str">
        <f t="shared" ca="1" si="2"/>
        <v/>
      </c>
      <c r="L42" s="99" t="str">
        <f t="shared" ca="1" si="2"/>
        <v/>
      </c>
      <c r="P42" s="169"/>
      <c r="Q42" s="169"/>
      <c r="R42" s="169"/>
      <c r="S42" s="169"/>
      <c r="T42" s="169"/>
      <c r="U42" s="169"/>
      <c r="V42" s="169"/>
      <c r="W42" s="169"/>
      <c r="X42" s="169"/>
      <c r="Y42" s="169"/>
      <c r="Z42" s="169"/>
    </row>
    <row r="43" spans="2:26" ht="10.199999999999999" customHeight="1">
      <c r="B43" s="97" t="str">
        <f>IF(Calculation!BE49="","",Calculation!BE49)</f>
        <v/>
      </c>
      <c r="C43" s="99" t="str">
        <f t="shared" ca="1" si="2"/>
        <v/>
      </c>
      <c r="D43" s="99" t="str">
        <f t="shared" ca="1" si="2"/>
        <v/>
      </c>
      <c r="E43" s="99" t="str">
        <f t="shared" ca="1" si="2"/>
        <v/>
      </c>
      <c r="F43" s="99" t="str">
        <f t="shared" ca="1" si="2"/>
        <v/>
      </c>
      <c r="G43" s="99" t="str">
        <f t="shared" ca="1" si="2"/>
        <v/>
      </c>
      <c r="H43" s="99" t="str">
        <f t="shared" ca="1" si="2"/>
        <v/>
      </c>
      <c r="I43" s="99" t="str">
        <f t="shared" ca="1" si="2"/>
        <v/>
      </c>
      <c r="J43" s="99" t="str">
        <f t="shared" ca="1" si="2"/>
        <v/>
      </c>
      <c r="K43" s="99" t="str">
        <f t="shared" ca="1" si="2"/>
        <v/>
      </c>
      <c r="L43" s="99" t="str">
        <f t="shared" ca="1" si="2"/>
        <v/>
      </c>
      <c r="P43" s="167"/>
      <c r="Q43" s="167"/>
      <c r="R43" s="167"/>
      <c r="S43" s="167"/>
      <c r="T43" s="167"/>
      <c r="U43" s="167"/>
      <c r="V43" s="167"/>
      <c r="W43" s="167"/>
      <c r="X43" s="167"/>
      <c r="Y43" s="167"/>
      <c r="Z43" s="167"/>
    </row>
    <row r="44" spans="2:26" ht="10.199999999999999" customHeight="1">
      <c r="B44" s="97" t="str">
        <f>IF(Calculation!BE50="","",Calculation!BE50)</f>
        <v/>
      </c>
      <c r="C44" s="99" t="str">
        <f t="shared" ca="1" si="2"/>
        <v/>
      </c>
      <c r="D44" s="99" t="str">
        <f t="shared" ca="1" si="2"/>
        <v/>
      </c>
      <c r="E44" s="99" t="str">
        <f t="shared" ca="1" si="2"/>
        <v/>
      </c>
      <c r="F44" s="99" t="str">
        <f t="shared" ca="1" si="2"/>
        <v/>
      </c>
      <c r="G44" s="99" t="str">
        <f t="shared" ca="1" si="2"/>
        <v/>
      </c>
      <c r="H44" s="99" t="str">
        <f t="shared" ca="1" si="2"/>
        <v/>
      </c>
      <c r="I44" s="99" t="str">
        <f t="shared" ca="1" si="2"/>
        <v/>
      </c>
      <c r="J44" s="99" t="str">
        <f t="shared" ca="1" si="2"/>
        <v/>
      </c>
      <c r="K44" s="99" t="str">
        <f t="shared" ca="1" si="2"/>
        <v/>
      </c>
      <c r="L44" s="99" t="str">
        <f t="shared" ca="1" si="2"/>
        <v/>
      </c>
      <c r="P44" s="167"/>
      <c r="Q44" s="167"/>
      <c r="R44" s="167"/>
      <c r="S44" s="167"/>
      <c r="T44" s="167"/>
      <c r="U44" s="167"/>
      <c r="V44" s="167"/>
      <c r="W44" s="167"/>
      <c r="X44" s="167"/>
      <c r="Y44" s="167"/>
      <c r="Z44" s="167"/>
    </row>
    <row r="45" spans="2:26" ht="10.199999999999999" customHeight="1">
      <c r="B45" s="97" t="str">
        <f>IF(Calculation!BE51="","",Calculation!BE51)</f>
        <v/>
      </c>
      <c r="C45" s="99" t="str">
        <f t="shared" ca="1" si="2"/>
        <v/>
      </c>
      <c r="D45" s="99" t="str">
        <f t="shared" ca="1" si="2"/>
        <v/>
      </c>
      <c r="E45" s="99" t="str">
        <f t="shared" ca="1" si="2"/>
        <v/>
      </c>
      <c r="F45" s="99" t="str">
        <f t="shared" ca="1" si="2"/>
        <v/>
      </c>
      <c r="G45" s="99" t="str">
        <f t="shared" ca="1" si="2"/>
        <v/>
      </c>
      <c r="H45" s="99" t="str">
        <f t="shared" ca="1" si="2"/>
        <v/>
      </c>
      <c r="I45" s="99" t="str">
        <f t="shared" ca="1" si="2"/>
        <v/>
      </c>
      <c r="J45" s="99" t="str">
        <f t="shared" ca="1" si="2"/>
        <v/>
      </c>
      <c r="K45" s="99" t="str">
        <f t="shared" ca="1" si="2"/>
        <v/>
      </c>
      <c r="L45" s="99" t="str">
        <f t="shared" ca="1" si="2"/>
        <v/>
      </c>
      <c r="P45" s="169"/>
      <c r="Q45" s="169"/>
      <c r="R45" s="169"/>
      <c r="S45" s="169"/>
      <c r="T45" s="169"/>
      <c r="U45" s="169"/>
      <c r="V45" s="169"/>
      <c r="W45" s="169"/>
      <c r="X45" s="169"/>
      <c r="Y45" s="169"/>
      <c r="Z45" s="169"/>
    </row>
    <row r="46" spans="2:26" ht="10.199999999999999" customHeight="1">
      <c r="B46" s="97" t="str">
        <f>IF(Calculation!BE52="","",Calculation!BE52)</f>
        <v/>
      </c>
      <c r="C46" s="99" t="str">
        <f t="shared" ca="1" si="2"/>
        <v/>
      </c>
      <c r="D46" s="99" t="str">
        <f t="shared" ca="1" si="2"/>
        <v/>
      </c>
      <c r="E46" s="99" t="str">
        <f t="shared" ca="1" si="2"/>
        <v/>
      </c>
      <c r="F46" s="99" t="str">
        <f t="shared" ca="1" si="2"/>
        <v/>
      </c>
      <c r="G46" s="99" t="str">
        <f t="shared" ca="1" si="2"/>
        <v/>
      </c>
      <c r="H46" s="99" t="str">
        <f t="shared" ca="1" si="2"/>
        <v/>
      </c>
      <c r="I46" s="99" t="str">
        <f t="shared" ca="1" si="2"/>
        <v/>
      </c>
      <c r="J46" s="99" t="str">
        <f t="shared" ca="1" si="2"/>
        <v/>
      </c>
      <c r="K46" s="99" t="str">
        <f t="shared" ca="1" si="2"/>
        <v/>
      </c>
      <c r="L46" s="99" t="str">
        <f t="shared" ca="1" si="2"/>
        <v/>
      </c>
      <c r="P46" s="167"/>
      <c r="Q46" s="167"/>
      <c r="R46" s="167"/>
      <c r="S46" s="167"/>
      <c r="T46" s="167"/>
      <c r="U46" s="167"/>
      <c r="V46" s="167"/>
      <c r="W46" s="167"/>
      <c r="X46" s="167"/>
      <c r="Y46" s="167"/>
      <c r="Z46" s="167"/>
    </row>
    <row r="47" spans="2:26" ht="10.199999999999999" customHeight="1">
      <c r="B47" s="97" t="str">
        <f>IF(Calculation!BE53="","",Calculation!BE53)</f>
        <v/>
      </c>
      <c r="C47" s="99" t="str">
        <f t="shared" ca="1" si="2"/>
        <v/>
      </c>
      <c r="D47" s="99" t="str">
        <f t="shared" ca="1" si="2"/>
        <v/>
      </c>
      <c r="E47" s="99" t="str">
        <f t="shared" ca="1" si="2"/>
        <v/>
      </c>
      <c r="F47" s="99" t="str">
        <f t="shared" ca="1" si="2"/>
        <v/>
      </c>
      <c r="G47" s="99" t="str">
        <f t="shared" ca="1" si="2"/>
        <v/>
      </c>
      <c r="H47" s="99" t="str">
        <f t="shared" ca="1" si="2"/>
        <v/>
      </c>
      <c r="I47" s="99" t="str">
        <f t="shared" ca="1" si="2"/>
        <v/>
      </c>
      <c r="J47" s="99" t="str">
        <f t="shared" ca="1" si="2"/>
        <v/>
      </c>
      <c r="K47" s="99" t="str">
        <f t="shared" ca="1" si="2"/>
        <v/>
      </c>
      <c r="L47" s="99" t="str">
        <f t="shared" ca="1" si="2"/>
        <v/>
      </c>
      <c r="P47" s="167"/>
      <c r="Q47" s="167"/>
      <c r="R47" s="167"/>
      <c r="S47" s="167"/>
      <c r="T47" s="167"/>
      <c r="U47" s="167"/>
      <c r="V47" s="167"/>
      <c r="W47" s="167"/>
      <c r="X47" s="167"/>
      <c r="Y47" s="167"/>
      <c r="Z47" s="167"/>
    </row>
    <row r="48" spans="2:26" ht="10.199999999999999" customHeight="1">
      <c r="B48" s="97" t="str">
        <f>IF(Calculation!BE54="","",Calculation!BE54)</f>
        <v/>
      </c>
      <c r="C48" s="99" t="str">
        <f t="shared" ca="1" si="2"/>
        <v/>
      </c>
      <c r="D48" s="99" t="str">
        <f t="shared" ca="1" si="2"/>
        <v/>
      </c>
      <c r="E48" s="99" t="str">
        <f t="shared" ca="1" si="2"/>
        <v/>
      </c>
      <c r="F48" s="99" t="str">
        <f t="shared" ca="1" si="2"/>
        <v/>
      </c>
      <c r="G48" s="99" t="str">
        <f t="shared" ca="1" si="2"/>
        <v/>
      </c>
      <c r="H48" s="99" t="str">
        <f t="shared" ca="1" si="2"/>
        <v/>
      </c>
      <c r="I48" s="99" t="str">
        <f t="shared" ca="1" si="2"/>
        <v/>
      </c>
      <c r="J48" s="99" t="str">
        <f t="shared" ca="1" si="2"/>
        <v/>
      </c>
      <c r="K48" s="99" t="str">
        <f t="shared" ca="1" si="2"/>
        <v/>
      </c>
      <c r="L48" s="99" t="str">
        <f t="shared" ca="1" si="2"/>
        <v/>
      </c>
      <c r="P48" s="169"/>
      <c r="Q48" s="169"/>
      <c r="R48" s="169"/>
      <c r="S48" s="169"/>
      <c r="T48" s="169"/>
      <c r="U48" s="169"/>
      <c r="V48" s="169"/>
      <c r="W48" s="169"/>
      <c r="X48" s="169"/>
      <c r="Y48" s="169"/>
      <c r="Z48" s="169"/>
    </row>
    <row r="49" spans="2:26" ht="10.199999999999999" customHeight="1">
      <c r="B49" s="97" t="str">
        <f>IF(Calculation!BE55="","",Calculation!BE55)</f>
        <v/>
      </c>
      <c r="C49" s="99" t="str">
        <f t="shared" ca="1" si="2"/>
        <v/>
      </c>
      <c r="D49" s="99" t="str">
        <f t="shared" ca="1" si="2"/>
        <v/>
      </c>
      <c r="E49" s="99" t="str">
        <f t="shared" ca="1" si="2"/>
        <v/>
      </c>
      <c r="F49" s="99" t="str">
        <f t="shared" ca="1" si="2"/>
        <v/>
      </c>
      <c r="G49" s="99" t="str">
        <f t="shared" ca="1" si="2"/>
        <v/>
      </c>
      <c r="H49" s="99" t="str">
        <f t="shared" ca="1" si="2"/>
        <v/>
      </c>
      <c r="I49" s="99" t="str">
        <f t="shared" ca="1" si="2"/>
        <v/>
      </c>
      <c r="J49" s="99" t="str">
        <f t="shared" ca="1" si="2"/>
        <v/>
      </c>
      <c r="K49" s="99" t="str">
        <f t="shared" ca="1" si="2"/>
        <v/>
      </c>
      <c r="L49" s="99" t="str">
        <f t="shared" ca="1" si="2"/>
        <v/>
      </c>
      <c r="P49" s="167"/>
      <c r="Q49" s="167"/>
      <c r="R49" s="167"/>
      <c r="S49" s="167"/>
      <c r="T49" s="167"/>
      <c r="U49" s="167"/>
      <c r="V49" s="167"/>
      <c r="W49" s="167"/>
      <c r="X49" s="167"/>
      <c r="Y49" s="167"/>
      <c r="Z49" s="167"/>
    </row>
    <row r="50" spans="2:26" ht="10.199999999999999" customHeight="1">
      <c r="B50" s="97" t="str">
        <f>IF(Calculation!BE56="","",Calculation!BE56)</f>
        <v/>
      </c>
      <c r="C50" s="99" t="str">
        <f t="shared" ca="1" si="2"/>
        <v/>
      </c>
      <c r="D50" s="99" t="str">
        <f t="shared" ca="1" si="2"/>
        <v/>
      </c>
      <c r="E50" s="99" t="str">
        <f t="shared" ca="1" si="2"/>
        <v/>
      </c>
      <c r="F50" s="99" t="str">
        <f t="shared" ca="1" si="2"/>
        <v/>
      </c>
      <c r="G50" s="99" t="str">
        <f t="shared" ca="1" si="2"/>
        <v/>
      </c>
      <c r="H50" s="99" t="str">
        <f t="shared" ca="1" si="2"/>
        <v/>
      </c>
      <c r="I50" s="99" t="str">
        <f t="shared" ca="1" si="2"/>
        <v/>
      </c>
      <c r="J50" s="99" t="str">
        <f t="shared" ca="1" si="2"/>
        <v/>
      </c>
      <c r="K50" s="99" t="str">
        <f t="shared" ca="1" si="2"/>
        <v/>
      </c>
      <c r="L50" s="99" t="str">
        <f t="shared" ca="1" si="2"/>
        <v/>
      </c>
      <c r="P50" s="167"/>
      <c r="Q50" s="167"/>
      <c r="R50" s="167"/>
      <c r="S50" s="167"/>
      <c r="T50" s="167"/>
      <c r="U50" s="167"/>
      <c r="V50" s="167"/>
      <c r="W50" s="167"/>
      <c r="X50" s="167"/>
      <c r="Y50" s="167"/>
      <c r="Z50" s="167"/>
    </row>
    <row r="51" spans="2:26" ht="10.199999999999999" customHeight="1">
      <c r="B51" s="97" t="str">
        <f>IF(Calculation!BE57="","",Calculation!BE57)</f>
        <v/>
      </c>
      <c r="C51" s="99" t="str">
        <f t="shared" ca="1" si="2"/>
        <v/>
      </c>
      <c r="D51" s="99" t="str">
        <f t="shared" ca="1" si="2"/>
        <v/>
      </c>
      <c r="E51" s="99" t="str">
        <f t="shared" ca="1" si="2"/>
        <v/>
      </c>
      <c r="F51" s="99" t="str">
        <f t="shared" ca="1" si="2"/>
        <v/>
      </c>
      <c r="G51" s="99" t="str">
        <f t="shared" ca="1" si="2"/>
        <v/>
      </c>
      <c r="H51" s="99" t="str">
        <f t="shared" ca="1" si="2"/>
        <v/>
      </c>
      <c r="I51" s="99" t="str">
        <f t="shared" ca="1" si="2"/>
        <v/>
      </c>
      <c r="J51" s="99" t="str">
        <f t="shared" ca="1" si="2"/>
        <v/>
      </c>
      <c r="K51" s="99" t="str">
        <f t="shared" ca="1" si="2"/>
        <v/>
      </c>
      <c r="L51" s="99" t="str">
        <f t="shared" ca="1" si="2"/>
        <v/>
      </c>
      <c r="P51" s="169"/>
      <c r="Q51" s="169"/>
      <c r="R51" s="169"/>
      <c r="S51" s="169"/>
      <c r="T51" s="169"/>
      <c r="U51" s="169"/>
      <c r="V51" s="169"/>
      <c r="W51" s="169"/>
      <c r="X51" s="169"/>
      <c r="Y51" s="169"/>
      <c r="Z51" s="169"/>
    </row>
    <row r="52" spans="2:26" ht="10.199999999999999" customHeight="1">
      <c r="B52" s="97" t="str">
        <f>IF(Calculation!BE58="","",Calculation!BE58)</f>
        <v/>
      </c>
      <c r="C52" s="99" t="str">
        <f t="shared" ca="1" si="2"/>
        <v/>
      </c>
      <c r="D52" s="99" t="str">
        <f t="shared" ca="1" si="2"/>
        <v/>
      </c>
      <c r="E52" s="99" t="str">
        <f t="shared" ca="1" si="2"/>
        <v/>
      </c>
      <c r="F52" s="99" t="str">
        <f t="shared" ca="1" si="2"/>
        <v/>
      </c>
      <c r="G52" s="99" t="str">
        <f t="shared" ca="1" si="2"/>
        <v/>
      </c>
      <c r="H52" s="99" t="str">
        <f t="shared" ca="1" si="2"/>
        <v/>
      </c>
      <c r="I52" s="99" t="str">
        <f t="shared" ca="1" si="2"/>
        <v/>
      </c>
      <c r="J52" s="99" t="str">
        <f t="shared" ca="1" si="2"/>
        <v/>
      </c>
      <c r="K52" s="99" t="str">
        <f t="shared" ca="1" si="2"/>
        <v/>
      </c>
      <c r="L52" s="99" t="str">
        <f t="shared" ca="1" si="2"/>
        <v/>
      </c>
      <c r="P52" s="167"/>
      <c r="Q52" s="167"/>
      <c r="R52" s="167"/>
      <c r="S52" s="167"/>
      <c r="T52" s="167"/>
      <c r="U52" s="167"/>
      <c r="V52" s="167"/>
      <c r="W52" s="167"/>
      <c r="X52" s="167"/>
      <c r="Y52" s="167"/>
      <c r="Z52" s="167"/>
    </row>
    <row r="53" spans="2:26" ht="10.199999999999999" customHeight="1">
      <c r="B53" s="97" t="str">
        <f>IF(Calculation!BE59="","",Calculation!BE59)</f>
        <v/>
      </c>
      <c r="C53" s="99" t="str">
        <f t="shared" ca="1" si="2"/>
        <v/>
      </c>
      <c r="D53" s="99" t="str">
        <f t="shared" ca="1" si="2"/>
        <v/>
      </c>
      <c r="E53" s="99" t="str">
        <f t="shared" ca="1" si="2"/>
        <v/>
      </c>
      <c r="F53" s="99" t="str">
        <f t="shared" ca="1" si="2"/>
        <v/>
      </c>
      <c r="G53" s="99" t="str">
        <f t="shared" ca="1" si="2"/>
        <v/>
      </c>
      <c r="H53" s="99" t="str">
        <f t="shared" ca="1" si="2"/>
        <v/>
      </c>
      <c r="I53" s="99" t="str">
        <f t="shared" ca="1" si="2"/>
        <v/>
      </c>
      <c r="J53" s="99" t="str">
        <f t="shared" ca="1" si="2"/>
        <v/>
      </c>
      <c r="K53" s="99" t="str">
        <f t="shared" ca="1" si="2"/>
        <v/>
      </c>
      <c r="L53" s="99" t="str">
        <f t="shared" ca="1" si="2"/>
        <v/>
      </c>
      <c r="P53" s="167"/>
      <c r="Q53" s="167"/>
      <c r="R53" s="167"/>
      <c r="S53" s="167"/>
      <c r="T53" s="167"/>
      <c r="U53" s="167"/>
      <c r="V53" s="167"/>
      <c r="W53" s="167"/>
      <c r="X53" s="167"/>
      <c r="Y53" s="167"/>
      <c r="Z53" s="167"/>
    </row>
    <row r="54" spans="2:26" ht="10.199999999999999" customHeight="1">
      <c r="B54" s="97" t="str">
        <f>IF(Calculation!BE60="","",Calculation!BE60)</f>
        <v/>
      </c>
      <c r="C54" s="99" t="str">
        <f t="shared" ref="C54:L55" ca="1" si="3">IF($M$4=0,"",VLOOKUP($B54,INDIRECT("$P$1:$Z$"&amp;$M$4),COLUMN()-1,0))</f>
        <v/>
      </c>
      <c r="D54" s="99" t="str">
        <f t="shared" ca="1" si="3"/>
        <v/>
      </c>
      <c r="E54" s="99" t="str">
        <f t="shared" ca="1" si="3"/>
        <v/>
      </c>
      <c r="F54" s="99" t="str">
        <f t="shared" ca="1" si="3"/>
        <v/>
      </c>
      <c r="G54" s="99" t="str">
        <f t="shared" ca="1" si="3"/>
        <v/>
      </c>
      <c r="H54" s="99" t="str">
        <f t="shared" ca="1" si="3"/>
        <v/>
      </c>
      <c r="I54" s="99" t="str">
        <f t="shared" ca="1" si="3"/>
        <v/>
      </c>
      <c r="J54" s="99" t="str">
        <f t="shared" ca="1" si="3"/>
        <v/>
      </c>
      <c r="K54" s="99" t="str">
        <f t="shared" ca="1" si="3"/>
        <v/>
      </c>
      <c r="L54" s="99" t="str">
        <f t="shared" ca="1" si="3"/>
        <v/>
      </c>
      <c r="P54" s="169"/>
      <c r="Q54" s="169"/>
      <c r="R54" s="169"/>
      <c r="S54" s="169"/>
      <c r="T54" s="169"/>
      <c r="U54" s="169"/>
      <c r="V54" s="169"/>
      <c r="W54" s="169"/>
      <c r="X54" s="169"/>
      <c r="Y54" s="169"/>
      <c r="Z54" s="169"/>
    </row>
    <row r="55" spans="2:26" ht="10.199999999999999" customHeight="1">
      <c r="B55" s="97" t="str">
        <f>IF(Calculation!BE61="","",Calculation!BE61)</f>
        <v/>
      </c>
      <c r="C55" s="99" t="str">
        <f t="shared" ca="1" si="3"/>
        <v/>
      </c>
      <c r="D55" s="99" t="str">
        <f t="shared" ca="1" si="3"/>
        <v/>
      </c>
      <c r="E55" s="99" t="str">
        <f t="shared" ca="1" si="3"/>
        <v/>
      </c>
      <c r="F55" s="99" t="str">
        <f t="shared" ca="1" si="3"/>
        <v/>
      </c>
      <c r="G55" s="99" t="str">
        <f t="shared" ca="1" si="3"/>
        <v/>
      </c>
      <c r="H55" s="99" t="str">
        <f t="shared" ca="1" si="3"/>
        <v/>
      </c>
      <c r="I55" s="99" t="str">
        <f t="shared" ca="1" si="3"/>
        <v/>
      </c>
      <c r="J55" s="99" t="str">
        <f t="shared" ca="1" si="3"/>
        <v/>
      </c>
      <c r="K55" s="99" t="str">
        <f t="shared" ca="1" si="3"/>
        <v/>
      </c>
      <c r="L55" s="99" t="str">
        <f t="shared" ca="1" si="3"/>
        <v/>
      </c>
      <c r="P55" s="167"/>
      <c r="Q55" s="167"/>
      <c r="R55" s="167"/>
      <c r="S55" s="167"/>
      <c r="T55" s="167"/>
      <c r="U55" s="167"/>
      <c r="V55" s="167"/>
      <c r="W55" s="167"/>
      <c r="X55" s="167"/>
      <c r="Y55" s="167"/>
      <c r="Z55" s="167"/>
    </row>
    <row r="56" spans="2:26" ht="10.199999999999999" customHeight="1">
      <c r="P56" s="167"/>
      <c r="Q56" s="167"/>
      <c r="R56" s="167"/>
      <c r="S56" s="167"/>
      <c r="T56" s="167"/>
      <c r="U56" s="167"/>
      <c r="V56" s="167"/>
      <c r="W56" s="167"/>
      <c r="X56" s="167"/>
      <c r="Y56" s="167"/>
      <c r="Z56" s="167"/>
    </row>
    <row r="57" spans="2:26" ht="10.199999999999999" customHeight="1">
      <c r="P57" s="169"/>
      <c r="Q57" s="169"/>
      <c r="R57" s="169"/>
      <c r="S57" s="169"/>
      <c r="T57" s="169"/>
      <c r="U57" s="169"/>
      <c r="V57" s="169"/>
      <c r="W57" s="169"/>
      <c r="X57" s="169"/>
      <c r="Y57" s="169"/>
      <c r="Z57" s="169"/>
    </row>
    <row r="58" spans="2:26" ht="10.199999999999999" customHeight="1">
      <c r="P58" s="167"/>
      <c r="Q58" s="167"/>
      <c r="R58" s="167"/>
      <c r="S58" s="167"/>
      <c r="T58" s="167"/>
      <c r="U58" s="167"/>
      <c r="V58" s="167"/>
      <c r="W58" s="167"/>
      <c r="X58" s="167"/>
      <c r="Y58" s="167"/>
      <c r="Z58" s="167"/>
    </row>
    <row r="59" spans="2:26" ht="10.199999999999999" customHeight="1">
      <c r="P59" s="167"/>
      <c r="Q59" s="167"/>
      <c r="R59" s="167"/>
      <c r="S59" s="167"/>
      <c r="T59" s="167"/>
      <c r="U59" s="167"/>
      <c r="V59" s="167"/>
      <c r="W59" s="167"/>
      <c r="X59" s="167"/>
      <c r="Y59" s="167"/>
      <c r="Z59" s="167"/>
    </row>
    <row r="60" spans="2:26" ht="10.199999999999999" customHeight="1">
      <c r="P60" s="169"/>
      <c r="Q60" s="169"/>
      <c r="R60" s="169"/>
      <c r="S60" s="169"/>
      <c r="T60" s="169"/>
      <c r="U60" s="169"/>
      <c r="V60" s="169"/>
      <c r="W60" s="169"/>
      <c r="X60" s="169"/>
      <c r="Y60" s="169"/>
      <c r="Z60" s="169"/>
    </row>
    <row r="61" spans="2:26" ht="10.199999999999999" customHeight="1">
      <c r="P61" s="167"/>
      <c r="Q61" s="167"/>
      <c r="R61" s="167"/>
      <c r="S61" s="167"/>
      <c r="T61" s="167"/>
      <c r="U61" s="167"/>
      <c r="V61" s="167"/>
      <c r="W61" s="167"/>
      <c r="X61" s="167"/>
      <c r="Y61" s="167"/>
      <c r="Z61" s="167"/>
    </row>
    <row r="62" spans="2:26" ht="10.199999999999999" customHeight="1">
      <c r="P62" s="167"/>
      <c r="Q62" s="167"/>
      <c r="R62" s="167"/>
      <c r="S62" s="167"/>
      <c r="T62" s="167"/>
      <c r="U62" s="167"/>
      <c r="V62" s="167"/>
      <c r="W62" s="167"/>
      <c r="X62" s="167"/>
      <c r="Y62" s="167"/>
      <c r="Z62" s="167"/>
    </row>
    <row r="63" spans="2:26" ht="10.199999999999999" customHeight="1">
      <c r="P63" s="169"/>
      <c r="Q63" s="169"/>
      <c r="R63" s="169"/>
      <c r="S63" s="169"/>
      <c r="T63" s="169"/>
      <c r="U63" s="169"/>
      <c r="V63" s="169"/>
      <c r="W63" s="169"/>
      <c r="X63" s="169"/>
      <c r="Y63" s="169"/>
      <c r="Z63" s="169"/>
    </row>
    <row r="64" spans="2:26" ht="10.199999999999999" customHeight="1">
      <c r="P64" s="167"/>
      <c r="Q64" s="167"/>
      <c r="R64" s="167"/>
      <c r="S64" s="167"/>
      <c r="T64" s="167"/>
      <c r="U64" s="167"/>
      <c r="V64" s="167"/>
      <c r="W64" s="167"/>
      <c r="X64" s="167"/>
      <c r="Y64" s="167"/>
      <c r="Z64" s="167"/>
    </row>
    <row r="65" spans="16:26" ht="10.199999999999999" customHeight="1">
      <c r="P65" s="167"/>
      <c r="Q65" s="167"/>
      <c r="R65" s="167"/>
      <c r="S65" s="167"/>
      <c r="T65" s="167"/>
      <c r="U65" s="167"/>
      <c r="V65" s="167"/>
      <c r="W65" s="167"/>
      <c r="X65" s="167"/>
      <c r="Y65" s="167"/>
      <c r="Z65" s="167"/>
    </row>
    <row r="66" spans="16:26" ht="10.199999999999999" customHeight="1">
      <c r="P66" s="169"/>
      <c r="Q66" s="169"/>
      <c r="R66" s="169"/>
      <c r="S66" s="169"/>
      <c r="T66" s="169"/>
      <c r="U66" s="169"/>
      <c r="V66" s="169"/>
      <c r="W66" s="169"/>
      <c r="X66" s="169"/>
      <c r="Y66" s="169"/>
      <c r="Z66" s="169"/>
    </row>
    <row r="67" spans="16:26" ht="10.199999999999999" customHeight="1">
      <c r="P67" s="167"/>
      <c r="Q67" s="167"/>
      <c r="R67" s="167"/>
      <c r="S67" s="167"/>
      <c r="T67" s="167"/>
      <c r="U67" s="167"/>
      <c r="V67" s="167"/>
      <c r="W67" s="167"/>
      <c r="X67" s="167"/>
      <c r="Y67" s="167"/>
      <c r="Z67" s="167"/>
    </row>
    <row r="68" spans="16:26" ht="10.199999999999999" customHeight="1">
      <c r="P68" s="167"/>
      <c r="Q68" s="167"/>
      <c r="R68" s="167"/>
      <c r="S68" s="167"/>
      <c r="T68" s="167"/>
      <c r="U68" s="167"/>
      <c r="V68" s="167"/>
      <c r="W68" s="167"/>
      <c r="X68" s="167"/>
      <c r="Y68" s="167"/>
      <c r="Z68" s="167"/>
    </row>
    <row r="69" spans="16:26" ht="10.199999999999999" customHeight="1">
      <c r="P69" s="169"/>
      <c r="Q69" s="169"/>
      <c r="R69" s="169"/>
      <c r="S69" s="169"/>
      <c r="T69" s="169"/>
      <c r="U69" s="169"/>
      <c r="V69" s="169"/>
      <c r="W69" s="169"/>
      <c r="X69" s="169"/>
      <c r="Y69" s="169"/>
      <c r="Z69" s="169"/>
    </row>
    <row r="70" spans="16:26" ht="10.199999999999999" customHeight="1">
      <c r="P70" s="167"/>
      <c r="Q70" s="167"/>
      <c r="R70" s="167"/>
      <c r="S70" s="167"/>
      <c r="T70" s="167"/>
      <c r="U70" s="167"/>
      <c r="V70" s="167"/>
      <c r="W70" s="167"/>
      <c r="X70" s="167"/>
      <c r="Y70" s="167"/>
      <c r="Z70" s="167"/>
    </row>
    <row r="71" spans="16:26" ht="10.199999999999999" customHeight="1">
      <c r="P71" s="167"/>
      <c r="Q71" s="167"/>
      <c r="R71" s="167"/>
      <c r="S71" s="167"/>
      <c r="T71" s="167"/>
      <c r="U71" s="167"/>
      <c r="V71" s="167"/>
      <c r="W71" s="167"/>
      <c r="X71" s="167"/>
      <c r="Y71" s="167"/>
      <c r="Z71" s="167"/>
    </row>
    <row r="72" spans="16:26" ht="10.199999999999999" customHeight="1">
      <c r="P72" s="169"/>
      <c r="Q72" s="169"/>
      <c r="R72" s="169"/>
      <c r="S72" s="169"/>
      <c r="T72" s="169"/>
      <c r="U72" s="169"/>
      <c r="V72" s="169"/>
      <c r="W72" s="169"/>
      <c r="X72" s="169"/>
      <c r="Y72" s="169"/>
      <c r="Z72" s="169"/>
    </row>
    <row r="73" spans="16:26" ht="10.199999999999999" customHeight="1">
      <c r="P73" s="167"/>
      <c r="Q73" s="167"/>
      <c r="R73" s="167"/>
      <c r="S73" s="167"/>
      <c r="T73" s="167"/>
      <c r="U73" s="167"/>
      <c r="V73" s="167"/>
      <c r="W73" s="167"/>
      <c r="X73" s="167"/>
      <c r="Y73" s="167"/>
      <c r="Z73" s="167"/>
    </row>
    <row r="74" spans="16:26" ht="10.199999999999999" customHeight="1">
      <c r="P74" s="167"/>
      <c r="Q74" s="167"/>
      <c r="R74" s="167"/>
      <c r="S74" s="167"/>
      <c r="T74" s="167"/>
      <c r="U74" s="167"/>
      <c r="V74" s="167"/>
      <c r="W74" s="167"/>
      <c r="X74" s="167"/>
      <c r="Y74" s="167"/>
      <c r="Z74" s="167"/>
    </row>
    <row r="75" spans="16:26" ht="10.199999999999999" customHeight="1">
      <c r="P75" s="169"/>
      <c r="Q75" s="169"/>
      <c r="R75" s="169"/>
      <c r="S75" s="169"/>
      <c r="T75" s="169"/>
      <c r="U75" s="169"/>
      <c r="V75" s="169"/>
      <c r="W75" s="169"/>
      <c r="X75" s="169"/>
      <c r="Y75" s="169"/>
      <c r="Z75" s="169"/>
    </row>
    <row r="76" spans="16:26" ht="10.199999999999999" customHeight="1">
      <c r="P76" s="167"/>
      <c r="Q76" s="167"/>
      <c r="R76" s="167"/>
      <c r="S76" s="167"/>
      <c r="T76" s="167"/>
      <c r="U76" s="167"/>
      <c r="V76" s="167"/>
      <c r="W76" s="167"/>
      <c r="X76" s="167"/>
      <c r="Y76" s="167"/>
      <c r="Z76" s="167"/>
    </row>
    <row r="77" spans="16:26" ht="10.199999999999999" customHeight="1">
      <c r="P77" s="167"/>
      <c r="Q77" s="167"/>
      <c r="R77" s="167"/>
      <c r="S77" s="167"/>
      <c r="T77" s="167"/>
      <c r="U77" s="167"/>
      <c r="V77" s="167"/>
      <c r="W77" s="167"/>
      <c r="X77" s="167"/>
      <c r="Y77" s="167"/>
      <c r="Z77" s="167"/>
    </row>
    <row r="78" spans="16:26" ht="10.199999999999999" customHeight="1">
      <c r="P78" s="169"/>
      <c r="Q78" s="169"/>
      <c r="R78" s="169"/>
      <c r="S78" s="169"/>
      <c r="T78" s="169"/>
      <c r="U78" s="169"/>
      <c r="V78" s="169"/>
      <c r="W78" s="169"/>
      <c r="X78" s="169"/>
      <c r="Y78" s="169"/>
      <c r="Z78" s="169"/>
    </row>
    <row r="79" spans="16:26" ht="10.199999999999999" customHeight="1">
      <c r="P79" s="167"/>
      <c r="Q79" s="167"/>
      <c r="R79" s="167"/>
      <c r="S79" s="167"/>
      <c r="T79" s="167"/>
      <c r="U79" s="167"/>
      <c r="V79" s="167"/>
      <c r="W79" s="167"/>
      <c r="X79" s="167"/>
      <c r="Y79" s="167"/>
      <c r="Z79" s="167"/>
    </row>
    <row r="80" spans="16:26" ht="10.199999999999999" customHeight="1">
      <c r="P80" s="167"/>
      <c r="Q80" s="167"/>
      <c r="R80" s="167"/>
      <c r="S80" s="167"/>
      <c r="T80" s="167"/>
      <c r="U80" s="167"/>
      <c r="V80" s="167"/>
      <c r="W80" s="167"/>
      <c r="X80" s="167"/>
      <c r="Y80" s="167"/>
      <c r="Z80" s="167"/>
    </row>
    <row r="81" spans="16:26" ht="10.199999999999999" customHeight="1">
      <c r="P81" s="169"/>
      <c r="Q81" s="169"/>
      <c r="R81" s="169"/>
      <c r="S81" s="169"/>
      <c r="T81" s="169"/>
      <c r="U81" s="169"/>
      <c r="V81" s="169"/>
      <c r="W81" s="169"/>
      <c r="X81" s="169"/>
      <c r="Y81" s="169"/>
      <c r="Z81" s="169"/>
    </row>
    <row r="82" spans="16:26" ht="10.199999999999999" customHeight="1">
      <c r="P82" s="167"/>
      <c r="Q82" s="167"/>
      <c r="R82" s="167"/>
      <c r="S82" s="167"/>
      <c r="T82" s="167"/>
      <c r="U82" s="167"/>
      <c r="V82" s="167"/>
      <c r="W82" s="167"/>
      <c r="X82" s="167"/>
      <c r="Y82" s="167"/>
      <c r="Z82" s="167"/>
    </row>
    <row r="83" spans="16:26" ht="10.199999999999999" customHeight="1">
      <c r="P83" s="167"/>
      <c r="Q83" s="167"/>
      <c r="R83" s="167"/>
      <c r="S83" s="167"/>
      <c r="T83" s="167"/>
      <c r="U83" s="167"/>
      <c r="V83" s="167"/>
      <c r="W83" s="167"/>
      <c r="X83" s="167"/>
      <c r="Y83" s="167"/>
      <c r="Z83" s="167"/>
    </row>
    <row r="84" spans="16:26" ht="10.199999999999999" customHeight="1">
      <c r="P84" s="169"/>
      <c r="Q84" s="169"/>
      <c r="R84" s="169"/>
      <c r="S84" s="169"/>
      <c r="T84" s="169"/>
      <c r="U84" s="169"/>
      <c r="V84" s="169"/>
      <c r="W84" s="169"/>
      <c r="X84" s="169"/>
      <c r="Y84" s="169"/>
      <c r="Z84" s="169"/>
    </row>
    <row r="85" spans="16:26" ht="10.199999999999999" customHeight="1">
      <c r="P85" s="167"/>
      <c r="Q85" s="167"/>
      <c r="R85" s="167"/>
      <c r="S85" s="167"/>
      <c r="T85" s="167"/>
      <c r="U85" s="167"/>
      <c r="V85" s="167"/>
      <c r="W85" s="167"/>
      <c r="X85" s="167"/>
      <c r="Y85" s="167"/>
      <c r="Z85" s="167"/>
    </row>
    <row r="86" spans="16:26" ht="10.199999999999999" customHeight="1">
      <c r="P86" s="167"/>
      <c r="Q86" s="167"/>
      <c r="R86" s="167"/>
      <c r="S86" s="167"/>
      <c r="T86" s="167"/>
      <c r="U86" s="167"/>
      <c r="V86" s="167"/>
      <c r="W86" s="167"/>
      <c r="X86" s="167"/>
      <c r="Y86" s="167"/>
      <c r="Z86" s="167"/>
    </row>
    <row r="87" spans="16:26" ht="10.199999999999999" customHeight="1">
      <c r="P87" s="169"/>
      <c r="Q87" s="169"/>
      <c r="R87" s="169"/>
      <c r="S87" s="169"/>
      <c r="T87" s="169"/>
      <c r="U87" s="169"/>
      <c r="V87" s="169"/>
      <c r="W87" s="169"/>
      <c r="X87" s="169"/>
      <c r="Y87" s="169"/>
      <c r="Z87" s="169"/>
    </row>
    <row r="88" spans="16:26" ht="10.199999999999999" customHeight="1">
      <c r="P88" s="167"/>
      <c r="Q88" s="167"/>
      <c r="R88" s="167"/>
      <c r="S88" s="167"/>
      <c r="T88" s="167"/>
      <c r="U88" s="167"/>
      <c r="V88" s="167"/>
      <c r="W88" s="167"/>
      <c r="X88" s="167"/>
      <c r="Y88" s="167"/>
      <c r="Z88" s="167"/>
    </row>
    <row r="89" spans="16:26" ht="10.199999999999999" customHeight="1">
      <c r="P89" s="167"/>
      <c r="Q89" s="167"/>
      <c r="R89" s="167"/>
      <c r="S89" s="167"/>
      <c r="T89" s="167"/>
      <c r="U89" s="167"/>
      <c r="V89" s="167"/>
      <c r="W89" s="167"/>
      <c r="X89" s="167"/>
      <c r="Y89" s="167"/>
      <c r="Z89" s="167"/>
    </row>
    <row r="90" spans="16:26" ht="10.199999999999999" customHeight="1">
      <c r="P90" s="169"/>
      <c r="Q90" s="169"/>
      <c r="R90" s="169"/>
      <c r="S90" s="169"/>
      <c r="T90" s="169"/>
      <c r="U90" s="169"/>
      <c r="V90" s="169"/>
      <c r="W90" s="169"/>
      <c r="X90" s="169"/>
      <c r="Y90" s="169"/>
      <c r="Z90" s="169"/>
    </row>
    <row r="91" spans="16:26" ht="10.199999999999999" customHeight="1">
      <c r="P91" s="167"/>
      <c r="Q91" s="167"/>
      <c r="R91" s="167"/>
      <c r="S91" s="167"/>
      <c r="T91" s="167"/>
      <c r="U91" s="167"/>
      <c r="V91" s="167"/>
      <c r="W91" s="167"/>
      <c r="X91" s="167"/>
      <c r="Y91" s="167"/>
      <c r="Z91" s="167"/>
    </row>
    <row r="92" spans="16:26" ht="10.199999999999999" customHeight="1">
      <c r="P92" s="167"/>
      <c r="Q92" s="167"/>
      <c r="R92" s="167"/>
      <c r="S92" s="167"/>
      <c r="T92" s="167"/>
      <c r="U92" s="167"/>
      <c r="V92" s="167"/>
      <c r="W92" s="167"/>
      <c r="X92" s="167"/>
      <c r="Y92" s="167"/>
      <c r="Z92" s="167"/>
    </row>
    <row r="93" spans="16:26" ht="10.199999999999999" customHeight="1">
      <c r="P93" s="169"/>
      <c r="Q93" s="169"/>
      <c r="R93" s="169"/>
      <c r="S93" s="169"/>
      <c r="T93" s="169"/>
      <c r="U93" s="169"/>
      <c r="V93" s="169"/>
      <c r="W93" s="169"/>
      <c r="X93" s="169"/>
      <c r="Y93" s="169"/>
      <c r="Z93" s="169"/>
    </row>
    <row r="94" spans="16:26" ht="10.199999999999999" customHeight="1">
      <c r="P94" s="167"/>
      <c r="Q94" s="167"/>
      <c r="R94" s="167"/>
      <c r="S94" s="167"/>
      <c r="T94" s="167"/>
      <c r="U94" s="167"/>
      <c r="V94" s="167"/>
      <c r="W94" s="167"/>
      <c r="X94" s="167"/>
      <c r="Y94" s="167"/>
      <c r="Z94" s="167"/>
    </row>
    <row r="95" spans="16:26" ht="10.199999999999999" customHeight="1">
      <c r="P95" s="167"/>
      <c r="Q95" s="167"/>
      <c r="R95" s="167"/>
      <c r="S95" s="167"/>
      <c r="T95" s="167"/>
      <c r="U95" s="167"/>
      <c r="V95" s="167"/>
      <c r="W95" s="167"/>
      <c r="X95" s="167"/>
      <c r="Y95" s="167"/>
      <c r="Z95" s="167"/>
    </row>
    <row r="96" spans="16:26" ht="10.199999999999999" customHeight="1">
      <c r="P96" s="169"/>
      <c r="Q96" s="169"/>
      <c r="R96" s="169"/>
      <c r="S96" s="169"/>
      <c r="T96" s="169"/>
      <c r="U96" s="169"/>
      <c r="V96" s="169"/>
      <c r="W96" s="169"/>
      <c r="X96" s="169"/>
      <c r="Y96" s="169"/>
      <c r="Z96" s="169"/>
    </row>
    <row r="97" spans="16:26" ht="10.199999999999999" customHeight="1">
      <c r="P97" s="167"/>
      <c r="Q97" s="167"/>
      <c r="R97" s="167"/>
      <c r="S97" s="167"/>
      <c r="T97" s="167"/>
      <c r="U97" s="167"/>
      <c r="V97" s="167"/>
      <c r="W97" s="167"/>
      <c r="X97" s="167"/>
      <c r="Y97" s="167"/>
      <c r="Z97" s="167"/>
    </row>
    <row r="98" spans="16:26" ht="10.199999999999999" customHeight="1">
      <c r="P98" s="167"/>
      <c r="Q98" s="167"/>
      <c r="R98" s="167"/>
      <c r="S98" s="167"/>
      <c r="T98" s="167"/>
      <c r="U98" s="167"/>
      <c r="V98" s="167"/>
      <c r="W98" s="167"/>
      <c r="X98" s="167"/>
      <c r="Y98" s="167"/>
      <c r="Z98" s="167"/>
    </row>
    <row r="99" spans="16:26" ht="10.199999999999999" customHeight="1">
      <c r="P99" s="169"/>
      <c r="Q99" s="169"/>
      <c r="R99" s="169"/>
      <c r="S99" s="169"/>
      <c r="T99" s="169"/>
      <c r="U99" s="169"/>
      <c r="V99" s="169"/>
      <c r="W99" s="169"/>
      <c r="X99" s="169"/>
      <c r="Y99" s="169"/>
      <c r="Z99" s="169"/>
    </row>
    <row r="100" spans="16:26" ht="10.199999999999999" customHeight="1">
      <c r="P100" s="167"/>
      <c r="Q100" s="167"/>
      <c r="R100" s="167"/>
      <c r="S100" s="167"/>
      <c r="T100" s="167"/>
      <c r="U100" s="167"/>
      <c r="V100" s="167"/>
      <c r="W100" s="167"/>
      <c r="X100" s="167"/>
      <c r="Y100" s="167"/>
      <c r="Z100" s="167"/>
    </row>
    <row r="101" spans="16:26" ht="10.199999999999999" customHeight="1">
      <c r="P101" s="167"/>
      <c r="Q101" s="167"/>
      <c r="R101" s="167"/>
      <c r="S101" s="167"/>
      <c r="T101" s="167"/>
      <c r="U101" s="167"/>
      <c r="V101" s="167"/>
      <c r="W101" s="167"/>
      <c r="X101" s="167"/>
      <c r="Y101" s="167"/>
      <c r="Z101" s="167"/>
    </row>
    <row r="102" spans="16:26" ht="10.199999999999999" customHeight="1">
      <c r="P102" s="169"/>
      <c r="Q102" s="169"/>
      <c r="R102" s="169"/>
      <c r="S102" s="169"/>
      <c r="T102" s="169"/>
      <c r="U102" s="169"/>
      <c r="V102" s="169"/>
      <c r="W102" s="169"/>
      <c r="X102" s="169"/>
      <c r="Y102" s="169"/>
      <c r="Z102" s="169"/>
    </row>
    <row r="103" spans="16:26" ht="10.199999999999999" customHeight="1">
      <c r="P103" s="167"/>
      <c r="Q103" s="167"/>
      <c r="R103" s="167"/>
      <c r="S103" s="167"/>
      <c r="T103" s="167"/>
      <c r="U103" s="167"/>
      <c r="V103" s="167"/>
      <c r="W103" s="167"/>
      <c r="X103" s="167"/>
      <c r="Y103" s="167"/>
      <c r="Z103" s="167"/>
    </row>
    <row r="104" spans="16:26" ht="10.199999999999999" customHeight="1">
      <c r="P104" s="167"/>
      <c r="Q104" s="167"/>
      <c r="R104" s="167"/>
      <c r="S104" s="167"/>
      <c r="T104" s="167"/>
      <c r="U104" s="167"/>
      <c r="V104" s="167"/>
      <c r="W104" s="167"/>
      <c r="X104" s="167"/>
      <c r="Y104" s="167"/>
      <c r="Z104" s="167"/>
    </row>
    <row r="105" spans="16:26" ht="10.199999999999999" customHeight="1">
      <c r="P105" s="169"/>
      <c r="Q105" s="169"/>
      <c r="R105" s="169"/>
      <c r="S105" s="169"/>
      <c r="T105" s="169"/>
      <c r="U105" s="169"/>
      <c r="V105" s="169"/>
      <c r="W105" s="169"/>
      <c r="X105" s="169"/>
      <c r="Y105" s="169"/>
      <c r="Z105" s="169"/>
    </row>
    <row r="106" spans="16:26" ht="10.199999999999999" customHeight="1">
      <c r="P106" s="167"/>
      <c r="Q106" s="167"/>
      <c r="R106" s="167"/>
      <c r="S106" s="167"/>
      <c r="T106" s="167"/>
      <c r="U106" s="167"/>
      <c r="V106" s="167"/>
      <c r="W106" s="167"/>
      <c r="X106" s="167"/>
      <c r="Y106" s="167"/>
      <c r="Z106" s="167"/>
    </row>
    <row r="107" spans="16:26" ht="10.199999999999999" customHeight="1">
      <c r="P107" s="167"/>
      <c r="Q107" s="167"/>
      <c r="R107" s="167"/>
      <c r="S107" s="167"/>
      <c r="T107" s="167"/>
      <c r="U107" s="167"/>
      <c r="V107" s="167"/>
      <c r="W107" s="167"/>
      <c r="X107" s="167"/>
      <c r="Y107" s="167"/>
      <c r="Z107" s="167"/>
    </row>
    <row r="108" spans="16:26" ht="10.199999999999999" customHeight="1">
      <c r="P108" s="169"/>
      <c r="Q108" s="169"/>
      <c r="R108" s="169"/>
      <c r="S108" s="169"/>
      <c r="T108" s="169"/>
      <c r="U108" s="169"/>
      <c r="V108" s="169"/>
      <c r="W108" s="169"/>
      <c r="X108" s="169"/>
      <c r="Y108" s="169"/>
      <c r="Z108" s="169"/>
    </row>
    <row r="109" spans="16:26" ht="10.199999999999999" customHeight="1">
      <c r="P109" s="167"/>
      <c r="Q109" s="167"/>
      <c r="R109" s="167"/>
      <c r="S109" s="167"/>
      <c r="T109" s="167"/>
      <c r="U109" s="167"/>
      <c r="V109" s="167"/>
      <c r="W109" s="167"/>
      <c r="X109" s="167"/>
      <c r="Y109" s="167"/>
      <c r="Z109" s="167"/>
    </row>
    <row r="110" spans="16:26" ht="10.199999999999999" customHeight="1">
      <c r="P110" s="167"/>
      <c r="Q110" s="167"/>
      <c r="R110" s="167"/>
      <c r="S110" s="167"/>
      <c r="T110" s="167"/>
      <c r="U110" s="167"/>
      <c r="V110" s="167"/>
      <c r="W110" s="167"/>
      <c r="X110" s="167"/>
      <c r="Y110" s="167"/>
      <c r="Z110" s="167"/>
    </row>
    <row r="111" spans="16:26" ht="10.199999999999999" customHeight="1">
      <c r="P111" s="169"/>
      <c r="Q111" s="169"/>
      <c r="R111" s="169"/>
      <c r="S111" s="169"/>
      <c r="T111" s="169"/>
      <c r="U111" s="169"/>
      <c r="V111" s="169"/>
      <c r="W111" s="169"/>
      <c r="X111" s="169"/>
      <c r="Y111" s="169"/>
      <c r="Z111" s="169"/>
    </row>
    <row r="112" spans="16:26" ht="10.199999999999999" customHeight="1">
      <c r="P112" s="167"/>
      <c r="Q112" s="167"/>
      <c r="R112" s="167"/>
      <c r="S112" s="167"/>
      <c r="T112" s="167"/>
      <c r="U112" s="167"/>
      <c r="V112" s="167"/>
      <c r="W112" s="167"/>
      <c r="X112" s="167"/>
      <c r="Y112" s="167"/>
      <c r="Z112" s="167"/>
    </row>
    <row r="113" spans="16:26" ht="10.199999999999999" customHeight="1">
      <c r="P113" s="167"/>
      <c r="Q113" s="167"/>
      <c r="R113" s="167"/>
      <c r="S113" s="167"/>
      <c r="T113" s="167"/>
      <c r="U113" s="167"/>
      <c r="V113" s="167"/>
      <c r="W113" s="167"/>
      <c r="X113" s="167"/>
      <c r="Y113" s="167"/>
      <c r="Z113" s="167"/>
    </row>
    <row r="114" spans="16:26" ht="10.199999999999999" customHeight="1">
      <c r="P114" s="169"/>
      <c r="Q114" s="169"/>
      <c r="R114" s="169"/>
      <c r="S114" s="169"/>
      <c r="T114" s="169"/>
      <c r="U114" s="169"/>
      <c r="V114" s="169"/>
      <c r="W114" s="169"/>
      <c r="X114" s="169"/>
      <c r="Y114" s="169"/>
      <c r="Z114" s="169"/>
    </row>
    <row r="115" spans="16:26" ht="10.199999999999999" customHeight="1">
      <c r="P115" s="167"/>
      <c r="Q115" s="167"/>
      <c r="R115" s="167"/>
      <c r="S115" s="167"/>
      <c r="T115" s="167"/>
      <c r="U115" s="167"/>
      <c r="V115" s="167"/>
      <c r="W115" s="167"/>
      <c r="X115" s="167"/>
      <c r="Y115" s="167"/>
      <c r="Z115" s="167"/>
    </row>
    <row r="116" spans="16:26" ht="10.199999999999999" customHeight="1">
      <c r="P116" s="167"/>
      <c r="Q116" s="167"/>
      <c r="R116" s="167"/>
      <c r="S116" s="167"/>
      <c r="T116" s="167"/>
      <c r="U116" s="167"/>
      <c r="V116" s="167"/>
      <c r="W116" s="167"/>
      <c r="X116" s="167"/>
      <c r="Y116" s="167"/>
      <c r="Z116" s="167"/>
    </row>
    <row r="117" spans="16:26" ht="10.199999999999999" customHeight="1">
      <c r="P117" s="169"/>
      <c r="Q117" s="169"/>
      <c r="R117" s="169"/>
      <c r="S117" s="169"/>
      <c r="T117" s="169"/>
      <c r="U117" s="169"/>
      <c r="V117" s="169"/>
      <c r="W117" s="169"/>
      <c r="X117" s="169"/>
      <c r="Y117" s="169"/>
      <c r="Z117" s="169"/>
    </row>
    <row r="118" spans="16:26" ht="10.199999999999999" customHeight="1">
      <c r="P118" s="167"/>
      <c r="Q118" s="167"/>
      <c r="R118" s="167"/>
      <c r="S118" s="167"/>
      <c r="T118" s="167"/>
      <c r="U118" s="167"/>
      <c r="V118" s="167"/>
      <c r="W118" s="167"/>
      <c r="X118" s="167"/>
      <c r="Y118" s="167"/>
      <c r="Z118" s="167"/>
    </row>
    <row r="119" spans="16:26" ht="10.199999999999999" customHeight="1">
      <c r="P119" s="167"/>
      <c r="Q119" s="167"/>
      <c r="R119" s="167"/>
      <c r="S119" s="167"/>
      <c r="T119" s="167"/>
      <c r="U119" s="167"/>
      <c r="V119" s="167"/>
      <c r="W119" s="167"/>
      <c r="X119" s="167"/>
      <c r="Y119" s="167"/>
      <c r="Z119" s="167"/>
    </row>
    <row r="120" spans="16:26" ht="10.199999999999999" customHeight="1">
      <c r="P120" s="169"/>
      <c r="Q120" s="169"/>
      <c r="R120" s="169"/>
      <c r="S120" s="169"/>
      <c r="T120" s="169"/>
      <c r="U120" s="169"/>
      <c r="V120" s="169"/>
      <c r="W120" s="169"/>
      <c r="X120" s="169"/>
      <c r="Y120" s="169"/>
      <c r="Z120" s="169"/>
    </row>
    <row r="121" spans="16:26" ht="10.199999999999999" customHeight="1">
      <c r="P121" s="167"/>
      <c r="Q121" s="167"/>
      <c r="R121" s="167"/>
      <c r="S121" s="167"/>
      <c r="T121" s="167"/>
      <c r="U121" s="167"/>
      <c r="V121" s="167"/>
      <c r="W121" s="167"/>
      <c r="X121" s="167"/>
      <c r="Y121" s="167"/>
      <c r="Z121" s="167"/>
    </row>
    <row r="122" spans="16:26" ht="10.199999999999999" customHeight="1">
      <c r="P122" s="167"/>
      <c r="Q122" s="167"/>
      <c r="R122" s="167"/>
      <c r="S122" s="167"/>
      <c r="T122" s="167"/>
      <c r="U122" s="167"/>
      <c r="V122" s="167"/>
      <c r="W122" s="167"/>
      <c r="X122" s="167"/>
      <c r="Y122" s="167"/>
      <c r="Z122" s="167"/>
    </row>
    <row r="123" spans="16:26" ht="10.199999999999999" customHeight="1">
      <c r="P123" s="169"/>
      <c r="Q123" s="169"/>
      <c r="R123" s="169"/>
      <c r="S123" s="169"/>
      <c r="T123" s="169"/>
      <c r="U123" s="169"/>
      <c r="V123" s="169"/>
      <c r="W123" s="169"/>
      <c r="X123" s="169"/>
      <c r="Y123" s="169"/>
      <c r="Z123" s="169"/>
    </row>
    <row r="124" spans="16:26" ht="10.199999999999999" customHeight="1">
      <c r="P124" s="167"/>
      <c r="Q124" s="167"/>
      <c r="R124" s="167"/>
      <c r="S124" s="167"/>
      <c r="T124" s="167"/>
      <c r="U124" s="167"/>
      <c r="V124" s="167"/>
      <c r="W124" s="167"/>
      <c r="X124" s="167"/>
      <c r="Y124" s="167"/>
      <c r="Z124" s="167"/>
    </row>
    <row r="125" spans="16:26" ht="10.199999999999999" customHeight="1">
      <c r="P125" s="167"/>
      <c r="Q125" s="167"/>
      <c r="R125" s="167"/>
      <c r="S125" s="167"/>
      <c r="T125" s="167"/>
      <c r="U125" s="167"/>
      <c r="V125" s="167"/>
      <c r="W125" s="167"/>
      <c r="X125" s="167"/>
      <c r="Y125" s="167"/>
      <c r="Z125" s="167"/>
    </row>
    <row r="126" spans="16:26" ht="10.199999999999999" customHeight="1">
      <c r="P126" s="169"/>
      <c r="Q126" s="169"/>
      <c r="R126" s="169"/>
      <c r="S126" s="169"/>
      <c r="T126" s="169"/>
      <c r="U126" s="169"/>
      <c r="V126" s="169"/>
      <c r="W126" s="169"/>
      <c r="X126" s="169"/>
      <c r="Y126" s="169"/>
      <c r="Z126" s="169"/>
    </row>
    <row r="127" spans="16:26" ht="10.199999999999999" customHeight="1">
      <c r="P127" s="167"/>
      <c r="Q127" s="167"/>
      <c r="R127" s="167"/>
      <c r="S127" s="167"/>
      <c r="T127" s="167"/>
      <c r="U127" s="167"/>
      <c r="V127" s="167"/>
      <c r="W127" s="167"/>
      <c r="X127" s="167"/>
      <c r="Y127" s="167"/>
      <c r="Z127" s="167"/>
    </row>
    <row r="128" spans="16:26" ht="10.199999999999999" customHeight="1">
      <c r="P128" s="167"/>
      <c r="Q128" s="167"/>
      <c r="R128" s="167"/>
      <c r="S128" s="167"/>
      <c r="T128" s="167"/>
      <c r="U128" s="167"/>
      <c r="V128" s="167"/>
      <c r="W128" s="167"/>
      <c r="X128" s="167"/>
      <c r="Y128" s="167"/>
      <c r="Z128" s="167"/>
    </row>
    <row r="129" spans="16:26" ht="10.199999999999999" customHeight="1">
      <c r="P129" s="169"/>
      <c r="Q129" s="169"/>
      <c r="R129" s="169"/>
      <c r="S129" s="169"/>
      <c r="T129" s="169"/>
      <c r="U129" s="169"/>
      <c r="V129" s="169"/>
      <c r="W129" s="169"/>
      <c r="X129" s="169"/>
      <c r="Y129" s="169"/>
      <c r="Z129" s="169"/>
    </row>
    <row r="130" spans="16:26" ht="10.199999999999999" customHeight="1">
      <c r="P130" s="167"/>
      <c r="Q130" s="167"/>
      <c r="R130" s="167"/>
      <c r="S130" s="167"/>
      <c r="T130" s="167"/>
      <c r="U130" s="167"/>
      <c r="V130" s="167"/>
      <c r="W130" s="167"/>
      <c r="X130" s="167"/>
      <c r="Y130" s="167"/>
      <c r="Z130" s="167"/>
    </row>
    <row r="131" spans="16:26" ht="10.199999999999999" customHeight="1">
      <c r="P131" s="167"/>
      <c r="Q131" s="167"/>
      <c r="R131" s="167"/>
      <c r="S131" s="167"/>
      <c r="T131" s="167"/>
      <c r="U131" s="167"/>
      <c r="V131" s="167"/>
      <c r="W131" s="167"/>
      <c r="X131" s="167"/>
      <c r="Y131" s="167"/>
      <c r="Z131" s="167"/>
    </row>
    <row r="132" spans="16:26" ht="10.199999999999999" customHeight="1">
      <c r="P132" s="169"/>
      <c r="Q132" s="169"/>
      <c r="R132" s="169"/>
      <c r="S132" s="169"/>
      <c r="T132" s="169"/>
      <c r="U132" s="169"/>
      <c r="V132" s="169"/>
      <c r="W132" s="169"/>
      <c r="X132" s="169"/>
      <c r="Y132" s="169"/>
      <c r="Z132" s="169"/>
    </row>
    <row r="133" spans="16:26" ht="10.199999999999999" customHeight="1">
      <c r="P133" s="167"/>
      <c r="Q133" s="167"/>
      <c r="R133" s="167"/>
      <c r="S133" s="167"/>
      <c r="T133" s="167"/>
      <c r="U133" s="167"/>
      <c r="V133" s="167"/>
      <c r="W133" s="167"/>
      <c r="X133" s="167"/>
      <c r="Y133" s="167"/>
      <c r="Z133" s="167"/>
    </row>
    <row r="134" spans="16:26" ht="10.199999999999999" customHeight="1">
      <c r="P134" s="167"/>
      <c r="Q134" s="167"/>
      <c r="R134" s="167"/>
      <c r="S134" s="167"/>
      <c r="T134" s="167"/>
      <c r="U134" s="167"/>
      <c r="V134" s="167"/>
      <c r="W134" s="167"/>
      <c r="X134" s="167"/>
      <c r="Y134" s="167"/>
      <c r="Z134" s="167"/>
    </row>
    <row r="135" spans="16:26" ht="10.199999999999999" customHeight="1">
      <c r="P135" s="169"/>
      <c r="Q135" s="169"/>
      <c r="R135" s="169"/>
      <c r="S135" s="169"/>
      <c r="T135" s="169"/>
      <c r="U135" s="169"/>
      <c r="V135" s="169"/>
      <c r="W135" s="169"/>
      <c r="X135" s="169"/>
      <c r="Y135" s="169"/>
      <c r="Z135" s="169"/>
    </row>
    <row r="136" spans="16:26" ht="10.199999999999999" customHeight="1">
      <c r="P136" s="167"/>
      <c r="Q136" s="167"/>
      <c r="R136" s="167"/>
      <c r="S136" s="167"/>
      <c r="T136" s="167"/>
      <c r="U136" s="167"/>
      <c r="V136" s="167"/>
      <c r="W136" s="167"/>
      <c r="X136" s="167"/>
      <c r="Y136" s="167"/>
      <c r="Z136" s="167"/>
    </row>
    <row r="137" spans="16:26" ht="10.199999999999999" customHeight="1">
      <c r="P137" s="167"/>
      <c r="Q137" s="167"/>
      <c r="R137" s="167"/>
      <c r="S137" s="167"/>
      <c r="T137" s="167"/>
      <c r="U137" s="167"/>
      <c r="V137" s="167"/>
      <c r="W137" s="167"/>
      <c r="X137" s="167"/>
      <c r="Y137" s="167"/>
      <c r="Z137" s="167"/>
    </row>
    <row r="138" spans="16:26" ht="10.199999999999999" customHeight="1">
      <c r="P138" s="169"/>
      <c r="Q138" s="169"/>
      <c r="R138" s="169"/>
      <c r="S138" s="169"/>
      <c r="T138" s="169"/>
      <c r="U138" s="169"/>
      <c r="V138" s="169"/>
      <c r="W138" s="169"/>
      <c r="X138" s="169"/>
      <c r="Y138" s="169"/>
      <c r="Z138" s="169"/>
    </row>
    <row r="139" spans="16:26" ht="10.199999999999999" customHeight="1">
      <c r="P139" s="167"/>
      <c r="Q139" s="167"/>
      <c r="R139" s="167"/>
      <c r="S139" s="167"/>
      <c r="T139" s="167"/>
      <c r="U139" s="167"/>
      <c r="V139" s="167"/>
      <c r="W139" s="167"/>
      <c r="X139" s="167"/>
      <c r="Y139" s="167"/>
      <c r="Z139" s="167"/>
    </row>
    <row r="140" spans="16:26" ht="10.199999999999999" customHeight="1">
      <c r="P140" s="167"/>
      <c r="Q140" s="167"/>
      <c r="R140" s="167"/>
      <c r="S140" s="167"/>
      <c r="T140" s="167"/>
      <c r="U140" s="167"/>
      <c r="V140" s="167"/>
      <c r="W140" s="167"/>
      <c r="X140" s="167"/>
      <c r="Y140" s="167"/>
      <c r="Z140" s="167"/>
    </row>
    <row r="141" spans="16:26" ht="10.199999999999999" customHeight="1">
      <c r="P141" s="169"/>
      <c r="Q141" s="169"/>
      <c r="R141" s="169"/>
      <c r="S141" s="169"/>
      <c r="T141" s="169"/>
      <c r="U141" s="169"/>
      <c r="V141" s="169"/>
      <c r="W141" s="169"/>
      <c r="X141" s="169"/>
      <c r="Y141" s="169"/>
      <c r="Z141" s="169"/>
    </row>
    <row r="142" spans="16:26" ht="10.199999999999999" customHeight="1">
      <c r="P142" s="167"/>
      <c r="Q142" s="167"/>
      <c r="R142" s="167"/>
      <c r="S142" s="167"/>
      <c r="T142" s="167"/>
      <c r="U142" s="167"/>
      <c r="V142" s="167"/>
      <c r="W142" s="167"/>
      <c r="X142" s="167"/>
      <c r="Y142" s="167"/>
      <c r="Z142" s="167"/>
    </row>
    <row r="143" spans="16:26" ht="10.199999999999999" customHeight="1">
      <c r="P143" s="167"/>
      <c r="Q143" s="167"/>
      <c r="R143" s="167"/>
      <c r="S143" s="167"/>
      <c r="T143" s="167"/>
      <c r="U143" s="167"/>
      <c r="V143" s="167"/>
      <c r="W143" s="167"/>
      <c r="X143" s="167"/>
      <c r="Y143" s="167"/>
      <c r="Z143" s="167"/>
    </row>
    <row r="144" spans="16:26" ht="10.199999999999999" customHeight="1">
      <c r="P144" s="169"/>
      <c r="Q144" s="169"/>
      <c r="R144" s="169"/>
      <c r="S144" s="169"/>
      <c r="T144" s="169"/>
      <c r="U144" s="169"/>
      <c r="V144" s="169"/>
      <c r="W144" s="169"/>
      <c r="X144" s="169"/>
      <c r="Y144" s="169"/>
      <c r="Z144" s="169"/>
    </row>
    <row r="145" spans="16:26" ht="10.199999999999999" customHeight="1">
      <c r="P145" s="167"/>
      <c r="Q145" s="167"/>
      <c r="R145" s="167"/>
      <c r="S145" s="167"/>
      <c r="T145" s="167"/>
      <c r="U145" s="167"/>
      <c r="V145" s="167"/>
      <c r="W145" s="167"/>
      <c r="X145" s="167"/>
      <c r="Y145" s="167"/>
      <c r="Z145" s="167"/>
    </row>
    <row r="146" spans="16:26" ht="10.199999999999999" customHeight="1">
      <c r="P146" s="167"/>
      <c r="Q146" s="167"/>
      <c r="R146" s="167"/>
      <c r="S146" s="167"/>
      <c r="T146" s="167"/>
      <c r="U146" s="167"/>
      <c r="V146" s="167"/>
      <c r="W146" s="167"/>
      <c r="X146" s="167"/>
      <c r="Y146" s="167"/>
      <c r="Z146" s="167"/>
    </row>
    <row r="147" spans="16:26" ht="10.199999999999999" customHeight="1">
      <c r="P147" s="169"/>
      <c r="Q147" s="169"/>
      <c r="R147" s="169"/>
      <c r="S147" s="169"/>
      <c r="T147" s="169"/>
      <c r="U147" s="169"/>
      <c r="V147" s="169"/>
      <c r="W147" s="169"/>
      <c r="X147" s="169"/>
      <c r="Y147" s="169"/>
      <c r="Z147" s="169"/>
    </row>
    <row r="148" spans="16:26" ht="10.199999999999999" customHeight="1">
      <c r="P148" s="167"/>
      <c r="Q148" s="167"/>
      <c r="R148" s="167"/>
      <c r="S148" s="167"/>
      <c r="T148" s="167"/>
      <c r="U148" s="167"/>
      <c r="V148" s="167"/>
      <c r="W148" s="167"/>
      <c r="X148" s="167"/>
      <c r="Y148" s="167"/>
      <c r="Z148" s="167"/>
    </row>
    <row r="149" spans="16:26" ht="10.199999999999999" customHeight="1">
      <c r="P149" s="167"/>
      <c r="Q149" s="167"/>
      <c r="R149" s="167"/>
      <c r="S149" s="167"/>
      <c r="T149" s="167"/>
      <c r="U149" s="167"/>
      <c r="V149" s="167"/>
      <c r="W149" s="167"/>
      <c r="X149" s="167"/>
      <c r="Y149" s="167"/>
      <c r="Z149" s="167"/>
    </row>
    <row r="150" spans="16:26" ht="10.199999999999999" customHeight="1">
      <c r="P150" s="169"/>
      <c r="Q150" s="169"/>
      <c r="R150" s="169"/>
      <c r="S150" s="169"/>
      <c r="T150" s="169"/>
      <c r="U150" s="169"/>
      <c r="V150" s="169"/>
      <c r="W150" s="169"/>
      <c r="X150" s="169"/>
      <c r="Y150" s="169"/>
      <c r="Z150" s="169"/>
    </row>
    <row r="151" spans="16:26" ht="10.199999999999999" customHeight="1">
      <c r="P151" s="167"/>
      <c r="Q151" s="167"/>
      <c r="R151" s="167"/>
      <c r="S151" s="167"/>
      <c r="T151" s="167"/>
      <c r="U151" s="167"/>
      <c r="V151" s="167"/>
      <c r="W151" s="167"/>
      <c r="X151" s="167"/>
      <c r="Y151" s="167"/>
      <c r="Z151" s="167"/>
    </row>
    <row r="152" spans="16:26" ht="10.199999999999999" customHeight="1">
      <c r="P152" s="167"/>
      <c r="Q152" s="167"/>
      <c r="R152" s="167"/>
      <c r="S152" s="167"/>
      <c r="T152" s="167"/>
      <c r="U152" s="167"/>
      <c r="V152" s="167"/>
      <c r="W152" s="167"/>
      <c r="X152" s="167"/>
      <c r="Y152" s="167"/>
      <c r="Z152" s="167"/>
    </row>
    <row r="153" spans="16:26" ht="10.199999999999999" customHeight="1">
      <c r="P153" s="169"/>
      <c r="Q153" s="169"/>
      <c r="R153" s="169"/>
      <c r="S153" s="169"/>
      <c r="T153" s="169"/>
      <c r="U153" s="169"/>
      <c r="V153" s="169"/>
      <c r="W153" s="169"/>
      <c r="X153" s="169"/>
      <c r="Y153" s="169"/>
      <c r="Z153" s="169"/>
    </row>
    <row r="154" spans="16:26" ht="10.199999999999999" customHeight="1">
      <c r="P154" s="167"/>
      <c r="Q154" s="167"/>
      <c r="R154" s="167"/>
      <c r="S154" s="167"/>
      <c r="T154" s="167"/>
      <c r="U154" s="167"/>
      <c r="V154" s="167"/>
      <c r="W154" s="167"/>
      <c r="X154" s="167"/>
      <c r="Y154" s="167"/>
      <c r="Z154" s="167"/>
    </row>
    <row r="155" spans="16:26" ht="10.199999999999999" customHeight="1">
      <c r="P155" s="167"/>
      <c r="Q155" s="167"/>
      <c r="R155" s="167"/>
      <c r="S155" s="167"/>
      <c r="T155" s="167"/>
      <c r="U155" s="167"/>
      <c r="V155" s="167"/>
      <c r="W155" s="167"/>
      <c r="X155" s="167"/>
      <c r="Y155" s="167"/>
      <c r="Z155" s="167"/>
    </row>
    <row r="156" spans="16:26" ht="10.199999999999999" customHeight="1">
      <c r="P156" s="169"/>
      <c r="Q156" s="169"/>
      <c r="R156" s="169"/>
      <c r="S156" s="169"/>
      <c r="T156" s="169"/>
      <c r="U156" s="169"/>
      <c r="V156" s="169"/>
      <c r="W156" s="169"/>
      <c r="X156" s="169"/>
      <c r="Y156" s="169"/>
      <c r="Z156" s="169"/>
    </row>
    <row r="157" spans="16:26" ht="10.199999999999999" customHeight="1">
      <c r="P157" s="167"/>
      <c r="Q157" s="167"/>
      <c r="R157" s="167"/>
      <c r="S157" s="167"/>
      <c r="T157" s="167"/>
      <c r="U157" s="167"/>
      <c r="V157" s="167"/>
      <c r="W157" s="167"/>
      <c r="X157" s="167"/>
      <c r="Y157" s="167"/>
      <c r="Z157" s="167"/>
    </row>
    <row r="158" spans="16:26" ht="10.199999999999999" customHeight="1">
      <c r="P158" s="167"/>
      <c r="Q158" s="167"/>
      <c r="R158" s="167"/>
      <c r="S158" s="167"/>
      <c r="T158" s="167"/>
      <c r="U158" s="167"/>
      <c r="V158" s="167"/>
      <c r="W158" s="167"/>
      <c r="X158" s="167"/>
      <c r="Y158" s="167"/>
      <c r="Z158" s="167"/>
    </row>
    <row r="159" spans="16:26" ht="10.199999999999999" customHeight="1">
      <c r="P159" s="169"/>
      <c r="Q159" s="169"/>
      <c r="R159" s="169"/>
      <c r="S159" s="169"/>
      <c r="T159" s="169"/>
      <c r="U159" s="169"/>
      <c r="V159" s="169"/>
      <c r="W159" s="169"/>
      <c r="X159" s="169"/>
      <c r="Y159" s="169"/>
      <c r="Z159" s="169"/>
    </row>
    <row r="160" spans="16:26" ht="10.199999999999999" customHeight="1">
      <c r="P160" s="167"/>
      <c r="Q160" s="167"/>
      <c r="R160" s="167"/>
      <c r="S160" s="167"/>
      <c r="T160" s="167"/>
      <c r="U160" s="167"/>
      <c r="V160" s="167"/>
      <c r="W160" s="167"/>
      <c r="X160" s="167"/>
      <c r="Y160" s="167"/>
      <c r="Z160" s="167"/>
    </row>
    <row r="161" spans="16:26" ht="10.199999999999999" customHeight="1">
      <c r="P161" s="167"/>
      <c r="Q161" s="167"/>
      <c r="R161" s="167"/>
      <c r="S161" s="167"/>
      <c r="T161" s="167"/>
      <c r="U161" s="167"/>
      <c r="V161" s="167"/>
      <c r="W161" s="167"/>
      <c r="X161" s="167"/>
      <c r="Y161" s="167"/>
      <c r="Z161" s="167"/>
    </row>
    <row r="162" spans="16:26" ht="10.199999999999999" customHeight="1">
      <c r="P162" s="169"/>
      <c r="Q162" s="169"/>
      <c r="R162" s="169"/>
      <c r="S162" s="169"/>
      <c r="T162" s="169"/>
      <c r="U162" s="169"/>
      <c r="V162" s="169"/>
      <c r="W162" s="169"/>
      <c r="X162" s="169"/>
      <c r="Y162" s="169"/>
      <c r="Z162" s="169"/>
    </row>
    <row r="163" spans="16:26" ht="10.199999999999999" customHeight="1">
      <c r="P163" s="167"/>
      <c r="Q163" s="167"/>
      <c r="R163" s="167"/>
      <c r="S163" s="167"/>
      <c r="T163" s="167"/>
      <c r="U163" s="167"/>
      <c r="V163" s="167"/>
      <c r="W163" s="167"/>
      <c r="X163" s="167"/>
      <c r="Y163" s="167"/>
      <c r="Z163" s="167"/>
    </row>
    <row r="164" spans="16:26" ht="10.199999999999999" customHeight="1">
      <c r="P164" s="167"/>
      <c r="Q164" s="167"/>
      <c r="R164" s="167"/>
      <c r="S164" s="167"/>
      <c r="T164" s="167"/>
      <c r="U164" s="167"/>
      <c r="V164" s="167"/>
      <c r="W164" s="167"/>
      <c r="X164" s="167"/>
      <c r="Y164" s="167"/>
      <c r="Z164" s="167"/>
    </row>
    <row r="165" spans="16:26" ht="10.199999999999999" customHeight="1">
      <c r="P165" s="169"/>
      <c r="Q165" s="169"/>
      <c r="R165" s="169"/>
      <c r="S165" s="169"/>
      <c r="T165" s="169"/>
      <c r="U165" s="169"/>
      <c r="V165" s="169"/>
      <c r="W165" s="169"/>
      <c r="X165" s="169"/>
      <c r="Y165" s="169"/>
      <c r="Z165" s="169"/>
    </row>
    <row r="166" spans="16:26" ht="10.199999999999999" customHeight="1">
      <c r="P166" s="167"/>
      <c r="Q166" s="167"/>
      <c r="R166" s="167"/>
      <c r="S166" s="167"/>
      <c r="T166" s="167"/>
      <c r="U166" s="167"/>
      <c r="V166" s="167"/>
      <c r="W166" s="167"/>
      <c r="X166" s="167"/>
      <c r="Y166" s="167"/>
      <c r="Z166" s="167"/>
    </row>
    <row r="167" spans="16:26" ht="10.199999999999999" customHeight="1">
      <c r="P167" s="167"/>
      <c r="Q167" s="167"/>
      <c r="R167" s="167"/>
      <c r="S167" s="167"/>
      <c r="T167" s="167"/>
      <c r="U167" s="167"/>
      <c r="V167" s="167"/>
      <c r="W167" s="167"/>
      <c r="X167" s="167"/>
      <c r="Y167" s="167"/>
      <c r="Z167" s="167"/>
    </row>
    <row r="168" spans="16:26" ht="10.199999999999999" customHeight="1">
      <c r="P168" s="169"/>
      <c r="Q168" s="169"/>
      <c r="R168" s="169"/>
      <c r="S168" s="169"/>
      <c r="T168" s="169"/>
      <c r="U168" s="169"/>
      <c r="V168" s="169"/>
      <c r="W168" s="169"/>
      <c r="X168" s="169"/>
      <c r="Y168" s="169"/>
      <c r="Z168" s="169"/>
    </row>
    <row r="169" spans="16:26" ht="10.199999999999999" customHeight="1">
      <c r="P169" s="167"/>
      <c r="Q169" s="167"/>
      <c r="R169" s="167"/>
      <c r="S169" s="167"/>
      <c r="T169" s="167"/>
      <c r="U169" s="167"/>
      <c r="V169" s="167"/>
      <c r="W169" s="167"/>
      <c r="X169" s="167"/>
      <c r="Y169" s="167"/>
      <c r="Z169" s="167"/>
    </row>
    <row r="170" spans="16:26" ht="10.199999999999999" customHeight="1">
      <c r="P170" s="167"/>
      <c r="Q170" s="167"/>
      <c r="R170" s="167"/>
      <c r="S170" s="167"/>
      <c r="T170" s="167"/>
      <c r="U170" s="167"/>
      <c r="V170" s="167"/>
      <c r="W170" s="167"/>
      <c r="X170" s="167"/>
      <c r="Y170" s="167"/>
      <c r="Z170" s="167"/>
    </row>
    <row r="171" spans="16:26" ht="10.199999999999999" customHeight="1">
      <c r="P171" s="169"/>
      <c r="Q171" s="169"/>
      <c r="R171" s="169"/>
      <c r="S171" s="169"/>
      <c r="T171" s="169"/>
      <c r="U171" s="169"/>
      <c r="V171" s="169"/>
      <c r="W171" s="169"/>
      <c r="X171" s="169"/>
      <c r="Y171" s="169"/>
      <c r="Z171" s="169"/>
    </row>
    <row r="172" spans="16:26" ht="10.199999999999999" customHeight="1">
      <c r="P172" s="167"/>
      <c r="Q172" s="167"/>
      <c r="R172" s="167"/>
      <c r="S172" s="167"/>
      <c r="T172" s="167"/>
      <c r="U172" s="167"/>
      <c r="V172" s="167"/>
      <c r="W172" s="167"/>
      <c r="X172" s="167"/>
      <c r="Y172" s="167"/>
      <c r="Z172" s="167"/>
    </row>
    <row r="173" spans="16:26" ht="10.199999999999999" customHeight="1">
      <c r="P173" s="167"/>
      <c r="Q173" s="167"/>
      <c r="R173" s="167"/>
      <c r="S173" s="167"/>
      <c r="T173" s="167"/>
      <c r="U173" s="167"/>
      <c r="V173" s="167"/>
      <c r="W173" s="167"/>
      <c r="X173" s="167"/>
      <c r="Y173" s="167"/>
      <c r="Z173" s="167"/>
    </row>
    <row r="174" spans="16:26" ht="10.199999999999999" customHeight="1">
      <c r="P174" s="169"/>
      <c r="Q174" s="169"/>
      <c r="R174" s="169"/>
      <c r="S174" s="169"/>
      <c r="T174" s="169"/>
      <c r="U174" s="169"/>
      <c r="V174" s="169"/>
      <c r="W174" s="169"/>
      <c r="X174" s="169"/>
      <c r="Y174" s="169"/>
      <c r="Z174" s="169"/>
    </row>
    <row r="175" spans="16:26" ht="10.199999999999999" customHeight="1">
      <c r="P175" s="167"/>
      <c r="Q175" s="167"/>
      <c r="R175" s="167"/>
      <c r="S175" s="167"/>
      <c r="T175" s="167"/>
      <c r="U175" s="167"/>
      <c r="V175" s="167"/>
      <c r="W175" s="167"/>
      <c r="X175" s="167"/>
      <c r="Y175" s="167"/>
      <c r="Z175" s="167"/>
    </row>
    <row r="176" spans="16:26" ht="10.199999999999999" customHeight="1">
      <c r="P176" s="167"/>
      <c r="Q176" s="167"/>
      <c r="R176" s="167"/>
      <c r="S176" s="167"/>
      <c r="T176" s="167"/>
      <c r="U176" s="167"/>
      <c r="V176" s="167"/>
      <c r="W176" s="167"/>
      <c r="X176" s="167"/>
      <c r="Y176" s="167"/>
      <c r="Z176" s="167"/>
    </row>
    <row r="177" spans="16:26" ht="10.199999999999999" customHeight="1">
      <c r="P177" s="169"/>
      <c r="Q177" s="169"/>
      <c r="R177" s="169"/>
      <c r="S177" s="169"/>
      <c r="T177" s="169"/>
      <c r="U177" s="169"/>
      <c r="V177" s="169"/>
      <c r="W177" s="169"/>
      <c r="X177" s="169"/>
      <c r="Y177" s="169"/>
      <c r="Z177" s="169"/>
    </row>
    <row r="178" spans="16:26" ht="10.199999999999999" customHeight="1">
      <c r="P178" s="167"/>
      <c r="Q178" s="167"/>
      <c r="R178" s="167"/>
      <c r="S178" s="167"/>
      <c r="T178" s="167"/>
      <c r="U178" s="167"/>
      <c r="V178" s="167"/>
      <c r="W178" s="167"/>
      <c r="X178" s="167"/>
      <c r="Y178" s="167"/>
      <c r="Z178" s="167"/>
    </row>
    <row r="179" spans="16:26" ht="10.199999999999999" customHeight="1">
      <c r="P179" s="167"/>
      <c r="Q179" s="167"/>
      <c r="R179" s="167"/>
      <c r="S179" s="167"/>
      <c r="T179" s="167"/>
      <c r="U179" s="167"/>
      <c r="V179" s="167"/>
      <c r="W179" s="167"/>
      <c r="X179" s="167"/>
      <c r="Y179" s="167"/>
      <c r="Z179" s="167"/>
    </row>
    <row r="180" spans="16:26" ht="10.199999999999999" customHeight="1">
      <c r="P180" s="169"/>
      <c r="Q180" s="169"/>
      <c r="R180" s="169"/>
      <c r="S180" s="169"/>
      <c r="T180" s="169"/>
      <c r="U180" s="169"/>
      <c r="V180" s="169"/>
      <c r="W180" s="169"/>
      <c r="X180" s="169"/>
      <c r="Y180" s="169"/>
      <c r="Z180" s="169"/>
    </row>
    <row r="181" spans="16:26" ht="10.199999999999999" customHeight="1">
      <c r="P181" s="167"/>
      <c r="Q181" s="167"/>
      <c r="R181" s="167"/>
      <c r="S181" s="167"/>
      <c r="T181" s="167"/>
      <c r="U181" s="167"/>
      <c r="V181" s="167"/>
      <c r="W181" s="167"/>
      <c r="X181" s="167"/>
      <c r="Y181" s="167"/>
      <c r="Z181" s="167"/>
    </row>
    <row r="182" spans="16:26" ht="10.199999999999999" customHeight="1">
      <c r="P182" s="167"/>
      <c r="Q182" s="167"/>
      <c r="R182" s="167"/>
      <c r="S182" s="167"/>
      <c r="T182" s="167"/>
      <c r="U182" s="167"/>
      <c r="V182" s="167"/>
      <c r="W182" s="167"/>
      <c r="X182" s="167"/>
      <c r="Y182" s="167"/>
      <c r="Z182" s="167"/>
    </row>
    <row r="183" spans="16:26" ht="10.199999999999999" customHeight="1">
      <c r="P183" s="169"/>
      <c r="Q183" s="169"/>
      <c r="R183" s="169"/>
      <c r="S183" s="169"/>
      <c r="T183" s="169"/>
      <c r="U183" s="169"/>
      <c r="V183" s="169"/>
      <c r="W183" s="169"/>
      <c r="X183" s="169"/>
      <c r="Y183" s="169"/>
      <c r="Z183" s="169"/>
    </row>
    <row r="184" spans="16:26" ht="10.199999999999999" customHeight="1">
      <c r="P184" s="167"/>
      <c r="Q184" s="167"/>
      <c r="R184" s="167"/>
      <c r="S184" s="167"/>
      <c r="T184" s="167"/>
      <c r="U184" s="167"/>
      <c r="V184" s="167"/>
      <c r="W184" s="167"/>
      <c r="X184" s="167"/>
      <c r="Y184" s="167"/>
      <c r="Z184" s="167"/>
    </row>
    <row r="185" spans="16:26" ht="10.199999999999999" customHeight="1">
      <c r="P185" s="167"/>
      <c r="Q185" s="167"/>
      <c r="R185" s="167"/>
      <c r="S185" s="167"/>
      <c r="T185" s="167"/>
      <c r="U185" s="167"/>
      <c r="V185" s="167"/>
      <c r="W185" s="167"/>
      <c r="X185" s="167"/>
      <c r="Y185" s="167"/>
      <c r="Z185" s="167"/>
    </row>
    <row r="186" spans="16:26" ht="10.199999999999999" customHeight="1">
      <c r="P186" s="169"/>
      <c r="Q186" s="169"/>
      <c r="R186" s="169"/>
      <c r="S186" s="169"/>
      <c r="T186" s="169"/>
      <c r="U186" s="169"/>
      <c r="V186" s="169"/>
      <c r="W186" s="169"/>
      <c r="X186" s="169"/>
      <c r="Y186" s="169"/>
      <c r="Z186" s="169"/>
    </row>
    <row r="187" spans="16:26" ht="10.199999999999999" customHeight="1">
      <c r="P187" s="167"/>
      <c r="Q187" s="167"/>
      <c r="R187" s="167"/>
      <c r="S187" s="167"/>
      <c r="T187" s="167"/>
      <c r="U187" s="167"/>
      <c r="V187" s="167"/>
      <c r="W187" s="167"/>
      <c r="X187" s="167"/>
      <c r="Y187" s="167"/>
      <c r="Z187" s="167"/>
    </row>
    <row r="188" spans="16:26" ht="10.199999999999999" customHeight="1">
      <c r="P188" s="167"/>
      <c r="Q188" s="167"/>
      <c r="R188" s="167"/>
      <c r="S188" s="167"/>
      <c r="T188" s="167"/>
      <c r="U188" s="167"/>
      <c r="V188" s="167"/>
      <c r="W188" s="167"/>
      <c r="X188" s="167"/>
      <c r="Y188" s="167"/>
      <c r="Z188" s="167"/>
    </row>
    <row r="189" spans="16:26" ht="10.199999999999999" customHeight="1">
      <c r="P189" s="169"/>
      <c r="Q189" s="169"/>
      <c r="R189" s="169"/>
      <c r="S189" s="169"/>
      <c r="T189" s="169"/>
      <c r="U189" s="169"/>
      <c r="V189" s="169"/>
      <c r="W189" s="169"/>
      <c r="X189" s="169"/>
      <c r="Y189" s="169"/>
      <c r="Z189" s="169"/>
    </row>
    <row r="190" spans="16:26" ht="10.199999999999999" customHeight="1">
      <c r="P190" s="167"/>
      <c r="Q190" s="167"/>
      <c r="R190" s="167"/>
      <c r="S190" s="167"/>
      <c r="T190" s="167"/>
      <c r="U190" s="167"/>
      <c r="V190" s="167"/>
      <c r="W190" s="167"/>
      <c r="X190" s="167"/>
      <c r="Y190" s="167"/>
      <c r="Z190" s="167"/>
    </row>
    <row r="191" spans="16:26" ht="10.199999999999999" customHeight="1">
      <c r="P191" s="167"/>
      <c r="Q191" s="167"/>
      <c r="R191" s="167"/>
      <c r="S191" s="167"/>
      <c r="T191" s="167"/>
      <c r="U191" s="167"/>
      <c r="V191" s="167"/>
      <c r="W191" s="167"/>
      <c r="X191" s="167"/>
      <c r="Y191" s="167"/>
      <c r="Z191" s="167"/>
    </row>
    <row r="192" spans="16:26" ht="10.199999999999999" customHeight="1">
      <c r="P192" s="169"/>
      <c r="Q192" s="169"/>
      <c r="R192" s="169"/>
      <c r="S192" s="169"/>
      <c r="T192" s="169"/>
      <c r="U192" s="169"/>
      <c r="V192" s="169"/>
      <c r="W192" s="169"/>
      <c r="X192" s="169"/>
      <c r="Y192" s="169"/>
      <c r="Z192" s="169"/>
    </row>
    <row r="193" spans="16:26" ht="10.199999999999999" customHeight="1">
      <c r="P193" s="167"/>
      <c r="Q193" s="167"/>
      <c r="R193" s="167"/>
      <c r="S193" s="167"/>
      <c r="T193" s="167"/>
      <c r="U193" s="167"/>
      <c r="V193" s="167"/>
      <c r="W193" s="167"/>
      <c r="X193" s="167"/>
      <c r="Y193" s="167"/>
      <c r="Z193" s="167"/>
    </row>
    <row r="194" spans="16:26" ht="10.199999999999999" customHeight="1">
      <c r="P194" s="167"/>
      <c r="Q194" s="167"/>
      <c r="R194" s="167"/>
      <c r="S194" s="167"/>
      <c r="T194" s="167"/>
      <c r="U194" s="167"/>
      <c r="V194" s="167"/>
      <c r="W194" s="167"/>
      <c r="X194" s="167"/>
      <c r="Y194" s="167"/>
      <c r="Z194" s="167"/>
    </row>
    <row r="195" spans="16:26" ht="10.199999999999999" customHeight="1">
      <c r="P195" s="169"/>
      <c r="Q195" s="169"/>
      <c r="R195" s="169"/>
      <c r="S195" s="169"/>
      <c r="T195" s="169"/>
      <c r="U195" s="169"/>
      <c r="V195" s="169"/>
      <c r="W195" s="169"/>
      <c r="X195" s="169"/>
      <c r="Y195" s="169"/>
      <c r="Z195" s="169"/>
    </row>
    <row r="196" spans="16:26" ht="10.199999999999999" customHeight="1">
      <c r="P196" s="167"/>
      <c r="Q196" s="167"/>
      <c r="R196" s="167"/>
      <c r="S196" s="167"/>
      <c r="T196" s="167"/>
      <c r="U196" s="167"/>
      <c r="V196" s="167"/>
      <c r="W196" s="167"/>
      <c r="X196" s="167"/>
      <c r="Y196" s="167"/>
      <c r="Z196" s="167"/>
    </row>
    <row r="197" spans="16:26" ht="10.199999999999999" customHeight="1">
      <c r="P197" s="167"/>
      <c r="Q197" s="167"/>
      <c r="R197" s="167"/>
      <c r="S197" s="167"/>
      <c r="T197" s="167"/>
      <c r="U197" s="167"/>
      <c r="V197" s="167"/>
      <c r="W197" s="167"/>
      <c r="X197" s="167"/>
      <c r="Y197" s="167"/>
      <c r="Z197" s="167"/>
    </row>
    <row r="198" spans="16:26" ht="10.199999999999999" customHeight="1">
      <c r="P198" s="169"/>
      <c r="Q198" s="169"/>
      <c r="R198" s="169"/>
      <c r="S198" s="169"/>
      <c r="T198" s="169"/>
      <c r="U198" s="169"/>
      <c r="V198" s="169"/>
      <c r="W198" s="169"/>
      <c r="X198" s="169"/>
      <c r="Y198" s="169"/>
      <c r="Z198" s="169"/>
    </row>
    <row r="199" spans="16:26" ht="10.199999999999999" customHeight="1">
      <c r="P199" s="167"/>
      <c r="Q199" s="167"/>
      <c r="R199" s="167"/>
      <c r="S199" s="167"/>
      <c r="T199" s="167"/>
      <c r="U199" s="167"/>
      <c r="V199" s="167"/>
      <c r="W199" s="167"/>
      <c r="X199" s="167"/>
      <c r="Y199" s="167"/>
      <c r="Z199" s="167"/>
    </row>
    <row r="200" spans="16:26" ht="10.199999999999999" customHeight="1">
      <c r="P200" s="167"/>
      <c r="Q200" s="167"/>
      <c r="R200" s="167"/>
      <c r="S200" s="167"/>
      <c r="T200" s="167"/>
      <c r="U200" s="167"/>
      <c r="V200" s="167"/>
      <c r="W200" s="167"/>
      <c r="X200" s="167"/>
      <c r="Y200" s="167"/>
      <c r="Z200" s="167"/>
    </row>
    <row r="201" spans="16:26" ht="10.199999999999999" customHeight="1">
      <c r="P201" s="169"/>
      <c r="Q201" s="169"/>
      <c r="R201" s="169"/>
      <c r="S201" s="169"/>
      <c r="T201" s="169"/>
      <c r="U201" s="169"/>
      <c r="V201" s="169"/>
      <c r="W201" s="169"/>
      <c r="X201" s="169"/>
      <c r="Y201" s="169"/>
      <c r="Z201" s="169"/>
    </row>
    <row r="202" spans="16:26" ht="10.199999999999999" customHeight="1">
      <c r="P202" s="167"/>
      <c r="Q202" s="167"/>
      <c r="R202" s="167"/>
      <c r="S202" s="167"/>
      <c r="T202" s="167"/>
      <c r="U202" s="167"/>
      <c r="V202" s="167"/>
      <c r="W202" s="167"/>
      <c r="X202" s="167"/>
      <c r="Y202" s="167"/>
      <c r="Z202" s="167"/>
    </row>
    <row r="203" spans="16:26" ht="10.199999999999999" customHeight="1">
      <c r="P203" s="167"/>
      <c r="Q203" s="167"/>
      <c r="R203" s="167"/>
      <c r="S203" s="167"/>
      <c r="T203" s="167"/>
      <c r="U203" s="167"/>
      <c r="V203" s="167"/>
      <c r="W203" s="167"/>
      <c r="X203" s="167"/>
      <c r="Y203" s="167"/>
      <c r="Z203" s="167"/>
    </row>
    <row r="204" spans="16:26" ht="10.199999999999999" customHeight="1">
      <c r="P204" s="169"/>
      <c r="Q204" s="169"/>
      <c r="R204" s="169"/>
      <c r="S204" s="169"/>
      <c r="T204" s="169"/>
      <c r="U204" s="169"/>
      <c r="V204" s="169"/>
      <c r="W204" s="169"/>
      <c r="X204" s="169"/>
      <c r="Y204" s="169"/>
      <c r="Z204" s="169"/>
    </row>
    <row r="205" spans="16:26" ht="10.199999999999999" customHeight="1">
      <c r="P205" s="167"/>
      <c r="Q205" s="167"/>
      <c r="R205" s="167"/>
      <c r="S205" s="167"/>
      <c r="T205" s="167"/>
      <c r="U205" s="167"/>
      <c r="V205" s="167"/>
      <c r="W205" s="167"/>
      <c r="X205" s="167"/>
      <c r="Y205" s="167"/>
      <c r="Z205" s="167"/>
    </row>
    <row r="206" spans="16:26" ht="10.199999999999999" customHeight="1">
      <c r="P206" s="167"/>
      <c r="Q206" s="167"/>
      <c r="R206" s="167"/>
      <c r="S206" s="167"/>
      <c r="T206" s="167"/>
      <c r="U206" s="167"/>
      <c r="V206" s="167"/>
      <c r="W206" s="167"/>
      <c r="X206" s="167"/>
      <c r="Y206" s="167"/>
      <c r="Z206" s="167"/>
    </row>
    <row r="207" spans="16:26" ht="10.199999999999999" customHeight="1">
      <c r="P207" s="169"/>
      <c r="Q207" s="169"/>
      <c r="R207" s="169"/>
      <c r="S207" s="169"/>
      <c r="T207" s="169"/>
      <c r="U207" s="169"/>
      <c r="V207" s="169"/>
      <c r="W207" s="169"/>
      <c r="X207" s="169"/>
      <c r="Y207" s="169"/>
      <c r="Z207" s="169"/>
    </row>
    <row r="208" spans="16:26" ht="10.199999999999999" customHeight="1">
      <c r="P208" s="167"/>
      <c r="Q208" s="167"/>
      <c r="R208" s="167"/>
      <c r="S208" s="167"/>
      <c r="T208" s="167"/>
      <c r="U208" s="167"/>
      <c r="V208" s="167"/>
      <c r="W208" s="167"/>
      <c r="X208" s="167"/>
      <c r="Y208" s="167"/>
      <c r="Z208" s="167"/>
    </row>
    <row r="209" spans="16:26" ht="10.199999999999999" customHeight="1">
      <c r="P209" s="167"/>
      <c r="Q209" s="167"/>
      <c r="R209" s="167"/>
      <c r="S209" s="167"/>
      <c r="T209" s="167"/>
      <c r="U209" s="167"/>
      <c r="V209" s="167"/>
      <c r="W209" s="167"/>
      <c r="X209" s="167"/>
      <c r="Y209" s="167"/>
      <c r="Z209" s="167"/>
    </row>
    <row r="210" spans="16:26" ht="10.199999999999999" customHeight="1">
      <c r="P210" s="169"/>
      <c r="Q210" s="169"/>
      <c r="R210" s="169"/>
      <c r="S210" s="169"/>
      <c r="T210" s="169"/>
      <c r="U210" s="169"/>
      <c r="V210" s="169"/>
      <c r="W210" s="169"/>
      <c r="X210" s="169"/>
      <c r="Y210" s="169"/>
      <c r="Z210" s="169"/>
    </row>
    <row r="211" spans="16:26" ht="10.199999999999999" customHeight="1">
      <c r="P211" s="167"/>
      <c r="Q211" s="167"/>
      <c r="R211" s="167"/>
      <c r="S211" s="167"/>
      <c r="T211" s="167"/>
      <c r="U211" s="167"/>
      <c r="V211" s="167"/>
      <c r="W211" s="167"/>
      <c r="X211" s="167"/>
      <c r="Y211" s="167"/>
      <c r="Z211" s="167"/>
    </row>
    <row r="212" spans="16:26" ht="10.199999999999999" customHeight="1">
      <c r="P212" s="167"/>
      <c r="Q212" s="167"/>
      <c r="R212" s="167"/>
      <c r="S212" s="167"/>
      <c r="T212" s="167"/>
      <c r="U212" s="167"/>
      <c r="V212" s="167"/>
      <c r="W212" s="167"/>
      <c r="X212" s="167"/>
      <c r="Y212" s="167"/>
      <c r="Z212" s="167"/>
    </row>
    <row r="213" spans="16:26" ht="10.199999999999999" customHeight="1">
      <c r="P213" s="169"/>
      <c r="Q213" s="169"/>
      <c r="R213" s="169"/>
      <c r="S213" s="169"/>
      <c r="T213" s="169"/>
      <c r="U213" s="169"/>
      <c r="V213" s="169"/>
      <c r="W213" s="169"/>
      <c r="X213" s="169"/>
      <c r="Y213" s="169"/>
      <c r="Z213" s="169"/>
    </row>
    <row r="214" spans="16:26" ht="10.199999999999999" customHeight="1">
      <c r="P214" s="167"/>
      <c r="Q214" s="167"/>
      <c r="R214" s="167"/>
      <c r="S214" s="167"/>
      <c r="T214" s="167"/>
      <c r="U214" s="167"/>
      <c r="V214" s="167"/>
      <c r="W214" s="167"/>
      <c r="X214" s="167"/>
      <c r="Y214" s="167"/>
      <c r="Z214" s="167"/>
    </row>
    <row r="215" spans="16:26" ht="10.199999999999999" customHeight="1">
      <c r="P215" s="167"/>
      <c r="Q215" s="167"/>
      <c r="R215" s="167"/>
      <c r="S215" s="167"/>
      <c r="T215" s="167"/>
      <c r="U215" s="167"/>
      <c r="V215" s="167"/>
      <c r="W215" s="167"/>
      <c r="X215" s="167"/>
      <c r="Y215" s="167"/>
      <c r="Z215" s="167"/>
    </row>
    <row r="216" spans="16:26" ht="10.199999999999999" customHeight="1">
      <c r="P216" s="169"/>
      <c r="Q216" s="169"/>
      <c r="R216" s="169"/>
      <c r="S216" s="169"/>
      <c r="T216" s="169"/>
      <c r="U216" s="169"/>
      <c r="V216" s="169"/>
      <c r="W216" s="169"/>
      <c r="X216" s="169"/>
      <c r="Y216" s="169"/>
      <c r="Z216" s="169"/>
    </row>
    <row r="217" spans="16:26" ht="10.199999999999999" customHeight="1">
      <c r="P217" s="167"/>
      <c r="Q217" s="167"/>
      <c r="R217" s="167"/>
      <c r="S217" s="167"/>
      <c r="T217" s="167"/>
      <c r="U217" s="167"/>
      <c r="V217" s="167"/>
      <c r="W217" s="167"/>
      <c r="X217" s="167"/>
      <c r="Y217" s="167"/>
      <c r="Z217" s="167"/>
    </row>
    <row r="218" spans="16:26" ht="10.199999999999999" customHeight="1">
      <c r="P218" s="167"/>
      <c r="Q218" s="167"/>
      <c r="R218" s="167"/>
      <c r="S218" s="167"/>
      <c r="T218" s="167"/>
      <c r="U218" s="167"/>
      <c r="V218" s="167"/>
      <c r="W218" s="167"/>
      <c r="X218" s="167"/>
      <c r="Y218" s="167"/>
      <c r="Z218" s="167"/>
    </row>
    <row r="219" spans="16:26" ht="10.199999999999999" customHeight="1">
      <c r="P219" s="169"/>
      <c r="Q219" s="169"/>
      <c r="R219" s="169"/>
      <c r="S219" s="169"/>
      <c r="T219" s="169"/>
      <c r="U219" s="169"/>
      <c r="V219" s="169"/>
      <c r="W219" s="169"/>
      <c r="X219" s="169"/>
      <c r="Y219" s="169"/>
      <c r="Z219" s="169"/>
    </row>
    <row r="220" spans="16:26" ht="10.199999999999999" customHeight="1">
      <c r="P220" s="167"/>
      <c r="Q220" s="167"/>
      <c r="R220" s="167"/>
      <c r="S220" s="167"/>
      <c r="T220" s="167"/>
      <c r="U220" s="167"/>
      <c r="V220" s="167"/>
      <c r="W220" s="167"/>
      <c r="X220" s="167"/>
      <c r="Y220" s="167"/>
      <c r="Z220" s="167"/>
    </row>
    <row r="221" spans="16:26" ht="10.199999999999999" customHeight="1">
      <c r="P221" s="167"/>
      <c r="Q221" s="167"/>
      <c r="R221" s="167"/>
      <c r="S221" s="167"/>
      <c r="T221" s="167"/>
      <c r="U221" s="167"/>
      <c r="V221" s="167"/>
      <c r="W221" s="167"/>
      <c r="X221" s="167"/>
      <c r="Y221" s="167"/>
      <c r="Z221" s="167"/>
    </row>
    <row r="222" spans="16:26" ht="10.199999999999999" customHeight="1">
      <c r="P222" s="169"/>
      <c r="Q222" s="169"/>
      <c r="R222" s="169"/>
      <c r="S222" s="169"/>
      <c r="T222" s="169"/>
      <c r="U222" s="169"/>
      <c r="V222" s="169"/>
      <c r="W222" s="169"/>
      <c r="X222" s="169"/>
      <c r="Y222" s="169"/>
      <c r="Z222" s="169"/>
    </row>
    <row r="223" spans="16:26" ht="10.199999999999999" customHeight="1">
      <c r="P223" s="167"/>
      <c r="Q223" s="167"/>
      <c r="R223" s="167"/>
      <c r="S223" s="167"/>
      <c r="T223" s="167"/>
      <c r="U223" s="167"/>
      <c r="V223" s="167"/>
      <c r="W223" s="167"/>
      <c r="X223" s="167"/>
      <c r="Y223" s="167"/>
      <c r="Z223" s="167"/>
    </row>
    <row r="224" spans="16:26" ht="10.199999999999999" customHeight="1">
      <c r="P224" s="167"/>
      <c r="Q224" s="167"/>
      <c r="R224" s="167"/>
      <c r="S224" s="167"/>
      <c r="T224" s="167"/>
      <c r="U224" s="167"/>
      <c r="V224" s="167"/>
      <c r="W224" s="167"/>
      <c r="X224" s="167"/>
      <c r="Y224" s="167"/>
      <c r="Z224" s="167"/>
    </row>
    <row r="225" spans="16:26" ht="10.199999999999999" customHeight="1">
      <c r="P225" s="169"/>
      <c r="Q225" s="169"/>
      <c r="R225" s="169"/>
      <c r="S225" s="169"/>
      <c r="T225" s="169"/>
      <c r="U225" s="169"/>
      <c r="V225" s="169"/>
      <c r="W225" s="169"/>
      <c r="X225" s="169"/>
      <c r="Y225" s="169"/>
      <c r="Z225" s="169"/>
    </row>
    <row r="226" spans="16:26" ht="10.199999999999999" customHeight="1">
      <c r="P226" s="167"/>
      <c r="Q226" s="167"/>
      <c r="R226" s="167"/>
      <c r="S226" s="167"/>
      <c r="T226" s="167"/>
      <c r="U226" s="167"/>
      <c r="V226" s="167"/>
      <c r="W226" s="167"/>
      <c r="X226" s="167"/>
      <c r="Y226" s="167"/>
      <c r="Z226" s="167"/>
    </row>
    <row r="227" spans="16:26" ht="10.199999999999999" customHeight="1">
      <c r="P227" s="167"/>
      <c r="Q227" s="167"/>
      <c r="R227" s="167"/>
      <c r="S227" s="167"/>
      <c r="T227" s="167"/>
      <c r="U227" s="167"/>
      <c r="V227" s="167"/>
      <c r="W227" s="167"/>
      <c r="X227" s="167"/>
      <c r="Y227" s="167"/>
      <c r="Z227" s="167"/>
    </row>
    <row r="228" spans="16:26" ht="10.199999999999999" customHeight="1">
      <c r="P228" s="169"/>
      <c r="Q228" s="169"/>
      <c r="R228" s="169"/>
      <c r="S228" s="169"/>
      <c r="T228" s="169"/>
      <c r="U228" s="169"/>
      <c r="V228" s="169"/>
      <c r="W228" s="169"/>
      <c r="X228" s="169"/>
      <c r="Y228" s="169"/>
      <c r="Z228" s="169"/>
    </row>
    <row r="229" spans="16:26" ht="10.199999999999999" customHeight="1">
      <c r="P229" s="167"/>
      <c r="Q229" s="167"/>
      <c r="R229" s="167"/>
      <c r="S229" s="167"/>
      <c r="T229" s="167"/>
      <c r="U229" s="167"/>
      <c r="V229" s="167"/>
      <c r="W229" s="167"/>
      <c r="X229" s="167"/>
      <c r="Y229" s="167"/>
      <c r="Z229" s="167"/>
    </row>
    <row r="230" spans="16:26" ht="10.199999999999999" customHeight="1">
      <c r="P230" s="167"/>
      <c r="Q230" s="167"/>
      <c r="R230" s="167"/>
      <c r="S230" s="167"/>
      <c r="T230" s="167"/>
      <c r="U230" s="167"/>
      <c r="V230" s="167"/>
      <c r="W230" s="167"/>
      <c r="X230" s="167"/>
      <c r="Y230" s="167"/>
      <c r="Z230" s="167"/>
    </row>
    <row r="231" spans="16:26" ht="10.199999999999999" customHeight="1">
      <c r="P231" s="169"/>
      <c r="Q231" s="169"/>
      <c r="R231" s="169"/>
      <c r="S231" s="169"/>
      <c r="T231" s="169"/>
      <c r="U231" s="169"/>
      <c r="V231" s="169"/>
      <c r="W231" s="169"/>
      <c r="X231" s="169"/>
      <c r="Y231" s="169"/>
      <c r="Z231" s="169"/>
    </row>
    <row r="232" spans="16:26" ht="10.199999999999999" customHeight="1">
      <c r="P232" s="167"/>
      <c r="Q232" s="167"/>
      <c r="R232" s="167"/>
      <c r="S232" s="167"/>
      <c r="T232" s="167"/>
      <c r="U232" s="167"/>
      <c r="V232" s="167"/>
      <c r="W232" s="167"/>
      <c r="X232" s="167"/>
      <c r="Y232" s="167"/>
      <c r="Z232" s="167"/>
    </row>
    <row r="233" spans="16:26" ht="10.199999999999999" customHeight="1">
      <c r="P233" s="167"/>
      <c r="Q233" s="167"/>
      <c r="R233" s="167"/>
      <c r="S233" s="167"/>
      <c r="T233" s="167"/>
      <c r="U233" s="167"/>
      <c r="V233" s="167"/>
      <c r="W233" s="167"/>
      <c r="X233" s="167"/>
      <c r="Y233" s="167"/>
      <c r="Z233" s="167"/>
    </row>
    <row r="234" spans="16:26" ht="10.199999999999999" customHeight="1">
      <c r="P234" s="169"/>
      <c r="Q234" s="169"/>
      <c r="R234" s="169"/>
      <c r="S234" s="169"/>
      <c r="T234" s="169"/>
      <c r="U234" s="169"/>
      <c r="V234" s="169"/>
      <c r="W234" s="169"/>
      <c r="X234" s="169"/>
      <c r="Y234" s="169"/>
      <c r="Z234" s="169"/>
    </row>
    <row r="235" spans="16:26" ht="10.199999999999999" customHeight="1">
      <c r="P235" s="167"/>
      <c r="Q235" s="167"/>
      <c r="R235" s="167"/>
      <c r="S235" s="167"/>
      <c r="T235" s="167"/>
      <c r="U235" s="167"/>
      <c r="V235" s="167"/>
      <c r="W235" s="167"/>
      <c r="X235" s="167"/>
      <c r="Y235" s="167"/>
      <c r="Z235" s="167"/>
    </row>
    <row r="236" spans="16:26" ht="10.199999999999999" customHeight="1">
      <c r="P236" s="167"/>
      <c r="Q236" s="167"/>
      <c r="R236" s="167"/>
      <c r="S236" s="167"/>
      <c r="T236" s="167"/>
      <c r="U236" s="167"/>
      <c r="V236" s="167"/>
      <c r="W236" s="167"/>
      <c r="X236" s="167"/>
      <c r="Y236" s="167"/>
      <c r="Z236" s="167"/>
    </row>
    <row r="237" spans="16:26" ht="10.199999999999999" customHeight="1">
      <c r="P237" s="169"/>
      <c r="Q237" s="169"/>
      <c r="R237" s="169"/>
      <c r="S237" s="169"/>
      <c r="T237" s="169"/>
      <c r="U237" s="169"/>
      <c r="V237" s="169"/>
      <c r="W237" s="169"/>
      <c r="X237" s="169"/>
      <c r="Y237" s="169"/>
      <c r="Z237" s="169"/>
    </row>
    <row r="238" spans="16:26" ht="10.199999999999999" customHeight="1">
      <c r="P238" s="167"/>
      <c r="Q238" s="167"/>
      <c r="R238" s="167"/>
      <c r="S238" s="167"/>
      <c r="T238" s="167"/>
      <c r="U238" s="167"/>
      <c r="V238" s="167"/>
      <c r="W238" s="167"/>
      <c r="X238" s="167"/>
      <c r="Y238" s="167"/>
      <c r="Z238" s="167"/>
    </row>
    <row r="239" spans="16:26" ht="10.199999999999999" customHeight="1">
      <c r="P239" s="167"/>
      <c r="Q239" s="167"/>
      <c r="R239" s="167"/>
      <c r="S239" s="167"/>
      <c r="T239" s="167"/>
      <c r="U239" s="167"/>
      <c r="V239" s="167"/>
      <c r="W239" s="167"/>
      <c r="X239" s="167"/>
      <c r="Y239" s="167"/>
      <c r="Z239" s="167"/>
    </row>
    <row r="240" spans="16:26" ht="10.199999999999999" customHeight="1">
      <c r="P240" s="169"/>
      <c r="Q240" s="169"/>
      <c r="R240" s="169"/>
      <c r="S240" s="169"/>
      <c r="T240" s="169"/>
      <c r="U240" s="169"/>
      <c r="V240" s="169"/>
      <c r="W240" s="169"/>
      <c r="X240" s="169"/>
      <c r="Y240" s="169"/>
      <c r="Z240" s="169"/>
    </row>
    <row r="241" spans="16:26" ht="10.199999999999999" customHeight="1">
      <c r="P241" s="167"/>
      <c r="Q241" s="167"/>
      <c r="R241" s="167"/>
      <c r="S241" s="167"/>
      <c r="T241" s="167"/>
      <c r="U241" s="167"/>
      <c r="V241" s="167"/>
      <c r="W241" s="167"/>
      <c r="X241" s="167"/>
      <c r="Y241" s="167"/>
      <c r="Z241" s="167"/>
    </row>
    <row r="242" spans="16:26" ht="10.199999999999999" customHeight="1">
      <c r="P242" s="167"/>
      <c r="Q242" s="167"/>
      <c r="R242" s="167"/>
      <c r="S242" s="167"/>
      <c r="T242" s="167"/>
      <c r="U242" s="167"/>
      <c r="V242" s="167"/>
      <c r="W242" s="167"/>
      <c r="X242" s="167"/>
      <c r="Y242" s="167"/>
      <c r="Z242" s="167"/>
    </row>
    <row r="243" spans="16:26" ht="10.199999999999999" customHeight="1">
      <c r="P243" s="169"/>
      <c r="Q243" s="169"/>
      <c r="R243" s="169"/>
      <c r="S243" s="169"/>
      <c r="T243" s="169"/>
      <c r="U243" s="169"/>
      <c r="V243" s="169"/>
      <c r="W243" s="169"/>
      <c r="X243" s="169"/>
      <c r="Y243" s="169"/>
      <c r="Z243" s="169"/>
    </row>
    <row r="244" spans="16:26" ht="10.199999999999999" customHeight="1">
      <c r="P244" s="167"/>
      <c r="Q244" s="167"/>
      <c r="R244" s="167"/>
      <c r="S244" s="167"/>
      <c r="T244" s="167"/>
      <c r="U244" s="167"/>
      <c r="V244" s="167"/>
      <c r="W244" s="167"/>
      <c r="X244" s="167"/>
      <c r="Y244" s="167"/>
      <c r="Z244" s="167"/>
    </row>
    <row r="245" spans="16:26" ht="10.199999999999999" customHeight="1">
      <c r="P245" s="167"/>
      <c r="Q245" s="167"/>
      <c r="R245" s="167"/>
      <c r="S245" s="167"/>
      <c r="T245" s="167"/>
      <c r="U245" s="167"/>
      <c r="V245" s="167"/>
      <c r="W245" s="167"/>
      <c r="X245" s="167"/>
      <c r="Y245" s="167"/>
      <c r="Z245" s="167"/>
    </row>
    <row r="246" spans="16:26" ht="10.199999999999999" customHeight="1">
      <c r="P246" s="169"/>
      <c r="Q246" s="169"/>
      <c r="R246" s="169"/>
      <c r="S246" s="169"/>
      <c r="T246" s="169"/>
      <c r="U246" s="169"/>
      <c r="V246" s="169"/>
      <c r="W246" s="169"/>
      <c r="X246" s="169"/>
      <c r="Y246" s="169"/>
      <c r="Z246" s="169"/>
    </row>
    <row r="247" spans="16:26" ht="10.199999999999999" customHeight="1">
      <c r="P247" s="167"/>
      <c r="Q247" s="167"/>
      <c r="R247" s="167"/>
      <c r="S247" s="167"/>
      <c r="T247" s="167"/>
      <c r="U247" s="167"/>
      <c r="V247" s="167"/>
      <c r="W247" s="167"/>
      <c r="X247" s="167"/>
      <c r="Y247" s="167"/>
      <c r="Z247" s="167"/>
    </row>
    <row r="248" spans="16:26" ht="10.199999999999999" customHeight="1">
      <c r="P248" s="167"/>
      <c r="Q248" s="167"/>
      <c r="R248" s="167"/>
      <c r="S248" s="167"/>
      <c r="T248" s="167"/>
      <c r="U248" s="167"/>
      <c r="V248" s="167"/>
      <c r="W248" s="167"/>
      <c r="X248" s="167"/>
      <c r="Y248" s="167"/>
      <c r="Z248" s="167"/>
    </row>
    <row r="249" spans="16:26" ht="10.199999999999999" customHeight="1">
      <c r="P249" s="169"/>
      <c r="Q249" s="169"/>
      <c r="R249" s="169"/>
      <c r="S249" s="169"/>
      <c r="T249" s="169"/>
      <c r="U249" s="169"/>
      <c r="V249" s="169"/>
      <c r="W249" s="169"/>
      <c r="X249" s="169"/>
      <c r="Y249" s="169"/>
      <c r="Z249" s="169"/>
    </row>
    <row r="250" spans="16:26" ht="10.199999999999999" customHeight="1">
      <c r="P250" s="167"/>
      <c r="Q250" s="167"/>
      <c r="R250" s="167"/>
      <c r="S250" s="167"/>
      <c r="T250" s="167"/>
      <c r="U250" s="167"/>
      <c r="V250" s="167"/>
      <c r="W250" s="167"/>
      <c r="X250" s="167"/>
      <c r="Y250" s="167"/>
      <c r="Z250" s="167"/>
    </row>
    <row r="251" spans="16:26" ht="10.199999999999999" customHeight="1">
      <c r="P251" s="167"/>
      <c r="Q251" s="167"/>
      <c r="R251" s="167"/>
      <c r="S251" s="167"/>
      <c r="T251" s="167"/>
      <c r="U251" s="167"/>
      <c r="V251" s="167"/>
      <c r="W251" s="167"/>
      <c r="X251" s="167"/>
      <c r="Y251" s="167"/>
      <c r="Z251" s="167"/>
    </row>
    <row r="252" spans="16:26" ht="10.199999999999999" customHeight="1">
      <c r="P252" s="169"/>
      <c r="Q252" s="169"/>
      <c r="R252" s="169"/>
      <c r="S252" s="169"/>
      <c r="T252" s="169"/>
      <c r="U252" s="169"/>
      <c r="V252" s="169"/>
      <c r="W252" s="169"/>
      <c r="X252" s="169"/>
      <c r="Y252" s="169"/>
      <c r="Z252" s="169"/>
    </row>
    <row r="253" spans="16:26" ht="10.199999999999999" customHeight="1">
      <c r="P253" s="167"/>
      <c r="Q253" s="167"/>
      <c r="R253" s="167"/>
      <c r="S253" s="167"/>
      <c r="T253" s="167"/>
      <c r="U253" s="167"/>
      <c r="V253" s="167"/>
      <c r="W253" s="167"/>
      <c r="X253" s="167"/>
      <c r="Y253" s="167"/>
      <c r="Z253" s="167"/>
    </row>
    <row r="254" spans="16:26" ht="10.199999999999999" customHeight="1">
      <c r="P254" s="167"/>
      <c r="Q254" s="167"/>
      <c r="R254" s="167"/>
      <c r="S254" s="167"/>
      <c r="T254" s="167"/>
      <c r="U254" s="167"/>
      <c r="V254" s="167"/>
      <c r="W254" s="167"/>
      <c r="X254" s="167"/>
      <c r="Y254" s="167"/>
      <c r="Z254" s="167"/>
    </row>
    <row r="255" spans="16:26" ht="10.199999999999999" customHeight="1">
      <c r="P255" s="169"/>
      <c r="Q255" s="169"/>
      <c r="R255" s="169"/>
      <c r="S255" s="169"/>
      <c r="T255" s="169"/>
      <c r="U255" s="169"/>
      <c r="V255" s="169"/>
      <c r="W255" s="169"/>
      <c r="X255" s="169"/>
      <c r="Y255" s="169"/>
      <c r="Z255" s="169"/>
    </row>
    <row r="256" spans="16:26" ht="10.199999999999999" customHeight="1">
      <c r="P256" s="167"/>
      <c r="Q256" s="167"/>
      <c r="R256" s="167"/>
      <c r="S256" s="167"/>
      <c r="T256" s="167"/>
      <c r="U256" s="167"/>
      <c r="V256" s="167"/>
      <c r="W256" s="167"/>
      <c r="X256" s="167"/>
      <c r="Y256" s="167"/>
      <c r="Z256" s="167"/>
    </row>
    <row r="257" spans="16:26" ht="10.199999999999999" customHeight="1">
      <c r="P257" s="167"/>
      <c r="Q257" s="167"/>
      <c r="R257" s="167"/>
      <c r="S257" s="167"/>
      <c r="T257" s="167"/>
      <c r="U257" s="167"/>
      <c r="V257" s="167"/>
      <c r="W257" s="167"/>
      <c r="X257" s="167"/>
      <c r="Y257" s="167"/>
      <c r="Z257" s="167"/>
    </row>
    <row r="258" spans="16:26" ht="10.199999999999999" customHeight="1">
      <c r="P258" s="169"/>
      <c r="Q258" s="169"/>
      <c r="R258" s="169"/>
      <c r="S258" s="169"/>
      <c r="T258" s="169"/>
      <c r="U258" s="169"/>
      <c r="V258" s="169"/>
      <c r="W258" s="169"/>
      <c r="X258" s="169"/>
      <c r="Y258" s="169"/>
      <c r="Z258" s="169"/>
    </row>
    <row r="259" spans="16:26" ht="10.199999999999999" customHeight="1">
      <c r="P259" s="167"/>
      <c r="Q259" s="167"/>
      <c r="R259" s="167"/>
      <c r="S259" s="167"/>
      <c r="T259" s="167"/>
      <c r="U259" s="167"/>
      <c r="V259" s="167"/>
      <c r="W259" s="167"/>
      <c r="X259" s="167"/>
      <c r="Y259" s="167"/>
      <c r="Z259" s="167"/>
    </row>
    <row r="260" spans="16:26" ht="10.199999999999999" customHeight="1">
      <c r="P260" s="167"/>
      <c r="Q260" s="167"/>
      <c r="R260" s="167"/>
      <c r="S260" s="167"/>
      <c r="T260" s="167"/>
      <c r="U260" s="167"/>
      <c r="V260" s="167"/>
      <c r="W260" s="167"/>
      <c r="X260" s="167"/>
      <c r="Y260" s="167"/>
      <c r="Z260" s="167"/>
    </row>
    <row r="261" spans="16:26" ht="10.199999999999999" customHeight="1">
      <c r="P261" s="169"/>
      <c r="Q261" s="169"/>
      <c r="R261" s="169"/>
      <c r="S261" s="169"/>
      <c r="T261" s="169"/>
      <c r="U261" s="169"/>
      <c r="V261" s="169"/>
      <c r="W261" s="169"/>
      <c r="X261" s="169"/>
      <c r="Y261" s="169"/>
      <c r="Z261" s="169"/>
    </row>
    <row r="262" spans="16:26" ht="10.199999999999999" customHeight="1">
      <c r="P262" s="167"/>
      <c r="Q262" s="167"/>
      <c r="R262" s="167"/>
      <c r="S262" s="167"/>
      <c r="T262" s="167"/>
      <c r="U262" s="167"/>
      <c r="V262" s="167"/>
      <c r="W262" s="167"/>
      <c r="X262" s="167"/>
      <c r="Y262" s="167"/>
      <c r="Z262" s="167"/>
    </row>
    <row r="263" spans="16:26" ht="10.199999999999999" customHeight="1">
      <c r="P263" s="167"/>
      <c r="Q263" s="167"/>
      <c r="R263" s="167"/>
      <c r="S263" s="167"/>
      <c r="T263" s="167"/>
      <c r="U263" s="167"/>
      <c r="V263" s="167"/>
      <c r="W263" s="167"/>
      <c r="X263" s="167"/>
      <c r="Y263" s="167"/>
      <c r="Z263" s="167"/>
    </row>
    <row r="264" spans="16:26" ht="10.199999999999999" customHeight="1">
      <c r="P264" s="169"/>
      <c r="Q264" s="169"/>
      <c r="R264" s="169"/>
      <c r="S264" s="169"/>
      <c r="T264" s="169"/>
      <c r="U264" s="169"/>
      <c r="V264" s="169"/>
      <c r="W264" s="169"/>
      <c r="X264" s="169"/>
      <c r="Y264" s="169"/>
      <c r="Z264" s="169"/>
    </row>
    <row r="265" spans="16:26" ht="10.199999999999999" customHeight="1">
      <c r="P265" s="167"/>
      <c r="Q265" s="167"/>
      <c r="R265" s="167"/>
      <c r="S265" s="167"/>
      <c r="T265" s="167"/>
      <c r="U265" s="167"/>
      <c r="V265" s="167"/>
      <c r="W265" s="167"/>
      <c r="X265" s="167"/>
      <c r="Y265" s="167"/>
      <c r="Z265" s="167"/>
    </row>
    <row r="266" spans="16:26" ht="10.199999999999999" customHeight="1">
      <c r="P266" s="167"/>
      <c r="Q266" s="167"/>
      <c r="R266" s="167"/>
      <c r="S266" s="167"/>
      <c r="T266" s="167"/>
      <c r="U266" s="167"/>
      <c r="V266" s="167"/>
      <c r="W266" s="167"/>
      <c r="X266" s="167"/>
      <c r="Y266" s="167"/>
      <c r="Z266" s="167"/>
    </row>
    <row r="267" spans="16:26" ht="10.199999999999999" customHeight="1">
      <c r="P267" s="165"/>
      <c r="Q267" s="165"/>
      <c r="R267" s="165"/>
      <c r="S267" s="165"/>
      <c r="T267" s="165"/>
      <c r="U267" s="165"/>
      <c r="V267" s="165"/>
      <c r="W267" s="165"/>
      <c r="X267" s="165"/>
      <c r="Y267" s="165"/>
      <c r="Z267" s="165"/>
    </row>
    <row r="268" spans="16:26" ht="10.199999999999999" customHeight="1">
      <c r="P268" s="165"/>
      <c r="Q268" s="165"/>
      <c r="R268" s="165"/>
      <c r="S268" s="165"/>
      <c r="T268" s="165"/>
      <c r="U268" s="165"/>
      <c r="V268" s="165"/>
      <c r="W268" s="165"/>
      <c r="X268" s="165"/>
      <c r="Y268" s="165"/>
      <c r="Z268" s="165"/>
    </row>
    <row r="269" spans="16:26" ht="10.199999999999999" customHeight="1">
      <c r="P269" s="165"/>
      <c r="Q269" s="165"/>
      <c r="R269" s="165"/>
      <c r="S269" s="165"/>
      <c r="T269" s="165"/>
      <c r="U269" s="165"/>
      <c r="V269" s="165"/>
      <c r="W269" s="165"/>
      <c r="X269" s="165"/>
      <c r="Y269" s="165"/>
      <c r="Z269" s="165"/>
    </row>
    <row r="270" spans="16:26" ht="10.199999999999999" customHeight="1">
      <c r="P270" s="165"/>
      <c r="Q270" s="165"/>
      <c r="R270" s="165"/>
      <c r="S270" s="165"/>
      <c r="T270" s="165"/>
      <c r="U270" s="165"/>
      <c r="V270" s="165"/>
      <c r="W270" s="165"/>
      <c r="X270" s="165"/>
      <c r="Y270" s="165"/>
      <c r="Z270" s="165"/>
    </row>
    <row r="271" spans="16:26" ht="10.199999999999999" customHeight="1">
      <c r="P271" s="165"/>
      <c r="Q271" s="165"/>
      <c r="R271" s="165"/>
      <c r="S271" s="165"/>
      <c r="T271" s="165"/>
      <c r="U271" s="165"/>
      <c r="V271" s="165"/>
      <c r="W271" s="165"/>
      <c r="X271" s="165"/>
      <c r="Y271" s="165"/>
      <c r="Z271" s="165"/>
    </row>
    <row r="272" spans="16:26" ht="10.199999999999999" customHeight="1">
      <c r="P272" s="165"/>
      <c r="Q272" s="165"/>
      <c r="R272" s="165"/>
      <c r="S272" s="165"/>
      <c r="T272" s="165"/>
      <c r="U272" s="165"/>
      <c r="V272" s="165"/>
      <c r="W272" s="165"/>
      <c r="X272" s="165"/>
      <c r="Y272" s="165"/>
      <c r="Z272" s="165"/>
    </row>
    <row r="273" spans="16:26" ht="10.199999999999999" customHeight="1">
      <c r="P273" s="165"/>
      <c r="Q273" s="165"/>
      <c r="R273" s="165"/>
      <c r="S273" s="165"/>
      <c r="T273" s="165"/>
      <c r="U273" s="165"/>
      <c r="V273" s="165"/>
      <c r="W273" s="165"/>
      <c r="X273" s="165"/>
      <c r="Y273" s="165"/>
      <c r="Z273" s="165"/>
    </row>
    <row r="274" spans="16:26" ht="10.199999999999999" customHeight="1">
      <c r="P274" s="165"/>
      <c r="Q274" s="165"/>
      <c r="R274" s="165"/>
      <c r="S274" s="165"/>
      <c r="T274" s="165"/>
      <c r="U274" s="165"/>
      <c r="V274" s="165"/>
      <c r="W274" s="165"/>
      <c r="X274" s="165"/>
      <c r="Y274" s="165"/>
      <c r="Z274" s="165"/>
    </row>
    <row r="275" spans="16:26" ht="10.199999999999999" customHeight="1">
      <c r="P275" s="165"/>
      <c r="Q275" s="165"/>
      <c r="R275" s="165"/>
      <c r="S275" s="165"/>
      <c r="T275" s="165"/>
      <c r="U275" s="165"/>
      <c r="V275" s="165"/>
      <c r="W275" s="165"/>
      <c r="X275" s="165"/>
      <c r="Y275" s="165"/>
      <c r="Z275" s="165"/>
    </row>
    <row r="276" spans="16:26" ht="10.199999999999999" customHeight="1">
      <c r="P276" s="165"/>
      <c r="Q276" s="165"/>
      <c r="R276" s="165"/>
      <c r="S276" s="165"/>
      <c r="T276" s="165"/>
      <c r="U276" s="165"/>
      <c r="V276" s="165"/>
      <c r="W276" s="165"/>
      <c r="X276" s="165"/>
      <c r="Y276" s="165"/>
      <c r="Z276" s="165"/>
    </row>
    <row r="277" spans="16:26" ht="10.199999999999999" customHeight="1">
      <c r="P277" s="165"/>
      <c r="Q277" s="165"/>
      <c r="R277" s="165"/>
      <c r="S277" s="165"/>
      <c r="T277" s="165"/>
      <c r="U277" s="165"/>
      <c r="V277" s="165"/>
      <c r="W277" s="165"/>
      <c r="X277" s="165"/>
      <c r="Y277" s="165"/>
      <c r="Z277" s="165"/>
    </row>
    <row r="278" spans="16:26" ht="10.199999999999999" customHeight="1">
      <c r="P278" s="165"/>
      <c r="Q278" s="165"/>
      <c r="R278" s="165"/>
      <c r="S278" s="165"/>
      <c r="T278" s="165"/>
      <c r="U278" s="165"/>
      <c r="V278" s="165"/>
      <c r="W278" s="165"/>
      <c r="X278" s="165"/>
      <c r="Y278" s="165"/>
      <c r="Z278" s="165"/>
    </row>
    <row r="279" spans="16:26" ht="10.199999999999999" customHeight="1">
      <c r="P279" s="165"/>
      <c r="Q279" s="165"/>
      <c r="R279" s="165"/>
      <c r="S279" s="165"/>
      <c r="T279" s="165"/>
      <c r="U279" s="165"/>
      <c r="V279" s="165"/>
      <c r="W279" s="165"/>
      <c r="X279" s="165"/>
      <c r="Y279" s="165"/>
      <c r="Z279" s="165"/>
    </row>
    <row r="280" spans="16:26" ht="10.199999999999999" customHeight="1">
      <c r="P280" s="165"/>
      <c r="Q280" s="165"/>
      <c r="R280" s="165"/>
      <c r="S280" s="165"/>
      <c r="T280" s="165"/>
      <c r="U280" s="165"/>
      <c r="V280" s="165"/>
      <c r="W280" s="165"/>
      <c r="X280" s="165"/>
      <c r="Y280" s="165"/>
      <c r="Z280" s="165"/>
    </row>
    <row r="281" spans="16:26" ht="10.199999999999999" customHeight="1">
      <c r="P281" s="165"/>
      <c r="Q281" s="165"/>
      <c r="R281" s="165"/>
      <c r="S281" s="165"/>
      <c r="T281" s="165"/>
      <c r="U281" s="165"/>
      <c r="V281" s="165"/>
      <c r="W281" s="165"/>
      <c r="X281" s="165"/>
      <c r="Y281" s="165"/>
      <c r="Z281" s="165"/>
    </row>
    <row r="282" spans="16:26" ht="10.199999999999999" customHeight="1">
      <c r="P282" s="165"/>
      <c r="Q282" s="165"/>
      <c r="R282" s="165"/>
      <c r="S282" s="165"/>
      <c r="T282" s="165"/>
      <c r="U282" s="165"/>
      <c r="V282" s="165"/>
      <c r="W282" s="165"/>
      <c r="X282" s="165"/>
      <c r="Y282" s="165"/>
      <c r="Z282" s="165"/>
    </row>
    <row r="283" spans="16:26" ht="10.199999999999999" customHeight="1">
      <c r="P283" s="165"/>
      <c r="Q283" s="165"/>
      <c r="R283" s="165"/>
      <c r="S283" s="165"/>
      <c r="T283" s="165"/>
      <c r="U283" s="165"/>
      <c r="V283" s="165"/>
      <c r="W283" s="165"/>
      <c r="X283" s="165"/>
      <c r="Y283" s="165"/>
      <c r="Z283" s="165"/>
    </row>
    <row r="284" spans="16:26" ht="10.199999999999999" customHeight="1">
      <c r="P284" s="165"/>
      <c r="Q284" s="165"/>
      <c r="R284" s="165"/>
      <c r="S284" s="165"/>
      <c r="T284" s="165"/>
      <c r="U284" s="165"/>
      <c r="V284" s="165"/>
      <c r="W284" s="165"/>
      <c r="X284" s="165"/>
      <c r="Y284" s="165"/>
      <c r="Z284" s="165"/>
    </row>
    <row r="285" spans="16:26" ht="10.199999999999999" customHeight="1">
      <c r="P285" s="165"/>
      <c r="Q285" s="165"/>
      <c r="R285" s="165"/>
      <c r="S285" s="165"/>
      <c r="T285" s="165"/>
      <c r="U285" s="165"/>
      <c r="V285" s="165"/>
      <c r="W285" s="165"/>
      <c r="X285" s="165"/>
      <c r="Y285" s="165"/>
      <c r="Z285" s="165"/>
    </row>
    <row r="286" spans="16:26" ht="10.199999999999999" customHeight="1">
      <c r="P286" s="165"/>
      <c r="Q286" s="165"/>
      <c r="R286" s="165"/>
      <c r="S286" s="165"/>
      <c r="T286" s="165"/>
      <c r="U286" s="165"/>
      <c r="V286" s="165"/>
      <c r="W286" s="165"/>
      <c r="X286" s="165"/>
      <c r="Y286" s="165"/>
      <c r="Z286" s="165"/>
    </row>
    <row r="287" spans="16:26" ht="10.199999999999999" customHeight="1">
      <c r="P287" s="165"/>
      <c r="Q287" s="165"/>
      <c r="R287" s="165"/>
      <c r="S287" s="165"/>
      <c r="T287" s="165"/>
      <c r="U287" s="165"/>
      <c r="V287" s="165"/>
      <c r="W287" s="165"/>
      <c r="X287" s="165"/>
      <c r="Y287" s="165"/>
      <c r="Z287" s="165"/>
    </row>
    <row r="288" spans="16:26" ht="10.199999999999999" customHeight="1">
      <c r="P288" s="165"/>
      <c r="Q288" s="165"/>
      <c r="R288" s="165"/>
      <c r="S288" s="165"/>
      <c r="T288" s="165"/>
      <c r="U288" s="165"/>
      <c r="V288" s="165"/>
      <c r="W288" s="165"/>
      <c r="X288" s="165"/>
      <c r="Y288" s="165"/>
      <c r="Z288" s="165"/>
    </row>
    <row r="289" spans="16:26" ht="10.199999999999999" customHeight="1">
      <c r="P289" s="165"/>
      <c r="Q289" s="165"/>
      <c r="R289" s="165"/>
      <c r="S289" s="165"/>
      <c r="T289" s="165"/>
      <c r="U289" s="165"/>
      <c r="V289" s="165"/>
      <c r="W289" s="165"/>
      <c r="X289" s="165"/>
      <c r="Y289" s="165"/>
      <c r="Z289" s="165"/>
    </row>
    <row r="290" spans="16:26" ht="10.199999999999999" customHeight="1">
      <c r="P290" s="165"/>
      <c r="Q290" s="165"/>
      <c r="R290" s="165"/>
      <c r="S290" s="165"/>
      <c r="T290" s="165"/>
      <c r="U290" s="165"/>
      <c r="V290" s="165"/>
      <c r="W290" s="165"/>
      <c r="X290" s="165"/>
      <c r="Y290" s="165"/>
      <c r="Z290" s="165"/>
    </row>
    <row r="291" spans="16:26" ht="10.199999999999999" customHeight="1">
      <c r="P291" s="165"/>
      <c r="Q291" s="165"/>
      <c r="R291" s="165"/>
      <c r="S291" s="165"/>
      <c r="T291" s="165"/>
      <c r="U291" s="165"/>
      <c r="V291" s="165"/>
      <c r="W291" s="165"/>
      <c r="X291" s="165"/>
      <c r="Y291" s="165"/>
      <c r="Z291" s="165"/>
    </row>
    <row r="292" spans="16:26" ht="10.199999999999999" customHeight="1">
      <c r="P292" s="165"/>
      <c r="Q292" s="165"/>
      <c r="R292" s="165"/>
      <c r="S292" s="165"/>
      <c r="T292" s="165"/>
      <c r="U292" s="165"/>
      <c r="V292" s="165"/>
      <c r="W292" s="165"/>
      <c r="X292" s="165"/>
      <c r="Y292" s="165"/>
      <c r="Z292" s="165"/>
    </row>
    <row r="293" spans="16:26" ht="10.199999999999999" customHeight="1">
      <c r="P293" s="165"/>
      <c r="Q293" s="165"/>
      <c r="R293" s="165"/>
      <c r="S293" s="165"/>
      <c r="T293" s="165"/>
      <c r="U293" s="165"/>
      <c r="V293" s="165"/>
      <c r="W293" s="165"/>
      <c r="X293" s="165"/>
      <c r="Y293" s="165"/>
      <c r="Z293" s="165"/>
    </row>
    <row r="294" spans="16:26" ht="10.199999999999999" customHeight="1">
      <c r="P294" s="165"/>
      <c r="Q294" s="165"/>
      <c r="R294" s="165"/>
      <c r="S294" s="165"/>
      <c r="T294" s="165"/>
      <c r="U294" s="165"/>
      <c r="V294" s="165"/>
      <c r="W294" s="165"/>
      <c r="X294" s="165"/>
      <c r="Y294" s="165"/>
      <c r="Z294" s="165"/>
    </row>
    <row r="295" spans="16:26" ht="10.199999999999999" customHeight="1">
      <c r="P295" s="165"/>
      <c r="Q295" s="165"/>
      <c r="R295" s="165"/>
      <c r="S295" s="165"/>
      <c r="T295" s="165"/>
      <c r="U295" s="165"/>
      <c r="V295" s="165"/>
      <c r="W295" s="165"/>
      <c r="X295" s="165"/>
      <c r="Y295" s="165"/>
      <c r="Z295" s="165"/>
    </row>
    <row r="296" spans="16:26" ht="10.199999999999999" customHeight="1">
      <c r="P296" s="165"/>
      <c r="Q296" s="165"/>
      <c r="R296" s="165"/>
      <c r="S296" s="165"/>
      <c r="T296" s="165"/>
      <c r="U296" s="165"/>
      <c r="V296" s="165"/>
      <c r="W296" s="165"/>
      <c r="X296" s="165"/>
      <c r="Y296" s="165"/>
      <c r="Z296" s="165"/>
    </row>
    <row r="297" spans="16:26" ht="10.199999999999999" customHeight="1">
      <c r="P297" s="165"/>
      <c r="Q297" s="165"/>
      <c r="R297" s="165"/>
      <c r="S297" s="165"/>
      <c r="T297" s="165"/>
      <c r="U297" s="165"/>
      <c r="V297" s="165"/>
      <c r="W297" s="165"/>
      <c r="X297" s="165"/>
      <c r="Y297" s="165"/>
      <c r="Z297" s="165"/>
    </row>
    <row r="298" spans="16:26" ht="10.199999999999999" customHeight="1">
      <c r="P298" s="165"/>
      <c r="Q298" s="165"/>
      <c r="R298" s="165"/>
      <c r="S298" s="165"/>
      <c r="T298" s="165"/>
      <c r="U298" s="165"/>
      <c r="V298" s="165"/>
      <c r="W298" s="165"/>
      <c r="X298" s="165"/>
      <c r="Y298" s="165"/>
      <c r="Z298" s="165"/>
    </row>
    <row r="299" spans="16:26" ht="10.199999999999999" customHeight="1">
      <c r="P299" s="165"/>
      <c r="Q299" s="165"/>
      <c r="R299" s="165"/>
      <c r="S299" s="165"/>
      <c r="T299" s="165"/>
      <c r="U299" s="165"/>
      <c r="V299" s="165"/>
      <c r="W299" s="165"/>
      <c r="X299" s="165"/>
      <c r="Y299" s="165"/>
      <c r="Z299" s="165"/>
    </row>
    <row r="300" spans="16:26" ht="10.199999999999999" customHeight="1">
      <c r="P300" s="165"/>
      <c r="Q300" s="165"/>
      <c r="R300" s="165"/>
      <c r="S300" s="165"/>
      <c r="T300" s="165"/>
      <c r="U300" s="165"/>
      <c r="V300" s="165"/>
      <c r="W300" s="165"/>
      <c r="X300" s="165"/>
      <c r="Y300" s="165"/>
      <c r="Z300" s="165"/>
    </row>
    <row r="301" spans="16:26" ht="10.199999999999999" customHeight="1">
      <c r="P301" s="165"/>
      <c r="Q301" s="165"/>
      <c r="R301" s="165"/>
      <c r="S301" s="165"/>
      <c r="T301" s="165"/>
      <c r="U301" s="165"/>
      <c r="V301" s="165"/>
      <c r="W301" s="165"/>
      <c r="X301" s="165"/>
      <c r="Y301" s="165"/>
      <c r="Z301" s="165"/>
    </row>
    <row r="302" spans="16:26" ht="10.199999999999999" customHeight="1">
      <c r="P302" s="165"/>
      <c r="Q302" s="165"/>
      <c r="R302" s="165"/>
      <c r="S302" s="165"/>
      <c r="T302" s="165"/>
      <c r="U302" s="165"/>
      <c r="V302" s="165"/>
      <c r="W302" s="165"/>
      <c r="X302" s="165"/>
      <c r="Y302" s="165"/>
      <c r="Z302" s="165"/>
    </row>
    <row r="303" spans="16:26" ht="10.199999999999999" customHeight="1">
      <c r="P303" s="165"/>
      <c r="Q303" s="165"/>
      <c r="R303" s="165"/>
      <c r="S303" s="165"/>
      <c r="T303" s="165"/>
      <c r="U303" s="165"/>
      <c r="V303" s="165"/>
      <c r="W303" s="165"/>
      <c r="X303" s="165"/>
      <c r="Y303" s="165"/>
      <c r="Z303" s="165"/>
    </row>
    <row r="304" spans="16:26" ht="10.199999999999999" customHeight="1">
      <c r="P304" s="165"/>
      <c r="Q304" s="165"/>
      <c r="R304" s="165"/>
      <c r="S304" s="165"/>
      <c r="T304" s="165"/>
      <c r="U304" s="165"/>
      <c r="V304" s="165"/>
      <c r="W304" s="165"/>
      <c r="X304" s="165"/>
      <c r="Y304" s="165"/>
      <c r="Z304" s="165"/>
    </row>
    <row r="305" spans="16:26" ht="10.199999999999999" customHeight="1">
      <c r="P305" s="165"/>
      <c r="Q305" s="165"/>
      <c r="R305" s="165"/>
      <c r="S305" s="165"/>
      <c r="T305" s="165"/>
      <c r="U305" s="165"/>
      <c r="V305" s="165"/>
      <c r="W305" s="165"/>
      <c r="X305" s="165"/>
      <c r="Y305" s="165"/>
      <c r="Z305" s="165"/>
    </row>
    <row r="306" spans="16:26" ht="10.199999999999999" customHeight="1">
      <c r="P306" s="165"/>
      <c r="Q306" s="165"/>
      <c r="R306" s="165"/>
      <c r="S306" s="165"/>
      <c r="T306" s="165"/>
      <c r="U306" s="165"/>
      <c r="V306" s="165"/>
      <c r="W306" s="165"/>
      <c r="X306" s="165"/>
      <c r="Y306" s="165"/>
      <c r="Z306" s="165"/>
    </row>
    <row r="307" spans="16:26" ht="10.199999999999999" customHeight="1">
      <c r="P307" s="165"/>
      <c r="Q307" s="165"/>
      <c r="R307" s="165"/>
      <c r="S307" s="165"/>
      <c r="T307" s="165"/>
      <c r="U307" s="165"/>
      <c r="V307" s="165"/>
      <c r="W307" s="165"/>
      <c r="X307" s="165"/>
      <c r="Y307" s="165"/>
      <c r="Z307" s="165"/>
    </row>
    <row r="308" spans="16:26" ht="10.199999999999999" customHeight="1">
      <c r="P308" s="165"/>
      <c r="Q308" s="165"/>
      <c r="R308" s="165"/>
      <c r="S308" s="165"/>
      <c r="T308" s="165"/>
      <c r="U308" s="165"/>
      <c r="V308" s="165"/>
      <c r="W308" s="165"/>
      <c r="X308" s="165"/>
      <c r="Y308" s="165"/>
      <c r="Z308" s="165"/>
    </row>
    <row r="309" spans="16:26" ht="10.199999999999999" customHeight="1">
      <c r="P309" s="165"/>
      <c r="Q309" s="165"/>
      <c r="R309" s="165"/>
      <c r="S309" s="165"/>
      <c r="T309" s="165"/>
      <c r="U309" s="165"/>
      <c r="V309" s="165"/>
      <c r="W309" s="165"/>
      <c r="X309" s="165"/>
      <c r="Y309" s="165"/>
      <c r="Z309" s="165"/>
    </row>
    <row r="310" spans="16:26" ht="10.199999999999999" customHeight="1">
      <c r="P310" s="165"/>
      <c r="Q310" s="165"/>
      <c r="R310" s="165"/>
      <c r="S310" s="165"/>
      <c r="T310" s="165"/>
      <c r="U310" s="165"/>
      <c r="V310" s="165"/>
      <c r="W310" s="165"/>
      <c r="X310" s="165"/>
      <c r="Y310" s="165"/>
      <c r="Z310" s="165"/>
    </row>
    <row r="311" spans="16:26" ht="10.199999999999999" customHeight="1">
      <c r="P311" s="165"/>
      <c r="Q311" s="165"/>
      <c r="R311" s="165"/>
      <c r="S311" s="165"/>
      <c r="T311" s="165"/>
      <c r="U311" s="165"/>
      <c r="V311" s="165"/>
      <c r="W311" s="165"/>
      <c r="X311" s="165"/>
      <c r="Y311" s="165"/>
      <c r="Z311" s="165"/>
    </row>
    <row r="312" spans="16:26" ht="10.199999999999999" customHeight="1">
      <c r="P312" s="165"/>
      <c r="Q312" s="165"/>
      <c r="R312" s="165"/>
      <c r="S312" s="165"/>
      <c r="T312" s="165"/>
      <c r="U312" s="165"/>
      <c r="V312" s="165"/>
      <c r="W312" s="165"/>
      <c r="X312" s="165"/>
      <c r="Y312" s="165"/>
      <c r="Z312" s="165"/>
    </row>
    <row r="313" spans="16:26" ht="10.199999999999999" customHeight="1">
      <c r="P313" s="165"/>
      <c r="Q313" s="165"/>
      <c r="R313" s="165"/>
      <c r="S313" s="165"/>
      <c r="T313" s="165"/>
      <c r="U313" s="165"/>
      <c r="V313" s="165"/>
      <c r="W313" s="165"/>
      <c r="X313" s="165"/>
      <c r="Y313" s="165"/>
      <c r="Z313" s="165"/>
    </row>
    <row r="314" spans="16:26" ht="10.199999999999999" customHeight="1">
      <c r="P314" s="165"/>
      <c r="Q314" s="165"/>
      <c r="R314" s="165"/>
      <c r="S314" s="165"/>
      <c r="T314" s="165"/>
      <c r="U314" s="165"/>
      <c r="V314" s="165"/>
      <c r="W314" s="165"/>
      <c r="X314" s="165"/>
      <c r="Y314" s="165"/>
      <c r="Z314" s="165"/>
    </row>
    <row r="315" spans="16:26" ht="10.199999999999999" customHeight="1">
      <c r="P315" s="165"/>
      <c r="Q315" s="165"/>
      <c r="R315" s="165"/>
      <c r="S315" s="165"/>
      <c r="T315" s="165"/>
      <c r="U315" s="165"/>
      <c r="V315" s="165"/>
      <c r="W315" s="165"/>
      <c r="X315" s="165"/>
      <c r="Y315" s="165"/>
      <c r="Z315" s="165"/>
    </row>
    <row r="316" spans="16:26" ht="10.199999999999999" customHeight="1">
      <c r="P316" s="165"/>
      <c r="Q316" s="165"/>
      <c r="R316" s="165"/>
      <c r="S316" s="165"/>
      <c r="T316" s="165"/>
      <c r="U316" s="165"/>
      <c r="V316" s="165"/>
      <c r="W316" s="165"/>
      <c r="X316" s="165"/>
      <c r="Y316" s="165"/>
      <c r="Z316" s="165"/>
    </row>
    <row r="317" spans="16:26" ht="10.199999999999999" customHeight="1">
      <c r="P317" s="165"/>
      <c r="Q317" s="165"/>
      <c r="R317" s="165"/>
      <c r="S317" s="165"/>
      <c r="T317" s="165"/>
      <c r="U317" s="165"/>
      <c r="V317" s="165"/>
      <c r="W317" s="165"/>
      <c r="X317" s="165"/>
      <c r="Y317" s="165"/>
      <c r="Z317" s="165"/>
    </row>
    <row r="318" spans="16:26" ht="10.199999999999999" customHeight="1">
      <c r="P318" s="165"/>
      <c r="Q318" s="165"/>
      <c r="R318" s="165"/>
      <c r="S318" s="165"/>
      <c r="T318" s="165"/>
      <c r="U318" s="165"/>
      <c r="V318" s="165"/>
      <c r="W318" s="165"/>
      <c r="X318" s="165"/>
      <c r="Y318" s="165"/>
      <c r="Z318" s="165"/>
    </row>
    <row r="319" spans="16:26" ht="10.199999999999999" customHeight="1">
      <c r="P319" s="165"/>
      <c r="Q319" s="165"/>
      <c r="R319" s="165"/>
      <c r="S319" s="165"/>
      <c r="T319" s="165"/>
      <c r="U319" s="165"/>
      <c r="V319" s="165"/>
      <c r="W319" s="165"/>
      <c r="X319" s="165"/>
      <c r="Y319" s="165"/>
      <c r="Z319" s="165"/>
    </row>
    <row r="320" spans="16:26" ht="10.199999999999999" customHeight="1">
      <c r="P320" s="165"/>
      <c r="Q320" s="165"/>
      <c r="R320" s="165"/>
      <c r="S320" s="165"/>
      <c r="T320" s="165"/>
      <c r="U320" s="165"/>
      <c r="V320" s="165"/>
      <c r="W320" s="165"/>
      <c r="X320" s="165"/>
      <c r="Y320" s="165"/>
      <c r="Z320" s="165"/>
    </row>
    <row r="321" spans="16:26" ht="10.199999999999999" customHeight="1">
      <c r="P321" s="165"/>
      <c r="Q321" s="165"/>
      <c r="R321" s="165"/>
      <c r="S321" s="165"/>
      <c r="T321" s="165"/>
      <c r="U321" s="165"/>
      <c r="V321" s="165"/>
      <c r="W321" s="165"/>
      <c r="X321" s="165"/>
      <c r="Y321" s="165"/>
      <c r="Z321" s="165"/>
    </row>
    <row r="322" spans="16:26" ht="10.199999999999999" customHeight="1">
      <c r="P322" s="165"/>
      <c r="Q322" s="165"/>
      <c r="R322" s="165"/>
      <c r="S322" s="165"/>
      <c r="T322" s="165"/>
      <c r="U322" s="165"/>
      <c r="V322" s="165"/>
      <c r="W322" s="165"/>
      <c r="X322" s="165"/>
      <c r="Y322" s="165"/>
      <c r="Z322" s="165"/>
    </row>
    <row r="323" spans="16:26" ht="10.199999999999999" customHeight="1">
      <c r="P323" s="165"/>
      <c r="Q323" s="165"/>
      <c r="R323" s="165"/>
      <c r="S323" s="165"/>
      <c r="T323" s="165"/>
      <c r="U323" s="165"/>
      <c r="V323" s="165"/>
      <c r="W323" s="165"/>
      <c r="X323" s="165"/>
      <c r="Y323" s="165"/>
      <c r="Z323" s="165"/>
    </row>
    <row r="324" spans="16:26" ht="10.199999999999999" customHeight="1">
      <c r="P324" s="165"/>
      <c r="Q324" s="165"/>
      <c r="R324" s="165"/>
      <c r="S324" s="165"/>
      <c r="T324" s="165"/>
      <c r="U324" s="165"/>
      <c r="V324" s="165"/>
      <c r="W324" s="165"/>
      <c r="X324" s="165"/>
      <c r="Y324" s="165"/>
      <c r="Z324" s="165"/>
    </row>
    <row r="325" spans="16:26" ht="10.199999999999999" customHeight="1">
      <c r="P325" s="165"/>
      <c r="Q325" s="165"/>
      <c r="R325" s="165"/>
      <c r="S325" s="165"/>
      <c r="T325" s="165"/>
      <c r="U325" s="165"/>
      <c r="V325" s="165"/>
      <c r="W325" s="165"/>
      <c r="X325" s="165"/>
      <c r="Y325" s="165"/>
      <c r="Z325" s="165"/>
    </row>
    <row r="326" spans="16:26" ht="10.199999999999999" customHeight="1">
      <c r="P326" s="165"/>
      <c r="Q326" s="165"/>
      <c r="R326" s="165"/>
      <c r="S326" s="165"/>
      <c r="T326" s="165"/>
      <c r="U326" s="165"/>
      <c r="V326" s="165"/>
      <c r="W326" s="165"/>
      <c r="X326" s="165"/>
      <c r="Y326" s="165"/>
      <c r="Z326" s="165"/>
    </row>
    <row r="327" spans="16:26" ht="10.199999999999999" customHeight="1">
      <c r="P327" s="165"/>
      <c r="Q327" s="165"/>
      <c r="R327" s="165"/>
      <c r="S327" s="165"/>
      <c r="T327" s="165"/>
      <c r="U327" s="165"/>
      <c r="V327" s="165"/>
      <c r="W327" s="165"/>
      <c r="X327" s="165"/>
      <c r="Y327" s="165"/>
      <c r="Z327" s="165"/>
    </row>
    <row r="328" spans="16:26" ht="10.199999999999999" customHeight="1">
      <c r="P328" s="165"/>
      <c r="Q328" s="165"/>
      <c r="R328" s="165"/>
      <c r="S328" s="165"/>
      <c r="T328" s="165"/>
      <c r="U328" s="165"/>
      <c r="V328" s="165"/>
      <c r="W328" s="165"/>
      <c r="X328" s="165"/>
      <c r="Y328" s="165"/>
      <c r="Z328" s="165"/>
    </row>
    <row r="329" spans="16:26" ht="10.199999999999999" customHeight="1">
      <c r="P329" s="165"/>
      <c r="Q329" s="165"/>
      <c r="R329" s="165"/>
      <c r="S329" s="165"/>
      <c r="T329" s="165"/>
      <c r="U329" s="165"/>
      <c r="V329" s="165"/>
      <c r="W329" s="165"/>
      <c r="X329" s="165"/>
      <c r="Y329" s="165"/>
      <c r="Z329" s="165"/>
    </row>
    <row r="330" spans="16:26" ht="10.199999999999999" customHeight="1">
      <c r="P330" s="165"/>
      <c r="Q330" s="165"/>
      <c r="R330" s="165"/>
      <c r="S330" s="165"/>
      <c r="T330" s="165"/>
      <c r="U330" s="165"/>
      <c r="V330" s="165"/>
      <c r="W330" s="165"/>
      <c r="X330" s="165"/>
      <c r="Y330" s="165"/>
      <c r="Z330" s="165"/>
    </row>
    <row r="331" spans="16:26" ht="10.199999999999999" customHeight="1">
      <c r="P331" s="165"/>
      <c r="Q331" s="165"/>
      <c r="R331" s="165"/>
      <c r="S331" s="165"/>
      <c r="T331" s="165"/>
      <c r="U331" s="165"/>
      <c r="V331" s="165"/>
      <c r="W331" s="165"/>
      <c r="X331" s="165"/>
      <c r="Y331" s="165"/>
      <c r="Z331" s="165"/>
    </row>
    <row r="332" spans="16:26" ht="10.199999999999999" customHeight="1">
      <c r="P332" s="165"/>
      <c r="Q332" s="165"/>
      <c r="R332" s="165"/>
      <c r="S332" s="165"/>
      <c r="T332" s="165"/>
      <c r="U332" s="165"/>
      <c r="V332" s="165"/>
      <c r="W332" s="165"/>
      <c r="X332" s="165"/>
      <c r="Y332" s="165"/>
      <c r="Z332" s="165"/>
    </row>
    <row r="333" spans="16:26" ht="10.199999999999999" customHeight="1">
      <c r="P333" s="165"/>
      <c r="Q333" s="165"/>
      <c r="R333" s="165"/>
      <c r="S333" s="165"/>
      <c r="T333" s="165"/>
      <c r="U333" s="165"/>
      <c r="V333" s="165"/>
      <c r="W333" s="165"/>
      <c r="X333" s="165"/>
      <c r="Y333" s="165"/>
      <c r="Z333" s="165"/>
    </row>
    <row r="334" spans="16:26" ht="10.199999999999999" customHeight="1">
      <c r="P334" s="165"/>
      <c r="Q334" s="165"/>
      <c r="R334" s="165"/>
      <c r="S334" s="165"/>
      <c r="T334" s="165"/>
      <c r="U334" s="165"/>
      <c r="V334" s="165"/>
      <c r="W334" s="165"/>
      <c r="X334" s="165"/>
      <c r="Y334" s="165"/>
      <c r="Z334" s="165"/>
    </row>
    <row r="335" spans="16:26" ht="10.199999999999999" customHeight="1">
      <c r="P335" s="165"/>
      <c r="Q335" s="165"/>
      <c r="R335" s="165"/>
      <c r="S335" s="165"/>
      <c r="T335" s="165"/>
      <c r="U335" s="165"/>
      <c r="V335" s="165"/>
      <c r="W335" s="165"/>
      <c r="X335" s="165"/>
      <c r="Y335" s="165"/>
      <c r="Z335" s="165"/>
    </row>
    <row r="336" spans="16:26" ht="10.199999999999999" customHeight="1">
      <c r="P336" s="165"/>
      <c r="Q336" s="165"/>
      <c r="R336" s="165"/>
      <c r="S336" s="165"/>
      <c r="T336" s="165"/>
      <c r="U336" s="165"/>
      <c r="V336" s="165"/>
      <c r="W336" s="165"/>
      <c r="X336" s="165"/>
      <c r="Y336" s="165"/>
      <c r="Z336" s="165"/>
    </row>
    <row r="337" spans="16:26" ht="10.199999999999999" customHeight="1">
      <c r="P337" s="165"/>
      <c r="Q337" s="165"/>
      <c r="R337" s="165"/>
      <c r="S337" s="165"/>
      <c r="T337" s="165"/>
      <c r="U337" s="165"/>
      <c r="V337" s="165"/>
      <c r="W337" s="165"/>
      <c r="X337" s="165"/>
      <c r="Y337" s="165"/>
      <c r="Z337" s="165"/>
    </row>
    <row r="338" spans="16:26" ht="10.199999999999999" customHeight="1">
      <c r="P338" s="165"/>
      <c r="Q338" s="165"/>
      <c r="R338" s="165"/>
      <c r="S338" s="165"/>
      <c r="T338" s="165"/>
      <c r="U338" s="165"/>
      <c r="V338" s="165"/>
      <c r="W338" s="165"/>
      <c r="X338" s="165"/>
      <c r="Y338" s="165"/>
      <c r="Z338" s="165"/>
    </row>
    <row r="339" spans="16:26" ht="10.199999999999999" customHeight="1">
      <c r="P339" s="165"/>
      <c r="Q339" s="165"/>
      <c r="R339" s="165"/>
      <c r="S339" s="165"/>
      <c r="T339" s="165"/>
      <c r="U339" s="165"/>
      <c r="V339" s="165"/>
      <c r="W339" s="165"/>
      <c r="X339" s="165"/>
      <c r="Y339" s="165"/>
      <c r="Z339" s="165"/>
    </row>
    <row r="340" spans="16:26" ht="10.199999999999999" customHeight="1">
      <c r="P340" s="165"/>
      <c r="Q340" s="165"/>
      <c r="R340" s="165"/>
      <c r="S340" s="165"/>
      <c r="T340" s="165"/>
      <c r="U340" s="165"/>
      <c r="V340" s="165"/>
      <c r="W340" s="165"/>
      <c r="X340" s="165"/>
      <c r="Y340" s="165"/>
      <c r="Z340" s="165"/>
    </row>
    <row r="341" spans="16:26" ht="10.199999999999999" customHeight="1">
      <c r="P341" s="165"/>
      <c r="Q341" s="165"/>
      <c r="R341" s="165"/>
      <c r="S341" s="165"/>
      <c r="T341" s="165"/>
      <c r="U341" s="165"/>
      <c r="V341" s="165"/>
      <c r="W341" s="165"/>
      <c r="X341" s="165"/>
      <c r="Y341" s="165"/>
      <c r="Z341" s="165"/>
    </row>
    <row r="342" spans="16:26" ht="10.199999999999999" customHeight="1">
      <c r="P342" s="165"/>
      <c r="Q342" s="165"/>
      <c r="R342" s="165"/>
      <c r="S342" s="165"/>
      <c r="T342" s="165"/>
      <c r="U342" s="165"/>
      <c r="V342" s="165"/>
      <c r="W342" s="165"/>
      <c r="X342" s="165"/>
      <c r="Y342" s="165"/>
      <c r="Z342" s="165"/>
    </row>
    <row r="343" spans="16:26" ht="10.199999999999999" customHeight="1">
      <c r="P343" s="165"/>
      <c r="Q343" s="165"/>
      <c r="R343" s="165"/>
      <c r="S343" s="165"/>
      <c r="T343" s="165"/>
      <c r="U343" s="165"/>
      <c r="V343" s="165"/>
      <c r="W343" s="165"/>
      <c r="X343" s="165"/>
      <c r="Y343" s="165"/>
      <c r="Z343" s="165"/>
    </row>
    <row r="344" spans="16:26" ht="10.199999999999999" customHeight="1">
      <c r="P344" s="165"/>
      <c r="Q344" s="165"/>
      <c r="R344" s="165"/>
      <c r="S344" s="165"/>
      <c r="T344" s="165"/>
      <c r="U344" s="165"/>
      <c r="V344" s="165"/>
      <c r="W344" s="165"/>
      <c r="X344" s="165"/>
      <c r="Y344" s="165"/>
      <c r="Z344" s="165"/>
    </row>
    <row r="345" spans="16:26" ht="10.199999999999999" customHeight="1">
      <c r="P345" s="165"/>
      <c r="Q345" s="165"/>
      <c r="R345" s="165"/>
      <c r="S345" s="165"/>
      <c r="T345" s="165"/>
      <c r="U345" s="165"/>
      <c r="V345" s="165"/>
      <c r="W345" s="165"/>
      <c r="X345" s="165"/>
      <c r="Y345" s="165"/>
      <c r="Z345" s="165"/>
    </row>
    <row r="346" spans="16:26" ht="10.199999999999999" customHeight="1">
      <c r="P346" s="165"/>
      <c r="Q346" s="165"/>
      <c r="R346" s="165"/>
      <c r="S346" s="165"/>
      <c r="T346" s="165"/>
      <c r="U346" s="165"/>
      <c r="V346" s="165"/>
      <c r="W346" s="165"/>
      <c r="X346" s="165"/>
      <c r="Y346" s="165"/>
      <c r="Z346" s="165"/>
    </row>
    <row r="347" spans="16:26" ht="10.199999999999999" customHeight="1">
      <c r="P347" s="165"/>
      <c r="Q347" s="165"/>
      <c r="R347" s="165"/>
      <c r="S347" s="165"/>
      <c r="T347" s="165"/>
      <c r="U347" s="165"/>
      <c r="V347" s="165"/>
      <c r="W347" s="165"/>
      <c r="X347" s="165"/>
      <c r="Y347" s="165"/>
      <c r="Z347" s="165"/>
    </row>
    <row r="348" spans="16:26" ht="10.199999999999999" customHeight="1">
      <c r="P348" s="165"/>
      <c r="Q348" s="165"/>
      <c r="R348" s="165"/>
      <c r="S348" s="165"/>
      <c r="T348" s="165"/>
      <c r="U348" s="165"/>
      <c r="V348" s="165"/>
      <c r="W348" s="165"/>
      <c r="X348" s="165"/>
      <c r="Y348" s="165"/>
      <c r="Z348" s="165"/>
    </row>
    <row r="349" spans="16:26" ht="10.199999999999999" customHeight="1">
      <c r="P349" s="165"/>
      <c r="Q349" s="165"/>
      <c r="R349" s="165"/>
      <c r="S349" s="165"/>
      <c r="T349" s="165"/>
      <c r="U349" s="165"/>
      <c r="V349" s="165"/>
      <c r="W349" s="165"/>
      <c r="X349" s="165"/>
      <c r="Y349" s="165"/>
      <c r="Z349" s="165"/>
    </row>
    <row r="350" spans="16:26" ht="10.199999999999999" customHeight="1">
      <c r="P350" s="165"/>
      <c r="Q350" s="165"/>
      <c r="R350" s="165"/>
      <c r="S350" s="165"/>
      <c r="T350" s="165"/>
      <c r="U350" s="165"/>
      <c r="V350" s="165"/>
      <c r="W350" s="165"/>
      <c r="X350" s="165"/>
      <c r="Y350" s="165"/>
      <c r="Z350" s="165"/>
    </row>
    <row r="351" spans="16:26" ht="10.199999999999999" customHeight="1">
      <c r="P351" s="165"/>
      <c r="Q351" s="165"/>
      <c r="R351" s="165"/>
      <c r="S351" s="165"/>
      <c r="T351" s="165"/>
      <c r="U351" s="165"/>
      <c r="V351" s="165"/>
      <c r="W351" s="165"/>
      <c r="X351" s="165"/>
      <c r="Y351" s="165"/>
      <c r="Z351" s="165"/>
    </row>
    <row r="352" spans="16:26" ht="10.199999999999999" customHeight="1">
      <c r="P352" s="165"/>
      <c r="Q352" s="165"/>
      <c r="R352" s="165"/>
      <c r="S352" s="165"/>
      <c r="T352" s="165"/>
      <c r="U352" s="165"/>
      <c r="V352" s="165"/>
      <c r="W352" s="165"/>
      <c r="X352" s="165"/>
      <c r="Y352" s="165"/>
      <c r="Z352" s="165"/>
    </row>
    <row r="353" spans="16:26" ht="10.199999999999999" customHeight="1">
      <c r="P353" s="165"/>
      <c r="Q353" s="165"/>
      <c r="R353" s="165"/>
      <c r="S353" s="165"/>
      <c r="T353" s="165"/>
      <c r="U353" s="165"/>
      <c r="V353" s="165"/>
      <c r="W353" s="165"/>
      <c r="X353" s="165"/>
      <c r="Y353" s="165"/>
      <c r="Z353" s="165"/>
    </row>
    <row r="354" spans="16:26" ht="10.199999999999999" customHeight="1">
      <c r="P354" s="165"/>
      <c r="Q354" s="165"/>
      <c r="R354" s="165"/>
      <c r="S354" s="165"/>
      <c r="T354" s="165"/>
      <c r="U354" s="165"/>
      <c r="V354" s="165"/>
      <c r="W354" s="165"/>
      <c r="X354" s="165"/>
      <c r="Y354" s="165"/>
      <c r="Z354" s="165"/>
    </row>
    <row r="355" spans="16:26" ht="10.199999999999999" customHeight="1">
      <c r="P355" s="165"/>
      <c r="Q355" s="165"/>
      <c r="R355" s="165"/>
      <c r="S355" s="165"/>
      <c r="T355" s="165"/>
      <c r="U355" s="165"/>
      <c r="V355" s="165"/>
      <c r="W355" s="165"/>
      <c r="X355" s="165"/>
      <c r="Y355" s="165"/>
      <c r="Z355" s="165"/>
    </row>
    <row r="356" spans="16:26" ht="10.199999999999999" customHeight="1">
      <c r="P356" s="165"/>
      <c r="Q356" s="165"/>
      <c r="R356" s="165"/>
      <c r="S356" s="165"/>
      <c r="T356" s="165"/>
      <c r="U356" s="165"/>
      <c r="V356" s="165"/>
      <c r="W356" s="165"/>
      <c r="X356" s="165"/>
      <c r="Y356" s="165"/>
      <c r="Z356" s="165"/>
    </row>
    <row r="357" spans="16:26" ht="10.199999999999999" customHeight="1">
      <c r="P357" s="165"/>
      <c r="Q357" s="165"/>
      <c r="R357" s="165"/>
      <c r="S357" s="165"/>
      <c r="T357" s="165"/>
      <c r="U357" s="165"/>
      <c r="V357" s="165"/>
      <c r="W357" s="165"/>
      <c r="X357" s="165"/>
      <c r="Y357" s="165"/>
      <c r="Z357" s="165"/>
    </row>
    <row r="358" spans="16:26" ht="10.199999999999999" customHeight="1">
      <c r="P358" s="165"/>
      <c r="Q358" s="165"/>
      <c r="R358" s="165"/>
      <c r="S358" s="165"/>
      <c r="T358" s="165"/>
      <c r="U358" s="165"/>
      <c r="V358" s="165"/>
      <c r="W358" s="165"/>
      <c r="X358" s="165"/>
      <c r="Y358" s="165"/>
      <c r="Z358" s="165"/>
    </row>
    <row r="359" spans="16:26" ht="10.199999999999999" customHeight="1">
      <c r="P359" s="165"/>
      <c r="Q359" s="165"/>
      <c r="R359" s="165"/>
      <c r="S359" s="165"/>
      <c r="T359" s="165"/>
      <c r="U359" s="165"/>
      <c r="V359" s="165"/>
      <c r="W359" s="165"/>
      <c r="X359" s="165"/>
      <c r="Y359" s="165"/>
      <c r="Z359" s="165"/>
    </row>
    <row r="360" spans="16:26" ht="10.199999999999999" customHeight="1">
      <c r="P360" s="165"/>
      <c r="Q360" s="165"/>
      <c r="R360" s="165"/>
      <c r="S360" s="165"/>
      <c r="T360" s="165"/>
      <c r="U360" s="165"/>
      <c r="V360" s="165"/>
      <c r="W360" s="165"/>
      <c r="X360" s="165"/>
      <c r="Y360" s="165"/>
      <c r="Z360" s="165"/>
    </row>
    <row r="361" spans="16:26" ht="10.199999999999999" customHeight="1">
      <c r="P361" s="165"/>
      <c r="Q361" s="165"/>
      <c r="R361" s="165"/>
      <c r="S361" s="165"/>
      <c r="T361" s="165"/>
      <c r="U361" s="165"/>
      <c r="V361" s="165"/>
      <c r="W361" s="165"/>
      <c r="X361" s="165"/>
      <c r="Y361" s="165"/>
      <c r="Z361" s="165"/>
    </row>
    <row r="362" spans="16:26" ht="10.199999999999999" customHeight="1">
      <c r="P362" s="165"/>
      <c r="Q362" s="165"/>
      <c r="R362" s="165"/>
      <c r="S362" s="165"/>
      <c r="T362" s="165"/>
      <c r="U362" s="165"/>
      <c r="V362" s="165"/>
      <c r="W362" s="165"/>
      <c r="X362" s="165"/>
      <c r="Y362" s="165"/>
      <c r="Z362" s="165"/>
    </row>
    <row r="363" spans="16:26" ht="10.199999999999999" customHeight="1">
      <c r="P363" s="165"/>
      <c r="Q363" s="165"/>
      <c r="R363" s="165"/>
      <c r="S363" s="165"/>
      <c r="T363" s="165"/>
      <c r="U363" s="165"/>
      <c r="V363" s="165"/>
      <c r="W363" s="165"/>
      <c r="X363" s="165"/>
      <c r="Y363" s="165"/>
      <c r="Z363" s="165"/>
    </row>
    <row r="364" spans="16:26" ht="10.199999999999999" customHeight="1">
      <c r="P364" s="165"/>
      <c r="Q364" s="165"/>
      <c r="R364" s="165"/>
      <c r="S364" s="165"/>
      <c r="T364" s="165"/>
      <c r="U364" s="165"/>
      <c r="V364" s="165"/>
      <c r="W364" s="165"/>
      <c r="X364" s="165"/>
      <c r="Y364" s="165"/>
      <c r="Z364" s="165"/>
    </row>
    <row r="365" spans="16:26" ht="10.199999999999999" customHeight="1">
      <c r="P365" s="165"/>
      <c r="Q365" s="165"/>
      <c r="R365" s="165"/>
      <c r="S365" s="165"/>
      <c r="T365" s="165"/>
      <c r="U365" s="165"/>
      <c r="V365" s="165"/>
      <c r="W365" s="165"/>
      <c r="X365" s="165"/>
      <c r="Y365" s="165"/>
      <c r="Z365" s="165"/>
    </row>
    <row r="366" spans="16:26" ht="10.199999999999999" customHeight="1">
      <c r="P366" s="165"/>
      <c r="Q366" s="165"/>
      <c r="R366" s="165"/>
      <c r="S366" s="165"/>
      <c r="T366" s="165"/>
      <c r="U366" s="165"/>
      <c r="V366" s="165"/>
      <c r="W366" s="165"/>
      <c r="X366" s="165"/>
      <c r="Y366" s="165"/>
      <c r="Z366" s="165"/>
    </row>
    <row r="367" spans="16:26" ht="10.199999999999999" customHeight="1">
      <c r="P367" s="165"/>
      <c r="Q367" s="165"/>
      <c r="R367" s="165"/>
      <c r="S367" s="165"/>
      <c r="T367" s="165"/>
      <c r="U367" s="165"/>
      <c r="V367" s="165"/>
      <c r="W367" s="165"/>
      <c r="X367" s="165"/>
      <c r="Y367" s="165"/>
      <c r="Z367" s="165"/>
    </row>
    <row r="368" spans="16:26" ht="10.199999999999999" customHeight="1">
      <c r="P368" s="165"/>
      <c r="Q368" s="165"/>
      <c r="R368" s="165"/>
      <c r="S368" s="165"/>
      <c r="T368" s="165"/>
      <c r="U368" s="165"/>
      <c r="V368" s="165"/>
      <c r="W368" s="165"/>
      <c r="X368" s="165"/>
      <c r="Y368" s="165"/>
      <c r="Z368" s="165"/>
    </row>
    <row r="369" spans="16:26" ht="10.199999999999999" customHeight="1">
      <c r="P369" s="165"/>
      <c r="Q369" s="165"/>
      <c r="R369" s="165"/>
      <c r="S369" s="165"/>
      <c r="T369" s="165"/>
      <c r="U369" s="165"/>
      <c r="V369" s="165"/>
      <c r="W369" s="165"/>
      <c r="X369" s="165"/>
      <c r="Y369" s="165"/>
      <c r="Z369" s="165"/>
    </row>
    <row r="370" spans="16:26" ht="10.199999999999999" customHeight="1">
      <c r="P370" s="165"/>
      <c r="Q370" s="165"/>
      <c r="R370" s="165"/>
      <c r="S370" s="165"/>
      <c r="T370" s="165"/>
      <c r="U370" s="165"/>
      <c r="V370" s="165"/>
      <c r="W370" s="165"/>
      <c r="X370" s="165"/>
      <c r="Y370" s="165"/>
      <c r="Z370" s="165"/>
    </row>
    <row r="371" spans="16:26" ht="10.199999999999999" customHeight="1">
      <c r="P371" s="165"/>
      <c r="Q371" s="165"/>
      <c r="R371" s="165"/>
      <c r="S371" s="165"/>
      <c r="T371" s="165"/>
      <c r="U371" s="165"/>
      <c r="V371" s="165"/>
      <c r="W371" s="165"/>
      <c r="X371" s="165"/>
      <c r="Y371" s="165"/>
      <c r="Z371" s="165"/>
    </row>
    <row r="372" spans="16:26" ht="10.199999999999999" customHeight="1">
      <c r="P372" s="165"/>
      <c r="Q372" s="165"/>
      <c r="R372" s="165"/>
      <c r="S372" s="165"/>
      <c r="T372" s="165"/>
      <c r="U372" s="165"/>
      <c r="V372" s="165"/>
      <c r="W372" s="165"/>
      <c r="X372" s="165"/>
      <c r="Y372" s="165"/>
      <c r="Z372" s="165"/>
    </row>
    <row r="373" spans="16:26" ht="10.199999999999999" customHeight="1">
      <c r="P373" s="165"/>
      <c r="Q373" s="165"/>
      <c r="R373" s="165"/>
      <c r="S373" s="165"/>
      <c r="T373" s="165"/>
      <c r="U373" s="165"/>
      <c r="V373" s="165"/>
      <c r="W373" s="165"/>
      <c r="X373" s="165"/>
      <c r="Y373" s="165"/>
      <c r="Z373" s="165"/>
    </row>
    <row r="374" spans="16:26" ht="10.199999999999999" customHeight="1">
      <c r="P374" s="165"/>
      <c r="Q374" s="165"/>
      <c r="R374" s="165"/>
      <c r="S374" s="165"/>
      <c r="T374" s="165"/>
      <c r="U374" s="165"/>
      <c r="V374" s="165"/>
      <c r="W374" s="165"/>
      <c r="X374" s="165"/>
      <c r="Y374" s="165"/>
      <c r="Z374" s="165"/>
    </row>
    <row r="375" spans="16:26" ht="10.199999999999999" customHeight="1">
      <c r="P375" s="165"/>
      <c r="Q375" s="165"/>
      <c r="R375" s="165"/>
      <c r="S375" s="165"/>
      <c r="T375" s="165"/>
      <c r="U375" s="165"/>
      <c r="V375" s="165"/>
      <c r="W375" s="165"/>
      <c r="X375" s="165"/>
      <c r="Y375" s="165"/>
      <c r="Z375" s="165"/>
    </row>
    <row r="376" spans="16:26" ht="10.199999999999999" customHeight="1">
      <c r="P376" s="165"/>
      <c r="Q376" s="165"/>
      <c r="R376" s="165"/>
      <c r="S376" s="165"/>
      <c r="T376" s="165"/>
      <c r="U376" s="165"/>
      <c r="V376" s="165"/>
      <c r="W376" s="165"/>
      <c r="X376" s="165"/>
      <c r="Y376" s="165"/>
      <c r="Z376" s="165"/>
    </row>
    <row r="377" spans="16:26" ht="10.199999999999999" customHeight="1">
      <c r="P377" s="165"/>
      <c r="Q377" s="165"/>
      <c r="R377" s="165"/>
      <c r="S377" s="165"/>
      <c r="T377" s="165"/>
      <c r="U377" s="165"/>
      <c r="V377" s="165"/>
      <c r="W377" s="165"/>
      <c r="X377" s="165"/>
      <c r="Y377" s="165"/>
      <c r="Z377" s="165"/>
    </row>
    <row r="378" spans="16:26" ht="10.199999999999999" customHeight="1">
      <c r="P378" s="165"/>
      <c r="Q378" s="165"/>
      <c r="R378" s="165"/>
      <c r="S378" s="165"/>
      <c r="T378" s="165"/>
      <c r="U378" s="165"/>
      <c r="V378" s="165"/>
      <c r="W378" s="165"/>
      <c r="X378" s="165"/>
      <c r="Y378" s="165"/>
      <c r="Z378" s="165"/>
    </row>
    <row r="379" spans="16:26" ht="10.199999999999999" customHeight="1">
      <c r="P379" s="165"/>
      <c r="Q379" s="165"/>
      <c r="R379" s="165"/>
      <c r="S379" s="165"/>
      <c r="T379" s="165"/>
      <c r="U379" s="165"/>
      <c r="V379" s="165"/>
      <c r="W379" s="165"/>
      <c r="X379" s="165"/>
      <c r="Y379" s="165"/>
      <c r="Z379" s="165"/>
    </row>
    <row r="380" spans="16:26" ht="10.199999999999999" customHeight="1">
      <c r="P380" s="165"/>
      <c r="Q380" s="165"/>
      <c r="R380" s="165"/>
      <c r="S380" s="165"/>
      <c r="T380" s="165"/>
      <c r="U380" s="165"/>
      <c r="V380" s="165"/>
      <c r="W380" s="165"/>
      <c r="X380" s="165"/>
      <c r="Y380" s="165"/>
      <c r="Z380" s="165"/>
    </row>
    <row r="381" spans="16:26" ht="10.199999999999999" customHeight="1">
      <c r="P381" s="165"/>
      <c r="Q381" s="165"/>
      <c r="R381" s="165"/>
      <c r="S381" s="165"/>
      <c r="T381" s="165"/>
      <c r="U381" s="165"/>
      <c r="V381" s="165"/>
      <c r="W381" s="165"/>
      <c r="X381" s="165"/>
      <c r="Y381" s="165"/>
      <c r="Z381" s="165"/>
    </row>
    <row r="382" spans="16:26" ht="10.199999999999999" customHeight="1">
      <c r="P382" s="165"/>
      <c r="Q382" s="165"/>
      <c r="R382" s="165"/>
      <c r="S382" s="165"/>
      <c r="T382" s="165"/>
      <c r="U382" s="165"/>
      <c r="V382" s="165"/>
      <c r="W382" s="165"/>
      <c r="X382" s="165"/>
      <c r="Y382" s="165"/>
      <c r="Z382" s="165"/>
    </row>
    <row r="383" spans="16:26" ht="10.199999999999999" customHeight="1">
      <c r="P383" s="165"/>
      <c r="Q383" s="165"/>
      <c r="R383" s="165"/>
      <c r="S383" s="165"/>
      <c r="T383" s="165"/>
      <c r="U383" s="165"/>
      <c r="V383" s="165"/>
      <c r="W383" s="165"/>
      <c r="X383" s="165"/>
      <c r="Y383" s="165"/>
      <c r="Z383" s="165"/>
    </row>
    <row r="384" spans="16:26" ht="10.199999999999999" customHeight="1">
      <c r="P384" s="165"/>
      <c r="Q384" s="165"/>
      <c r="R384" s="165"/>
      <c r="S384" s="165"/>
      <c r="T384" s="165"/>
      <c r="U384" s="165"/>
      <c r="V384" s="165"/>
      <c r="W384" s="165"/>
      <c r="X384" s="165"/>
      <c r="Y384" s="165"/>
      <c r="Z384" s="165"/>
    </row>
    <row r="385" spans="16:26" ht="10.199999999999999" customHeight="1">
      <c r="P385" s="165"/>
      <c r="Q385" s="165"/>
      <c r="R385" s="165"/>
      <c r="S385" s="165"/>
      <c r="T385" s="165"/>
      <c r="U385" s="165"/>
      <c r="V385" s="165"/>
      <c r="W385" s="165"/>
      <c r="X385" s="165"/>
      <c r="Y385" s="165"/>
      <c r="Z385" s="165"/>
    </row>
    <row r="386" spans="16:26" ht="10.199999999999999" customHeight="1">
      <c r="P386" s="165"/>
      <c r="Q386" s="165"/>
      <c r="R386" s="165"/>
      <c r="S386" s="165"/>
      <c r="T386" s="165"/>
      <c r="U386" s="165"/>
      <c r="V386" s="165"/>
      <c r="W386" s="165"/>
      <c r="X386" s="165"/>
      <c r="Y386" s="165"/>
      <c r="Z386" s="165"/>
    </row>
    <row r="387" spans="16:26" ht="10.199999999999999" customHeight="1">
      <c r="P387" s="165"/>
      <c r="Q387" s="165"/>
      <c r="R387" s="165"/>
      <c r="S387" s="165"/>
      <c r="T387" s="165"/>
      <c r="U387" s="165"/>
      <c r="V387" s="165"/>
      <c r="W387" s="165"/>
      <c r="X387" s="165"/>
      <c r="Y387" s="165"/>
      <c r="Z387" s="165"/>
    </row>
    <row r="388" spans="16:26" ht="10.199999999999999" customHeight="1">
      <c r="P388" s="165"/>
      <c r="Q388" s="165"/>
      <c r="R388" s="165"/>
      <c r="S388" s="165"/>
      <c r="T388" s="165"/>
      <c r="U388" s="165"/>
      <c r="V388" s="165"/>
      <c r="W388" s="165"/>
      <c r="X388" s="165"/>
      <c r="Y388" s="165"/>
      <c r="Z388" s="165"/>
    </row>
    <row r="389" spans="16:26" ht="10.199999999999999" customHeight="1">
      <c r="P389" s="165"/>
      <c r="Q389" s="165"/>
      <c r="R389" s="165"/>
      <c r="S389" s="165"/>
      <c r="T389" s="165"/>
      <c r="U389" s="165"/>
      <c r="V389" s="165"/>
      <c r="W389" s="165"/>
      <c r="X389" s="165"/>
      <c r="Y389" s="165"/>
      <c r="Z389" s="165"/>
    </row>
    <row r="390" spans="16:26" ht="10.199999999999999" customHeight="1">
      <c r="P390" s="165"/>
      <c r="Q390" s="165"/>
      <c r="R390" s="165"/>
      <c r="S390" s="165"/>
      <c r="T390" s="165"/>
      <c r="U390" s="165"/>
      <c r="V390" s="165"/>
      <c r="W390" s="165"/>
      <c r="X390" s="165"/>
      <c r="Y390" s="165"/>
      <c r="Z390" s="165"/>
    </row>
    <row r="391" spans="16:26" ht="10.199999999999999" customHeight="1">
      <c r="P391" s="165"/>
      <c r="Q391" s="165"/>
      <c r="R391" s="165"/>
      <c r="S391" s="165"/>
      <c r="T391" s="165"/>
      <c r="U391" s="165"/>
      <c r="V391" s="165"/>
      <c r="W391" s="165"/>
      <c r="X391" s="165"/>
      <c r="Y391" s="165"/>
      <c r="Z391" s="165"/>
    </row>
    <row r="392" spans="16:26" ht="10.199999999999999" customHeight="1">
      <c r="P392" s="165"/>
      <c r="Q392" s="165"/>
      <c r="R392" s="165"/>
      <c r="S392" s="165"/>
      <c r="T392" s="165"/>
      <c r="U392" s="165"/>
      <c r="V392" s="165"/>
      <c r="W392" s="165"/>
      <c r="X392" s="165"/>
      <c r="Y392" s="165"/>
      <c r="Z392" s="165"/>
    </row>
    <row r="393" spans="16:26" ht="10.199999999999999" customHeight="1">
      <c r="P393" s="165"/>
      <c r="Q393" s="165"/>
      <c r="R393" s="165"/>
      <c r="S393" s="165"/>
      <c r="T393" s="165"/>
      <c r="U393" s="165"/>
      <c r="V393" s="165"/>
      <c r="W393" s="165"/>
      <c r="X393" s="165"/>
      <c r="Y393" s="165"/>
      <c r="Z393" s="165"/>
    </row>
    <row r="394" spans="16:26" ht="10.199999999999999" customHeight="1">
      <c r="P394" s="165"/>
      <c r="Q394" s="165"/>
      <c r="R394" s="165"/>
      <c r="S394" s="165"/>
      <c r="T394" s="165"/>
      <c r="U394" s="165"/>
      <c r="V394" s="165"/>
      <c r="W394" s="165"/>
      <c r="X394" s="165"/>
      <c r="Y394" s="165"/>
      <c r="Z394" s="165"/>
    </row>
    <row r="395" spans="16:26" ht="10.199999999999999" customHeight="1">
      <c r="P395" s="165"/>
      <c r="Q395" s="165"/>
      <c r="R395" s="165"/>
      <c r="S395" s="165"/>
      <c r="T395" s="165"/>
      <c r="U395" s="165"/>
      <c r="V395" s="165"/>
      <c r="W395" s="165"/>
      <c r="X395" s="165"/>
      <c r="Y395" s="165"/>
      <c r="Z395" s="165"/>
    </row>
    <row r="396" spans="16:26" ht="10.199999999999999" customHeight="1">
      <c r="P396" s="165"/>
      <c r="Q396" s="165"/>
      <c r="R396" s="165"/>
      <c r="S396" s="165"/>
      <c r="T396" s="165"/>
      <c r="U396" s="165"/>
      <c r="V396" s="165"/>
      <c r="W396" s="165"/>
      <c r="X396" s="165"/>
      <c r="Y396" s="165"/>
      <c r="Z396" s="165"/>
    </row>
    <row r="397" spans="16:26" ht="10.199999999999999" customHeight="1">
      <c r="P397" s="165"/>
      <c r="Q397" s="165"/>
      <c r="R397" s="165"/>
      <c r="S397" s="165"/>
      <c r="T397" s="165"/>
      <c r="U397" s="165"/>
      <c r="V397" s="165"/>
      <c r="W397" s="165"/>
      <c r="X397" s="165"/>
      <c r="Y397" s="165"/>
      <c r="Z397" s="165"/>
    </row>
    <row r="398" spans="16:26" ht="10.199999999999999" customHeight="1">
      <c r="P398" s="165"/>
      <c r="Q398" s="165"/>
      <c r="R398" s="165"/>
      <c r="S398" s="165"/>
      <c r="T398" s="165"/>
      <c r="U398" s="165"/>
      <c r="V398" s="165"/>
      <c r="W398" s="165"/>
      <c r="X398" s="165"/>
      <c r="Y398" s="165"/>
      <c r="Z398" s="165"/>
    </row>
    <row r="399" spans="16:26" ht="10.199999999999999" customHeight="1">
      <c r="P399" s="165"/>
      <c r="Q399" s="165"/>
      <c r="R399" s="165"/>
      <c r="S399" s="165"/>
      <c r="T399" s="165"/>
      <c r="U399" s="165"/>
      <c r="V399" s="165"/>
      <c r="W399" s="165"/>
      <c r="X399" s="165"/>
      <c r="Y399" s="165"/>
      <c r="Z399" s="165"/>
    </row>
    <row r="400" spans="16:26" ht="10.199999999999999" customHeight="1">
      <c r="P400" s="165"/>
      <c r="Q400" s="165"/>
      <c r="R400" s="165"/>
      <c r="S400" s="165"/>
      <c r="T400" s="165"/>
      <c r="U400" s="165"/>
      <c r="V400" s="165"/>
      <c r="W400" s="165"/>
      <c r="X400" s="165"/>
      <c r="Y400" s="165"/>
      <c r="Z400" s="165"/>
    </row>
    <row r="401" spans="16:26" ht="10.199999999999999" customHeight="1">
      <c r="P401" s="165"/>
      <c r="Q401" s="165"/>
      <c r="R401" s="165"/>
      <c r="S401" s="165"/>
      <c r="T401" s="165"/>
      <c r="U401" s="165"/>
      <c r="V401" s="165"/>
      <c r="W401" s="165"/>
      <c r="X401" s="165"/>
      <c r="Y401" s="165"/>
      <c r="Z401" s="165"/>
    </row>
    <row r="402" spans="16:26" ht="10.199999999999999" customHeight="1">
      <c r="P402" s="165"/>
      <c r="Q402" s="165"/>
      <c r="R402" s="165"/>
      <c r="S402" s="165"/>
      <c r="T402" s="165"/>
      <c r="U402" s="165"/>
      <c r="V402" s="165"/>
      <c r="W402" s="165"/>
      <c r="X402" s="165"/>
      <c r="Y402" s="165"/>
      <c r="Z402" s="165"/>
    </row>
    <row r="403" spans="16:26" ht="10.199999999999999" customHeight="1">
      <c r="P403" s="165"/>
      <c r="Q403" s="165"/>
      <c r="R403" s="165"/>
      <c r="S403" s="165"/>
      <c r="T403" s="165"/>
      <c r="U403" s="165"/>
      <c r="V403" s="165"/>
      <c r="W403" s="165"/>
      <c r="X403" s="165"/>
      <c r="Y403" s="165"/>
      <c r="Z403" s="165"/>
    </row>
    <row r="404" spans="16:26" ht="10.199999999999999" customHeight="1">
      <c r="P404" s="165"/>
      <c r="Q404" s="165"/>
      <c r="R404" s="165"/>
      <c r="S404" s="165"/>
      <c r="T404" s="165"/>
      <c r="U404" s="165"/>
      <c r="V404" s="165"/>
      <c r="W404" s="165"/>
      <c r="X404" s="165"/>
      <c r="Y404" s="165"/>
      <c r="Z404" s="165"/>
    </row>
    <row r="405" spans="16:26" ht="10.199999999999999" customHeight="1">
      <c r="P405" s="165"/>
      <c r="Q405" s="165"/>
      <c r="R405" s="165"/>
      <c r="S405" s="165"/>
      <c r="T405" s="165"/>
      <c r="U405" s="165"/>
      <c r="V405" s="165"/>
      <c r="W405" s="165"/>
      <c r="X405" s="165"/>
      <c r="Y405" s="165"/>
      <c r="Z405" s="165"/>
    </row>
    <row r="406" spans="16:26" ht="10.199999999999999" customHeight="1">
      <c r="P406" s="165"/>
      <c r="Q406" s="165"/>
      <c r="R406" s="165"/>
      <c r="S406" s="165"/>
      <c r="T406" s="165"/>
      <c r="U406" s="165"/>
      <c r="V406" s="165"/>
      <c r="W406" s="165"/>
      <c r="X406" s="165"/>
      <c r="Y406" s="165"/>
      <c r="Z406" s="165"/>
    </row>
    <row r="407" spans="16:26" ht="10.199999999999999" customHeight="1">
      <c r="P407" s="165"/>
      <c r="Q407" s="165"/>
      <c r="R407" s="165"/>
      <c r="S407" s="165"/>
      <c r="T407" s="165"/>
      <c r="U407" s="165"/>
      <c r="V407" s="165"/>
      <c r="W407" s="165"/>
      <c r="X407" s="165"/>
      <c r="Y407" s="165"/>
      <c r="Z407" s="165"/>
    </row>
    <row r="408" spans="16:26" ht="10.199999999999999" customHeight="1">
      <c r="P408" s="165"/>
      <c r="Q408" s="165"/>
      <c r="R408" s="165"/>
      <c r="S408" s="165"/>
      <c r="T408" s="165"/>
      <c r="U408" s="165"/>
      <c r="V408" s="165"/>
      <c r="W408" s="165"/>
      <c r="X408" s="165"/>
      <c r="Y408" s="165"/>
      <c r="Z408" s="165"/>
    </row>
    <row r="409" spans="16:26" ht="10.199999999999999" customHeight="1">
      <c r="P409" s="165"/>
      <c r="Q409" s="165"/>
      <c r="R409" s="165"/>
      <c r="S409" s="165"/>
      <c r="T409" s="165"/>
      <c r="U409" s="165"/>
      <c r="V409" s="165"/>
      <c r="W409" s="165"/>
      <c r="X409" s="165"/>
      <c r="Y409" s="165"/>
      <c r="Z409" s="165"/>
    </row>
    <row r="410" spans="16:26" ht="10.199999999999999" customHeight="1">
      <c r="P410" s="165"/>
      <c r="Q410" s="165"/>
      <c r="R410" s="165"/>
      <c r="S410" s="165"/>
      <c r="T410" s="165"/>
      <c r="U410" s="165"/>
      <c r="V410" s="165"/>
      <c r="W410" s="165"/>
      <c r="X410" s="165"/>
      <c r="Y410" s="165"/>
      <c r="Z410" s="165"/>
    </row>
    <row r="411" spans="16:26" ht="10.199999999999999" customHeight="1">
      <c r="P411" s="165"/>
      <c r="Q411" s="165"/>
      <c r="R411" s="165"/>
      <c r="S411" s="165"/>
      <c r="T411" s="165"/>
      <c r="U411" s="165"/>
      <c r="V411" s="165"/>
      <c r="W411" s="165"/>
      <c r="X411" s="165"/>
      <c r="Y411" s="165"/>
      <c r="Z411" s="165"/>
    </row>
    <row r="412" spans="16:26" ht="10.199999999999999" customHeight="1">
      <c r="P412" s="165"/>
      <c r="Q412" s="165"/>
      <c r="R412" s="165"/>
      <c r="S412" s="165"/>
      <c r="T412" s="165"/>
      <c r="U412" s="165"/>
      <c r="V412" s="165"/>
      <c r="W412" s="165"/>
      <c r="X412" s="165"/>
      <c r="Y412" s="165"/>
      <c r="Z412" s="165"/>
    </row>
    <row r="413" spans="16:26" ht="10.199999999999999" customHeight="1">
      <c r="P413" s="165"/>
      <c r="Q413" s="165"/>
      <c r="R413" s="165"/>
      <c r="S413" s="165"/>
      <c r="T413" s="165"/>
      <c r="U413" s="165"/>
      <c r="V413" s="165"/>
      <c r="W413" s="165"/>
      <c r="X413" s="165"/>
      <c r="Y413" s="165"/>
      <c r="Z413" s="165"/>
    </row>
    <row r="414" spans="16:26" ht="10.199999999999999" customHeight="1">
      <c r="P414" s="165"/>
      <c r="Q414" s="165"/>
      <c r="R414" s="165"/>
      <c r="S414" s="165"/>
      <c r="T414" s="165"/>
      <c r="U414" s="165"/>
      <c r="V414" s="165"/>
      <c r="W414" s="165"/>
      <c r="X414" s="165"/>
      <c r="Y414" s="165"/>
      <c r="Z414" s="165"/>
    </row>
    <row r="415" spans="16:26" ht="10.199999999999999" customHeight="1">
      <c r="P415" s="165"/>
      <c r="Q415" s="165"/>
      <c r="R415" s="165"/>
      <c r="S415" s="165"/>
      <c r="T415" s="165"/>
      <c r="U415" s="165"/>
      <c r="V415" s="165"/>
      <c r="W415" s="165"/>
      <c r="X415" s="165"/>
      <c r="Y415" s="165"/>
      <c r="Z415" s="165"/>
    </row>
    <row r="416" spans="16:26" ht="10.199999999999999" customHeight="1">
      <c r="P416" s="165"/>
      <c r="Q416" s="165"/>
      <c r="R416" s="165"/>
      <c r="S416" s="165"/>
      <c r="T416" s="165"/>
      <c r="U416" s="165"/>
      <c r="V416" s="165"/>
      <c r="W416" s="165"/>
      <c r="X416" s="165"/>
      <c r="Y416" s="165"/>
      <c r="Z416" s="165"/>
    </row>
    <row r="417" spans="16:26" ht="10.199999999999999" customHeight="1">
      <c r="P417" s="165"/>
      <c r="Q417" s="165"/>
      <c r="R417" s="165"/>
      <c r="S417" s="165"/>
      <c r="T417" s="165"/>
      <c r="U417" s="165"/>
      <c r="V417" s="165"/>
      <c r="W417" s="165"/>
      <c r="X417" s="165"/>
      <c r="Y417" s="165"/>
      <c r="Z417" s="165"/>
    </row>
    <row r="418" spans="16:26" ht="10.199999999999999" customHeight="1">
      <c r="P418" s="165"/>
      <c r="Q418" s="165"/>
      <c r="R418" s="165"/>
      <c r="S418" s="165"/>
      <c r="T418" s="165"/>
      <c r="U418" s="165"/>
      <c r="V418" s="165"/>
      <c r="W418" s="165"/>
      <c r="X418" s="165"/>
      <c r="Y418" s="165"/>
      <c r="Z418" s="165"/>
    </row>
    <row r="419" spans="16:26" ht="10.199999999999999" customHeight="1">
      <c r="P419" s="165"/>
      <c r="Q419" s="165"/>
      <c r="R419" s="165"/>
      <c r="S419" s="165"/>
      <c r="T419" s="165"/>
      <c r="U419" s="165"/>
      <c r="V419" s="165"/>
      <c r="W419" s="165"/>
      <c r="X419" s="165"/>
      <c r="Y419" s="165"/>
      <c r="Z419" s="165"/>
    </row>
    <row r="420" spans="16:26" ht="10.199999999999999" customHeight="1">
      <c r="P420" s="165"/>
      <c r="Q420" s="165"/>
      <c r="R420" s="165"/>
      <c r="S420" s="165"/>
      <c r="T420" s="165"/>
      <c r="U420" s="165"/>
      <c r="V420" s="165"/>
      <c r="W420" s="165"/>
      <c r="X420" s="165"/>
      <c r="Y420" s="165"/>
      <c r="Z420" s="165"/>
    </row>
    <row r="421" spans="16:26" ht="10.199999999999999" customHeight="1">
      <c r="P421" s="165"/>
      <c r="Q421" s="165"/>
      <c r="R421" s="165"/>
      <c r="S421" s="165"/>
      <c r="T421" s="165"/>
      <c r="U421" s="165"/>
      <c r="V421" s="165"/>
      <c r="W421" s="165"/>
      <c r="X421" s="165"/>
      <c r="Y421" s="165"/>
      <c r="Z421" s="165"/>
    </row>
    <row r="422" spans="16:26" ht="10.199999999999999" customHeight="1">
      <c r="P422" s="165"/>
      <c r="Q422" s="165"/>
      <c r="R422" s="165"/>
      <c r="S422" s="165"/>
      <c r="T422" s="165"/>
      <c r="U422" s="165"/>
      <c r="V422" s="165"/>
      <c r="W422" s="165"/>
      <c r="X422" s="165"/>
      <c r="Y422" s="165"/>
      <c r="Z422" s="165"/>
    </row>
    <row r="423" spans="16:26" ht="10.199999999999999" customHeight="1">
      <c r="P423" s="165"/>
      <c r="Q423" s="165"/>
      <c r="R423" s="165"/>
      <c r="S423" s="165"/>
      <c r="T423" s="165"/>
      <c r="U423" s="165"/>
      <c r="V423" s="165"/>
      <c r="W423" s="165"/>
      <c r="X423" s="165"/>
      <c r="Y423" s="165"/>
      <c r="Z423" s="165"/>
    </row>
    <row r="424" spans="16:26" ht="10.199999999999999" customHeight="1">
      <c r="P424" s="165"/>
      <c r="Q424" s="165"/>
      <c r="R424" s="165"/>
      <c r="S424" s="165"/>
      <c r="T424" s="165"/>
      <c r="U424" s="165"/>
      <c r="V424" s="165"/>
      <c r="W424" s="165"/>
      <c r="X424" s="165"/>
      <c r="Y424" s="165"/>
      <c r="Z424" s="165"/>
    </row>
    <row r="425" spans="16:26" ht="10.199999999999999" customHeight="1">
      <c r="P425" s="165"/>
      <c r="Q425" s="165"/>
      <c r="R425" s="165"/>
      <c r="S425" s="165"/>
      <c r="T425" s="165"/>
      <c r="U425" s="165"/>
      <c r="V425" s="165"/>
      <c r="W425" s="165"/>
      <c r="X425" s="165"/>
      <c r="Y425" s="165"/>
      <c r="Z425" s="165"/>
    </row>
    <row r="426" spans="16:26" ht="10.199999999999999" customHeight="1">
      <c r="P426" s="165"/>
      <c r="Q426" s="165"/>
      <c r="R426" s="165"/>
      <c r="S426" s="165"/>
      <c r="T426" s="165"/>
      <c r="U426" s="165"/>
      <c r="V426" s="165"/>
      <c r="W426" s="165"/>
      <c r="X426" s="165"/>
      <c r="Y426" s="165"/>
      <c r="Z426" s="165"/>
    </row>
    <row r="427" spans="16:26" ht="10.199999999999999" customHeight="1">
      <c r="P427" s="165"/>
      <c r="Q427" s="165"/>
      <c r="R427" s="165"/>
      <c r="S427" s="165"/>
      <c r="T427" s="165"/>
      <c r="U427" s="165"/>
      <c r="V427" s="165"/>
      <c r="W427" s="165"/>
      <c r="X427" s="165"/>
      <c r="Y427" s="165"/>
      <c r="Z427" s="165"/>
    </row>
    <row r="428" spans="16:26" ht="10.199999999999999" customHeight="1">
      <c r="P428" s="165"/>
      <c r="Q428" s="165"/>
      <c r="R428" s="165"/>
      <c r="S428" s="165"/>
      <c r="T428" s="165"/>
      <c r="U428" s="165"/>
      <c r="V428" s="165"/>
      <c r="W428" s="165"/>
      <c r="X428" s="165"/>
      <c r="Y428" s="165"/>
      <c r="Z428" s="165"/>
    </row>
    <row r="429" spans="16:26" ht="10.199999999999999" customHeight="1">
      <c r="P429" s="165"/>
      <c r="Q429" s="165"/>
      <c r="R429" s="165"/>
      <c r="S429" s="165"/>
      <c r="T429" s="165"/>
      <c r="U429" s="165"/>
      <c r="V429" s="165"/>
      <c r="W429" s="165"/>
      <c r="X429" s="165"/>
      <c r="Y429" s="165"/>
      <c r="Z429" s="165"/>
    </row>
    <row r="430" spans="16:26" ht="10.199999999999999" customHeight="1">
      <c r="P430" s="165"/>
      <c r="Q430" s="165"/>
      <c r="R430" s="165"/>
      <c r="S430" s="165"/>
      <c r="T430" s="165"/>
      <c r="U430" s="165"/>
      <c r="V430" s="165"/>
      <c r="W430" s="165"/>
      <c r="X430" s="165"/>
      <c r="Y430" s="165"/>
      <c r="Z430" s="165"/>
    </row>
    <row r="431" spans="16:26" ht="10.199999999999999" customHeight="1">
      <c r="P431" s="165"/>
      <c r="Q431" s="165"/>
      <c r="R431" s="165"/>
      <c r="S431" s="165"/>
      <c r="T431" s="165"/>
      <c r="U431" s="165"/>
      <c r="V431" s="165"/>
      <c r="W431" s="165"/>
      <c r="X431" s="165"/>
      <c r="Y431" s="165"/>
      <c r="Z431" s="165"/>
    </row>
    <row r="432" spans="16:26" ht="10.199999999999999" customHeight="1">
      <c r="P432" s="165"/>
      <c r="Q432" s="165"/>
      <c r="R432" s="165"/>
      <c r="S432" s="165"/>
      <c r="T432" s="165"/>
      <c r="U432" s="165"/>
      <c r="V432" s="165"/>
      <c r="W432" s="165"/>
      <c r="X432" s="165"/>
      <c r="Y432" s="165"/>
      <c r="Z432" s="165"/>
    </row>
    <row r="433" spans="16:26" ht="10.199999999999999" customHeight="1">
      <c r="P433" s="165"/>
      <c r="Q433" s="165"/>
      <c r="R433" s="165"/>
      <c r="S433" s="165"/>
      <c r="T433" s="165"/>
      <c r="U433" s="165"/>
      <c r="V433" s="165"/>
      <c r="W433" s="165"/>
      <c r="X433" s="165"/>
      <c r="Y433" s="165"/>
      <c r="Z433" s="165"/>
    </row>
    <row r="434" spans="16:26" ht="10.199999999999999" customHeight="1">
      <c r="P434" s="165"/>
      <c r="Q434" s="165"/>
      <c r="R434" s="165"/>
      <c r="S434" s="165"/>
      <c r="T434" s="165"/>
      <c r="U434" s="165"/>
      <c r="V434" s="165"/>
      <c r="W434" s="165"/>
      <c r="X434" s="165"/>
      <c r="Y434" s="165"/>
      <c r="Z434" s="165"/>
    </row>
    <row r="435" spans="16:26" ht="10.199999999999999" customHeight="1">
      <c r="P435" s="165"/>
      <c r="Q435" s="165"/>
      <c r="R435" s="165"/>
      <c r="S435" s="165"/>
      <c r="T435" s="165"/>
      <c r="U435" s="165"/>
      <c r="V435" s="165"/>
      <c r="W435" s="165"/>
      <c r="X435" s="165"/>
      <c r="Y435" s="165"/>
      <c r="Z435" s="165"/>
    </row>
    <row r="436" spans="16:26" ht="10.199999999999999" customHeight="1">
      <c r="P436" s="165"/>
      <c r="Q436" s="165"/>
      <c r="R436" s="165"/>
      <c r="S436" s="165"/>
      <c r="T436" s="165"/>
      <c r="U436" s="165"/>
      <c r="V436" s="165"/>
      <c r="W436" s="165"/>
      <c r="X436" s="165"/>
      <c r="Y436" s="165"/>
      <c r="Z436" s="165"/>
    </row>
    <row r="437" spans="16:26" ht="10.199999999999999" customHeight="1">
      <c r="P437" s="165"/>
      <c r="Q437" s="165"/>
      <c r="R437" s="165"/>
      <c r="S437" s="165"/>
      <c r="T437" s="165"/>
      <c r="U437" s="165"/>
      <c r="V437" s="165"/>
      <c r="W437" s="165"/>
      <c r="X437" s="165"/>
      <c r="Y437" s="165"/>
      <c r="Z437" s="165"/>
    </row>
    <row r="438" spans="16:26" ht="10.199999999999999" customHeight="1">
      <c r="P438" s="165"/>
      <c r="Q438" s="165"/>
      <c r="R438" s="165"/>
      <c r="S438" s="165"/>
      <c r="T438" s="165"/>
      <c r="U438" s="165"/>
      <c r="V438" s="165"/>
      <c r="W438" s="165"/>
      <c r="X438" s="165"/>
      <c r="Y438" s="165"/>
      <c r="Z438" s="165"/>
    </row>
    <row r="439" spans="16:26" ht="10.199999999999999" customHeight="1">
      <c r="P439" s="165"/>
      <c r="Q439" s="165"/>
      <c r="R439" s="165"/>
      <c r="S439" s="165"/>
      <c r="T439" s="165"/>
      <c r="U439" s="165"/>
      <c r="V439" s="165"/>
      <c r="W439" s="165"/>
      <c r="X439" s="165"/>
      <c r="Y439" s="165"/>
      <c r="Z439" s="165"/>
    </row>
    <row r="440" spans="16:26" ht="10.199999999999999" customHeight="1">
      <c r="P440" s="165"/>
      <c r="Q440" s="165"/>
      <c r="R440" s="165"/>
      <c r="S440" s="165"/>
      <c r="T440" s="165"/>
      <c r="U440" s="165"/>
      <c r="V440" s="165"/>
      <c r="W440" s="165"/>
      <c r="X440" s="165"/>
      <c r="Y440" s="165"/>
      <c r="Z440" s="165"/>
    </row>
    <row r="441" spans="16:26" ht="10.199999999999999" customHeight="1">
      <c r="P441" s="165"/>
      <c r="Q441" s="165"/>
      <c r="R441" s="165"/>
      <c r="S441" s="165"/>
      <c r="T441" s="165"/>
      <c r="U441" s="165"/>
      <c r="V441" s="165"/>
      <c r="W441" s="165"/>
      <c r="X441" s="165"/>
      <c r="Y441" s="165"/>
      <c r="Z441" s="165"/>
    </row>
    <row r="442" spans="16:26" ht="10.199999999999999" customHeight="1">
      <c r="P442" s="165"/>
      <c r="Q442" s="165"/>
      <c r="R442" s="165"/>
      <c r="S442" s="165"/>
      <c r="T442" s="165"/>
      <c r="U442" s="165"/>
      <c r="V442" s="165"/>
      <c r="W442" s="165"/>
      <c r="X442" s="165"/>
      <c r="Y442" s="165"/>
      <c r="Z442" s="165"/>
    </row>
    <row r="443" spans="16:26" ht="10.199999999999999" customHeight="1">
      <c r="P443" s="165"/>
      <c r="Q443" s="165"/>
      <c r="R443" s="165"/>
      <c r="S443" s="165"/>
      <c r="T443" s="165"/>
      <c r="U443" s="165"/>
      <c r="V443" s="165"/>
      <c r="W443" s="165"/>
      <c r="X443" s="165"/>
      <c r="Y443" s="165"/>
      <c r="Z443" s="165"/>
    </row>
    <row r="444" spans="16:26" ht="10.199999999999999" customHeight="1">
      <c r="P444" s="165"/>
      <c r="Q444" s="165"/>
      <c r="R444" s="165"/>
      <c r="S444" s="165"/>
      <c r="T444" s="165"/>
      <c r="U444" s="165"/>
      <c r="V444" s="165"/>
      <c r="W444" s="165"/>
      <c r="X444" s="165"/>
      <c r="Y444" s="165"/>
      <c r="Z444" s="165"/>
    </row>
    <row r="445" spans="16:26" ht="10.199999999999999" customHeight="1">
      <c r="P445" s="165"/>
      <c r="Q445" s="165"/>
      <c r="R445" s="165"/>
      <c r="S445" s="165"/>
      <c r="T445" s="165"/>
      <c r="U445" s="165"/>
      <c r="V445" s="165"/>
      <c r="W445" s="165"/>
      <c r="X445" s="165"/>
      <c r="Y445" s="165"/>
      <c r="Z445" s="165"/>
    </row>
    <row r="446" spans="16:26" ht="10.199999999999999" customHeight="1">
      <c r="P446" s="165"/>
      <c r="Q446" s="165"/>
      <c r="R446" s="165"/>
      <c r="S446" s="165"/>
      <c r="T446" s="165"/>
      <c r="U446" s="165"/>
      <c r="V446" s="165"/>
      <c r="W446" s="165"/>
      <c r="X446" s="165"/>
      <c r="Y446" s="165"/>
      <c r="Z446" s="165"/>
    </row>
    <row r="447" spans="16:26" ht="10.199999999999999" customHeight="1">
      <c r="P447" s="165"/>
      <c r="Q447" s="165"/>
      <c r="R447" s="165"/>
      <c r="S447" s="165"/>
      <c r="T447" s="165"/>
      <c r="U447" s="165"/>
      <c r="V447" s="165"/>
      <c r="W447" s="165"/>
      <c r="X447" s="165"/>
      <c r="Y447" s="165"/>
      <c r="Z447" s="165"/>
    </row>
    <row r="448" spans="16:26" ht="10.199999999999999" customHeight="1">
      <c r="P448" s="165"/>
      <c r="Q448" s="165"/>
      <c r="R448" s="165"/>
      <c r="S448" s="165"/>
      <c r="T448" s="165"/>
      <c r="U448" s="165"/>
      <c r="V448" s="165"/>
      <c r="W448" s="165"/>
      <c r="X448" s="165"/>
      <c r="Y448" s="165"/>
      <c r="Z448" s="165"/>
    </row>
    <row r="449" spans="16:26" ht="10.199999999999999" customHeight="1">
      <c r="P449" s="165"/>
      <c r="Q449" s="165"/>
      <c r="R449" s="165"/>
      <c r="S449" s="165"/>
      <c r="T449" s="165"/>
      <c r="U449" s="165"/>
      <c r="V449" s="165"/>
      <c r="W449" s="165"/>
      <c r="X449" s="165"/>
      <c r="Y449" s="165"/>
      <c r="Z449" s="165"/>
    </row>
    <row r="450" spans="16:26" ht="10.199999999999999" customHeight="1">
      <c r="P450" s="165"/>
      <c r="Q450" s="165"/>
      <c r="R450" s="165"/>
      <c r="S450" s="165"/>
      <c r="T450" s="165"/>
      <c r="U450" s="165"/>
      <c r="V450" s="165"/>
      <c r="W450" s="165"/>
      <c r="X450" s="165"/>
      <c r="Y450" s="165"/>
      <c r="Z450" s="165"/>
    </row>
    <row r="451" spans="16:26" ht="10.199999999999999" customHeight="1">
      <c r="P451" s="165"/>
      <c r="Q451" s="165"/>
      <c r="R451" s="165"/>
      <c r="S451" s="165"/>
      <c r="T451" s="165"/>
      <c r="U451" s="165"/>
      <c r="V451" s="165"/>
      <c r="W451" s="165"/>
      <c r="X451" s="165"/>
      <c r="Y451" s="165"/>
      <c r="Z451" s="165"/>
    </row>
    <row r="452" spans="16:26" ht="10.199999999999999" customHeight="1">
      <c r="P452" s="165"/>
      <c r="Q452" s="165"/>
      <c r="R452" s="165"/>
      <c r="S452" s="165"/>
      <c r="T452" s="165"/>
      <c r="U452" s="165"/>
      <c r="V452" s="165"/>
      <c r="W452" s="165"/>
      <c r="X452" s="165"/>
      <c r="Y452" s="165"/>
      <c r="Z452" s="165"/>
    </row>
    <row r="453" spans="16:26" ht="10.199999999999999" customHeight="1">
      <c r="P453" s="165"/>
      <c r="Q453" s="165"/>
      <c r="R453" s="165"/>
      <c r="S453" s="165"/>
      <c r="T453" s="165"/>
      <c r="U453" s="165"/>
      <c r="V453" s="165"/>
      <c r="W453" s="165"/>
      <c r="X453" s="165"/>
      <c r="Y453" s="165"/>
      <c r="Z453" s="165"/>
    </row>
    <row r="454" spans="16:26" ht="10.199999999999999" customHeight="1">
      <c r="P454" s="165"/>
      <c r="Q454" s="165"/>
      <c r="R454" s="165"/>
      <c r="S454" s="165"/>
      <c r="T454" s="165"/>
      <c r="U454" s="165"/>
      <c r="V454" s="165"/>
      <c r="W454" s="165"/>
      <c r="X454" s="165"/>
      <c r="Y454" s="165"/>
      <c r="Z454" s="165"/>
    </row>
    <row r="455" spans="16:26" ht="10.199999999999999" customHeight="1">
      <c r="P455" s="165"/>
      <c r="Q455" s="165"/>
      <c r="R455" s="165"/>
      <c r="S455" s="165"/>
      <c r="T455" s="165"/>
      <c r="U455" s="165"/>
      <c r="V455" s="165"/>
      <c r="W455" s="165"/>
      <c r="X455" s="165"/>
      <c r="Y455" s="165"/>
      <c r="Z455" s="165"/>
    </row>
    <row r="456" spans="16:26" ht="10.199999999999999" customHeight="1">
      <c r="P456" s="165"/>
      <c r="Q456" s="165"/>
      <c r="R456" s="165"/>
      <c r="S456" s="165"/>
      <c r="T456" s="165"/>
      <c r="U456" s="165"/>
      <c r="V456" s="165"/>
      <c r="W456" s="165"/>
      <c r="X456" s="165"/>
      <c r="Y456" s="165"/>
      <c r="Z456" s="165"/>
    </row>
    <row r="457" spans="16:26" ht="10.199999999999999" customHeight="1">
      <c r="P457" s="165"/>
      <c r="Q457" s="165"/>
      <c r="R457" s="165"/>
      <c r="S457" s="165"/>
      <c r="T457" s="165"/>
      <c r="U457" s="165"/>
      <c r="V457" s="165"/>
      <c r="W457" s="165"/>
      <c r="X457" s="165"/>
      <c r="Y457" s="165"/>
      <c r="Z457" s="165"/>
    </row>
    <row r="458" spans="16:26" ht="10.199999999999999" customHeight="1">
      <c r="P458" s="165"/>
      <c r="Q458" s="165"/>
      <c r="R458" s="165"/>
      <c r="S458" s="165"/>
      <c r="T458" s="165"/>
      <c r="U458" s="165"/>
      <c r="V458" s="165"/>
      <c r="W458" s="165"/>
      <c r="X458" s="165"/>
      <c r="Y458" s="165"/>
      <c r="Z458" s="165"/>
    </row>
    <row r="459" spans="16:26" ht="10.199999999999999" customHeight="1">
      <c r="P459" s="165"/>
      <c r="Q459" s="165"/>
      <c r="R459" s="165"/>
      <c r="S459" s="165"/>
      <c r="T459" s="165"/>
      <c r="U459" s="165"/>
      <c r="V459" s="165"/>
      <c r="W459" s="165"/>
      <c r="X459" s="165"/>
      <c r="Y459" s="165"/>
      <c r="Z459" s="165"/>
    </row>
    <row r="460" spans="16:26" ht="10.199999999999999" customHeight="1">
      <c r="P460" s="165"/>
      <c r="Q460" s="165"/>
      <c r="R460" s="165"/>
      <c r="S460" s="165"/>
      <c r="T460" s="165"/>
      <c r="U460" s="165"/>
      <c r="V460" s="165"/>
      <c r="W460" s="165"/>
      <c r="X460" s="165"/>
      <c r="Y460" s="165"/>
      <c r="Z460" s="165"/>
    </row>
    <row r="461" spans="16:26" ht="10.199999999999999" customHeight="1">
      <c r="P461" s="165"/>
      <c r="Q461" s="165"/>
      <c r="R461" s="165"/>
      <c r="S461" s="165"/>
      <c r="T461" s="165"/>
      <c r="U461" s="165"/>
      <c r="V461" s="165"/>
      <c r="W461" s="165"/>
      <c r="X461" s="165"/>
      <c r="Y461" s="165"/>
      <c r="Z461" s="165"/>
    </row>
    <row r="462" spans="16:26" ht="10.199999999999999" customHeight="1">
      <c r="P462" s="165"/>
      <c r="Q462" s="165"/>
      <c r="R462" s="165"/>
      <c r="S462" s="165"/>
      <c r="T462" s="165"/>
      <c r="U462" s="165"/>
      <c r="V462" s="165"/>
      <c r="W462" s="165"/>
      <c r="X462" s="165"/>
      <c r="Y462" s="165"/>
      <c r="Z462" s="165"/>
    </row>
    <row r="463" spans="16:26" ht="10.199999999999999" customHeight="1">
      <c r="P463" s="165"/>
      <c r="Q463" s="165"/>
      <c r="R463" s="165"/>
      <c r="S463" s="165"/>
      <c r="T463" s="165"/>
      <c r="U463" s="165"/>
      <c r="V463" s="165"/>
      <c r="W463" s="165"/>
      <c r="X463" s="165"/>
      <c r="Y463" s="165"/>
      <c r="Z463" s="165"/>
    </row>
    <row r="464" spans="16:26" ht="10.199999999999999" customHeight="1">
      <c r="P464" s="165"/>
      <c r="Q464" s="165"/>
      <c r="R464" s="165"/>
      <c r="S464" s="165"/>
      <c r="T464" s="165"/>
      <c r="U464" s="165"/>
      <c r="V464" s="165"/>
      <c r="W464" s="165"/>
      <c r="X464" s="165"/>
      <c r="Y464" s="165"/>
      <c r="Z464" s="165"/>
    </row>
    <row r="465" spans="16:26" ht="10.199999999999999" customHeight="1">
      <c r="P465" s="165"/>
      <c r="Q465" s="165"/>
      <c r="R465" s="165"/>
      <c r="S465" s="165"/>
      <c r="T465" s="165"/>
      <c r="U465" s="165"/>
      <c r="V465" s="165"/>
      <c r="W465" s="165"/>
      <c r="X465" s="165"/>
      <c r="Y465" s="165"/>
      <c r="Z465" s="165"/>
    </row>
    <row r="466" spans="16:26" ht="10.199999999999999" customHeight="1">
      <c r="P466" s="165"/>
      <c r="Q466" s="165"/>
      <c r="R466" s="165"/>
      <c r="S466" s="165"/>
      <c r="T466" s="165"/>
      <c r="U466" s="165"/>
      <c r="V466" s="165"/>
      <c r="W466" s="165"/>
      <c r="X466" s="165"/>
      <c r="Y466" s="165"/>
      <c r="Z466" s="165"/>
    </row>
    <row r="467" spans="16:26" ht="10.199999999999999" customHeight="1">
      <c r="P467" s="165"/>
      <c r="Q467" s="165"/>
      <c r="R467" s="165"/>
      <c r="S467" s="165"/>
      <c r="T467" s="165"/>
      <c r="U467" s="165"/>
      <c r="V467" s="165"/>
      <c r="W467" s="165"/>
      <c r="X467" s="165"/>
      <c r="Y467" s="165"/>
      <c r="Z467" s="165"/>
    </row>
    <row r="468" spans="16:26" ht="10.199999999999999" customHeight="1">
      <c r="P468" s="165"/>
      <c r="Q468" s="165"/>
      <c r="R468" s="165"/>
      <c r="S468" s="165"/>
      <c r="T468" s="165"/>
      <c r="U468" s="165"/>
      <c r="V468" s="165"/>
      <c r="W468" s="165"/>
      <c r="X468" s="165"/>
      <c r="Y468" s="165"/>
      <c r="Z468" s="165"/>
    </row>
    <row r="469" spans="16:26" ht="10.199999999999999" customHeight="1">
      <c r="P469" s="165"/>
      <c r="Q469" s="165"/>
      <c r="R469" s="165"/>
      <c r="S469" s="165"/>
      <c r="T469" s="165"/>
      <c r="U469" s="165"/>
      <c r="V469" s="165"/>
      <c r="W469" s="165"/>
      <c r="X469" s="165"/>
      <c r="Y469" s="165"/>
      <c r="Z469" s="165"/>
    </row>
    <row r="470" spans="16:26" ht="10.199999999999999" customHeight="1">
      <c r="P470" s="165"/>
      <c r="Q470" s="165"/>
      <c r="R470" s="165"/>
      <c r="S470" s="165"/>
      <c r="T470" s="165"/>
      <c r="U470" s="165"/>
      <c r="V470" s="165"/>
      <c r="W470" s="165"/>
      <c r="X470" s="165"/>
      <c r="Y470" s="165"/>
      <c r="Z470" s="165"/>
    </row>
    <row r="471" spans="16:26" ht="10.199999999999999" customHeight="1">
      <c r="P471" s="165"/>
      <c r="Q471" s="165"/>
      <c r="R471" s="165"/>
      <c r="S471" s="165"/>
      <c r="T471" s="165"/>
      <c r="U471" s="165"/>
      <c r="V471" s="165"/>
      <c r="W471" s="165"/>
      <c r="X471" s="165"/>
      <c r="Y471" s="165"/>
      <c r="Z471" s="165"/>
    </row>
    <row r="472" spans="16:26" ht="10.199999999999999" customHeight="1">
      <c r="P472" s="165"/>
      <c r="Q472" s="165"/>
      <c r="R472" s="165"/>
      <c r="S472" s="165"/>
      <c r="T472" s="165"/>
      <c r="U472" s="165"/>
      <c r="V472" s="165"/>
      <c r="W472" s="165"/>
      <c r="X472" s="165"/>
      <c r="Y472" s="165"/>
      <c r="Z472" s="165"/>
    </row>
    <row r="473" spans="16:26" ht="10.199999999999999" customHeight="1">
      <c r="P473" s="165"/>
      <c r="Q473" s="165"/>
      <c r="R473" s="165"/>
      <c r="S473" s="165"/>
      <c r="T473" s="165"/>
      <c r="U473" s="165"/>
      <c r="V473" s="165"/>
      <c r="W473" s="165"/>
      <c r="X473" s="165"/>
      <c r="Y473" s="165"/>
      <c r="Z473" s="165"/>
    </row>
    <row r="474" spans="16:26" ht="10.199999999999999" customHeight="1">
      <c r="P474" s="165"/>
      <c r="Q474" s="165"/>
      <c r="R474" s="165"/>
      <c r="S474" s="165"/>
      <c r="T474" s="165"/>
      <c r="U474" s="165"/>
      <c r="V474" s="165"/>
      <c r="W474" s="165"/>
      <c r="X474" s="165"/>
      <c r="Y474" s="165"/>
      <c r="Z474" s="165"/>
    </row>
    <row r="475" spans="16:26" ht="10.199999999999999" customHeight="1">
      <c r="P475" s="165"/>
      <c r="Q475" s="165"/>
      <c r="R475" s="165"/>
      <c r="S475" s="165"/>
      <c r="T475" s="165"/>
      <c r="U475" s="165"/>
      <c r="V475" s="165"/>
      <c r="W475" s="165"/>
      <c r="X475" s="165"/>
      <c r="Y475" s="165"/>
      <c r="Z475" s="165"/>
    </row>
    <row r="476" spans="16:26" ht="10.199999999999999" customHeight="1">
      <c r="P476" s="165"/>
      <c r="Q476" s="165"/>
      <c r="R476" s="165"/>
      <c r="S476" s="165"/>
      <c r="T476" s="165"/>
      <c r="U476" s="165"/>
      <c r="V476" s="165"/>
      <c r="W476" s="165"/>
      <c r="X476" s="165"/>
      <c r="Y476" s="165"/>
      <c r="Z476" s="165"/>
    </row>
    <row r="477" spans="16:26" ht="10.199999999999999" customHeight="1">
      <c r="P477" s="165"/>
      <c r="Q477" s="165"/>
      <c r="R477" s="165"/>
      <c r="S477" s="165"/>
      <c r="T477" s="165"/>
      <c r="U477" s="165"/>
      <c r="V477" s="165"/>
      <c r="W477" s="165"/>
      <c r="X477" s="165"/>
      <c r="Y477" s="165"/>
      <c r="Z477" s="165"/>
    </row>
    <row r="478" spans="16:26" ht="10.199999999999999" customHeight="1">
      <c r="P478" s="165"/>
      <c r="Q478" s="165"/>
      <c r="R478" s="165"/>
      <c r="S478" s="165"/>
      <c r="T478" s="165"/>
      <c r="U478" s="165"/>
      <c r="V478" s="165"/>
      <c r="W478" s="165"/>
      <c r="X478" s="165"/>
      <c r="Y478" s="165"/>
      <c r="Z478" s="165"/>
    </row>
    <row r="479" spans="16:26" ht="10.199999999999999" customHeight="1">
      <c r="P479" s="165"/>
      <c r="Q479" s="165"/>
      <c r="R479" s="165"/>
      <c r="S479" s="165"/>
      <c r="T479" s="165"/>
      <c r="U479" s="165"/>
      <c r="V479" s="165"/>
      <c r="W479" s="165"/>
      <c r="X479" s="165"/>
      <c r="Y479" s="165"/>
      <c r="Z479" s="165"/>
    </row>
    <row r="480" spans="16:26" ht="10.199999999999999" customHeight="1">
      <c r="P480" s="165"/>
      <c r="Q480" s="165"/>
      <c r="R480" s="165"/>
      <c r="S480" s="165"/>
      <c r="T480" s="165"/>
      <c r="U480" s="165"/>
      <c r="V480" s="165"/>
      <c r="W480" s="165"/>
      <c r="X480" s="165"/>
      <c r="Y480" s="165"/>
      <c r="Z480" s="165"/>
    </row>
    <row r="481" spans="16:26" ht="10.199999999999999" customHeight="1">
      <c r="P481" s="165"/>
      <c r="Q481" s="165"/>
      <c r="R481" s="165"/>
      <c r="S481" s="165"/>
      <c r="T481" s="165"/>
      <c r="U481" s="165"/>
      <c r="V481" s="165"/>
      <c r="W481" s="165"/>
      <c r="X481" s="165"/>
      <c r="Y481" s="165"/>
      <c r="Z481" s="165"/>
    </row>
    <row r="482" spans="16:26" ht="10.199999999999999" customHeight="1">
      <c r="P482" s="165"/>
      <c r="Q482" s="165"/>
      <c r="R482" s="165"/>
      <c r="S482" s="165"/>
      <c r="T482" s="165"/>
      <c r="U482" s="165"/>
      <c r="V482" s="165"/>
      <c r="W482" s="165"/>
      <c r="X482" s="165"/>
      <c r="Y482" s="165"/>
      <c r="Z482" s="165"/>
    </row>
    <row r="483" spans="16:26" ht="10.199999999999999" customHeight="1">
      <c r="P483" s="165"/>
      <c r="Q483" s="165"/>
      <c r="R483" s="165"/>
      <c r="S483" s="165"/>
      <c r="T483" s="165"/>
      <c r="U483" s="165"/>
      <c r="V483" s="165"/>
      <c r="W483" s="165"/>
      <c r="X483" s="165"/>
      <c r="Y483" s="165"/>
      <c r="Z483" s="165"/>
    </row>
    <row r="484" spans="16:26" ht="10.199999999999999" customHeight="1">
      <c r="P484" s="165"/>
      <c r="Q484" s="165"/>
      <c r="R484" s="165"/>
      <c r="S484" s="165"/>
      <c r="T484" s="165"/>
      <c r="U484" s="165"/>
      <c r="V484" s="165"/>
      <c r="W484" s="165"/>
      <c r="X484" s="165"/>
      <c r="Y484" s="165"/>
      <c r="Z484" s="165"/>
    </row>
    <row r="485" spans="16:26" ht="10.199999999999999" customHeight="1">
      <c r="P485" s="165"/>
      <c r="Q485" s="165"/>
      <c r="R485" s="165"/>
      <c r="S485" s="165"/>
      <c r="T485" s="165"/>
      <c r="U485" s="165"/>
      <c r="V485" s="165"/>
      <c r="W485" s="165"/>
      <c r="X485" s="165"/>
      <c r="Y485" s="165"/>
      <c r="Z485" s="165"/>
    </row>
    <row r="486" spans="16:26" ht="10.199999999999999" customHeight="1">
      <c r="P486" s="165"/>
      <c r="Q486" s="165"/>
      <c r="R486" s="165"/>
      <c r="S486" s="165"/>
      <c r="T486" s="165"/>
      <c r="U486" s="165"/>
      <c r="V486" s="165"/>
      <c r="W486" s="165"/>
      <c r="X486" s="165"/>
      <c r="Y486" s="165"/>
      <c r="Z486" s="165"/>
    </row>
    <row r="487" spans="16:26" ht="10.199999999999999" customHeight="1">
      <c r="P487" s="165"/>
      <c r="Q487" s="165"/>
      <c r="R487" s="165"/>
      <c r="S487" s="165"/>
      <c r="T487" s="165"/>
      <c r="U487" s="165"/>
      <c r="V487" s="165"/>
      <c r="W487" s="165"/>
      <c r="X487" s="165"/>
      <c r="Y487" s="165"/>
      <c r="Z487" s="165"/>
    </row>
    <row r="488" spans="16:26" ht="10.199999999999999" customHeight="1">
      <c r="P488" s="165"/>
      <c r="Q488" s="165"/>
      <c r="R488" s="165"/>
      <c r="S488" s="165"/>
      <c r="T488" s="165"/>
      <c r="U488" s="165"/>
      <c r="V488" s="165"/>
      <c r="W488" s="165"/>
      <c r="X488" s="165"/>
      <c r="Y488" s="165"/>
      <c r="Z488" s="165"/>
    </row>
    <row r="489" spans="16:26" ht="10.199999999999999" customHeight="1">
      <c r="P489" s="165"/>
      <c r="Q489" s="165"/>
      <c r="R489" s="165"/>
      <c r="S489" s="165"/>
      <c r="T489" s="165"/>
      <c r="U489" s="165"/>
      <c r="V489" s="165"/>
      <c r="W489" s="165"/>
      <c r="X489" s="165"/>
      <c r="Y489" s="165"/>
      <c r="Z489" s="165"/>
    </row>
    <row r="490" spans="16:26" ht="10.199999999999999" customHeight="1">
      <c r="P490" s="165"/>
      <c r="Q490" s="165"/>
      <c r="R490" s="165"/>
      <c r="S490" s="165"/>
      <c r="T490" s="165"/>
      <c r="U490" s="165"/>
      <c r="V490" s="165"/>
      <c r="W490" s="165"/>
      <c r="X490" s="165"/>
      <c r="Y490" s="165"/>
      <c r="Z490" s="165"/>
    </row>
    <row r="491" spans="16:26" ht="10.199999999999999" customHeight="1">
      <c r="P491" s="165"/>
      <c r="Q491" s="165"/>
      <c r="R491" s="165"/>
      <c r="S491" s="165"/>
      <c r="T491" s="165"/>
      <c r="U491" s="165"/>
      <c r="V491" s="165"/>
      <c r="W491" s="165"/>
      <c r="X491" s="165"/>
      <c r="Y491" s="165"/>
      <c r="Z491" s="165"/>
    </row>
    <row r="492" spans="16:26" ht="10.199999999999999" customHeight="1">
      <c r="P492" s="165"/>
      <c r="Q492" s="165"/>
      <c r="R492" s="165"/>
      <c r="S492" s="165"/>
      <c r="T492" s="165"/>
      <c r="U492" s="165"/>
      <c r="V492" s="165"/>
      <c r="W492" s="165"/>
      <c r="X492" s="165"/>
      <c r="Y492" s="165"/>
      <c r="Z492" s="165"/>
    </row>
    <row r="493" spans="16:26" ht="10.199999999999999" customHeight="1">
      <c r="P493" s="165"/>
      <c r="Q493" s="165"/>
      <c r="R493" s="165"/>
      <c r="S493" s="165"/>
      <c r="T493" s="165"/>
      <c r="U493" s="165"/>
      <c r="V493" s="165"/>
      <c r="W493" s="165"/>
      <c r="X493" s="165"/>
      <c r="Y493" s="165"/>
      <c r="Z493" s="165"/>
    </row>
    <row r="494" spans="16:26" ht="10.199999999999999" customHeight="1">
      <c r="P494" s="165"/>
      <c r="Q494" s="165"/>
      <c r="R494" s="165"/>
      <c r="S494" s="165"/>
      <c r="T494" s="165"/>
      <c r="U494" s="165"/>
      <c r="V494" s="165"/>
      <c r="W494" s="165"/>
      <c r="X494" s="165"/>
      <c r="Y494" s="165"/>
      <c r="Z494" s="165"/>
    </row>
    <row r="495" spans="16:26" ht="10.199999999999999" customHeight="1">
      <c r="P495" s="165"/>
      <c r="Q495" s="165"/>
      <c r="R495" s="165"/>
      <c r="S495" s="165"/>
      <c r="T495" s="165"/>
      <c r="U495" s="165"/>
      <c r="V495" s="165"/>
      <c r="W495" s="165"/>
      <c r="X495" s="165"/>
      <c r="Y495" s="165"/>
      <c r="Z495" s="165"/>
    </row>
    <row r="496" spans="16:26" ht="10.199999999999999" customHeight="1">
      <c r="P496" s="165"/>
      <c r="Q496" s="165"/>
      <c r="R496" s="165"/>
      <c r="S496" s="165"/>
      <c r="T496" s="165"/>
      <c r="U496" s="165"/>
      <c r="V496" s="165"/>
      <c r="W496" s="165"/>
      <c r="X496" s="165"/>
      <c r="Y496" s="165"/>
      <c r="Z496" s="165"/>
    </row>
    <row r="497" spans="16:26" ht="10.199999999999999" customHeight="1">
      <c r="P497" s="165"/>
      <c r="Q497" s="165"/>
      <c r="R497" s="165"/>
      <c r="S497" s="165"/>
      <c r="T497" s="165"/>
      <c r="U497" s="165"/>
      <c r="V497" s="165"/>
      <c r="W497" s="165"/>
      <c r="X497" s="165"/>
      <c r="Y497" s="165"/>
      <c r="Z497" s="165"/>
    </row>
    <row r="498" spans="16:26" ht="10.199999999999999" customHeight="1">
      <c r="P498" s="165"/>
      <c r="Q498" s="165"/>
      <c r="R498" s="165"/>
      <c r="S498" s="165"/>
      <c r="T498" s="165"/>
      <c r="U498" s="165"/>
      <c r="V498" s="165"/>
      <c r="W498" s="165"/>
      <c r="X498" s="165"/>
      <c r="Y498" s="165"/>
      <c r="Z498" s="165"/>
    </row>
    <row r="499" spans="16:26" ht="10.199999999999999" customHeight="1">
      <c r="P499" s="165"/>
      <c r="Q499" s="165"/>
      <c r="R499" s="165"/>
      <c r="S499" s="165"/>
      <c r="T499" s="165"/>
      <c r="U499" s="165"/>
      <c r="V499" s="165"/>
      <c r="W499" s="165"/>
      <c r="X499" s="165"/>
      <c r="Y499" s="165"/>
      <c r="Z499" s="165"/>
    </row>
    <row r="500" spans="16:26" ht="10.199999999999999" customHeight="1">
      <c r="P500" s="165"/>
      <c r="Q500" s="165"/>
      <c r="R500" s="165"/>
      <c r="S500" s="165"/>
      <c r="T500" s="165"/>
      <c r="U500" s="165"/>
      <c r="V500" s="165"/>
      <c r="W500" s="165"/>
      <c r="X500" s="165"/>
      <c r="Y500" s="165"/>
      <c r="Z500" s="165"/>
    </row>
    <row r="501" spans="16:26" ht="10.199999999999999" customHeight="1">
      <c r="P501" s="165"/>
      <c r="Q501" s="165"/>
      <c r="R501" s="165"/>
      <c r="S501" s="165"/>
      <c r="T501" s="165"/>
      <c r="U501" s="165"/>
      <c r="V501" s="165"/>
      <c r="W501" s="165"/>
      <c r="X501" s="165"/>
      <c r="Y501" s="165"/>
      <c r="Z501" s="165"/>
    </row>
    <row r="502" spans="16:26" ht="10.199999999999999" customHeight="1">
      <c r="P502" s="165"/>
      <c r="Q502" s="165"/>
      <c r="R502" s="165"/>
      <c r="S502" s="165"/>
      <c r="T502" s="165"/>
      <c r="U502" s="165"/>
      <c r="V502" s="165"/>
      <c r="W502" s="165"/>
      <c r="X502" s="165"/>
      <c r="Y502" s="165"/>
      <c r="Z502" s="165"/>
    </row>
    <row r="503" spans="16:26" ht="10.199999999999999" customHeight="1">
      <c r="P503" s="165"/>
      <c r="Q503" s="165"/>
      <c r="R503" s="165"/>
      <c r="S503" s="165"/>
      <c r="T503" s="165"/>
      <c r="U503" s="165"/>
      <c r="V503" s="165"/>
      <c r="W503" s="165"/>
      <c r="X503" s="165"/>
      <c r="Y503" s="165"/>
      <c r="Z503" s="165"/>
    </row>
    <row r="504" spans="16:26" ht="10.199999999999999" customHeight="1">
      <c r="P504" s="165"/>
      <c r="Q504" s="165"/>
      <c r="R504" s="165"/>
      <c r="S504" s="165"/>
      <c r="T504" s="165"/>
      <c r="U504" s="165"/>
      <c r="V504" s="165"/>
      <c r="W504" s="165"/>
      <c r="X504" s="165"/>
      <c r="Y504" s="165"/>
      <c r="Z504" s="165"/>
    </row>
    <row r="505" spans="16:26" ht="10.199999999999999" customHeight="1">
      <c r="P505" s="165"/>
      <c r="Q505" s="165"/>
      <c r="R505" s="165"/>
      <c r="S505" s="165"/>
      <c r="T505" s="165"/>
      <c r="U505" s="165"/>
      <c r="V505" s="165"/>
      <c r="W505" s="165"/>
      <c r="X505" s="165"/>
      <c r="Y505" s="165"/>
      <c r="Z505" s="165"/>
    </row>
    <row r="506" spans="16:26" ht="10.199999999999999" customHeight="1">
      <c r="P506" s="165"/>
      <c r="Q506" s="165"/>
      <c r="R506" s="165"/>
      <c r="S506" s="165"/>
      <c r="T506" s="165"/>
      <c r="U506" s="165"/>
      <c r="V506" s="165"/>
      <c r="W506" s="165"/>
      <c r="X506" s="165"/>
      <c r="Y506" s="165"/>
      <c r="Z506" s="165"/>
    </row>
    <row r="507" spans="16:26" ht="10.199999999999999" customHeight="1">
      <c r="P507" s="165"/>
      <c r="Q507" s="165"/>
      <c r="R507" s="165"/>
      <c r="S507" s="165"/>
      <c r="T507" s="165"/>
      <c r="U507" s="165"/>
      <c r="V507" s="165"/>
      <c r="W507" s="165"/>
      <c r="X507" s="165"/>
      <c r="Y507" s="165"/>
      <c r="Z507" s="165"/>
    </row>
    <row r="508" spans="16:26" ht="10.199999999999999" customHeight="1">
      <c r="P508" s="165"/>
      <c r="Q508" s="165"/>
      <c r="R508" s="165"/>
      <c r="S508" s="165"/>
      <c r="T508" s="165"/>
      <c r="U508" s="165"/>
      <c r="V508" s="165"/>
      <c r="W508" s="165"/>
      <c r="X508" s="165"/>
      <c r="Y508" s="165"/>
      <c r="Z508" s="165"/>
    </row>
    <row r="509" spans="16:26" ht="10.199999999999999" customHeight="1">
      <c r="P509" s="165"/>
      <c r="Q509" s="165"/>
      <c r="R509" s="165"/>
      <c r="S509" s="165"/>
      <c r="T509" s="165"/>
      <c r="U509" s="165"/>
      <c r="V509" s="165"/>
      <c r="W509" s="165"/>
      <c r="X509" s="165"/>
      <c r="Y509" s="165"/>
      <c r="Z509" s="165"/>
    </row>
    <row r="510" spans="16:26" ht="10.199999999999999" customHeight="1">
      <c r="P510" s="165"/>
      <c r="Q510" s="165"/>
      <c r="R510" s="165"/>
      <c r="S510" s="165"/>
      <c r="T510" s="165"/>
      <c r="U510" s="165"/>
      <c r="V510" s="165"/>
      <c r="W510" s="165"/>
      <c r="X510" s="165"/>
      <c r="Y510" s="165"/>
      <c r="Z510" s="165"/>
    </row>
    <row r="511" spans="16:26" ht="10.199999999999999" customHeight="1">
      <c r="P511" s="165"/>
      <c r="Q511" s="165"/>
      <c r="R511" s="165"/>
      <c r="S511" s="165"/>
      <c r="T511" s="165"/>
      <c r="U511" s="165"/>
      <c r="V511" s="165"/>
      <c r="W511" s="165"/>
      <c r="X511" s="165"/>
      <c r="Y511" s="165"/>
      <c r="Z511" s="165"/>
    </row>
    <row r="512" spans="16:26" ht="10.199999999999999" customHeight="1">
      <c r="P512" s="165"/>
      <c r="Q512" s="165"/>
      <c r="R512" s="165"/>
      <c r="S512" s="165"/>
      <c r="T512" s="165"/>
      <c r="U512" s="165"/>
      <c r="V512" s="165"/>
      <c r="W512" s="165"/>
      <c r="X512" s="165"/>
      <c r="Y512" s="165"/>
      <c r="Z512" s="165"/>
    </row>
    <row r="513" spans="16:26" ht="10.199999999999999" customHeight="1">
      <c r="P513" s="165"/>
      <c r="Q513" s="165"/>
      <c r="R513" s="165"/>
      <c r="S513" s="165"/>
      <c r="T513" s="165"/>
      <c r="U513" s="165"/>
      <c r="V513" s="165"/>
      <c r="W513" s="165"/>
      <c r="X513" s="165"/>
      <c r="Y513" s="165"/>
      <c r="Z513" s="165"/>
    </row>
    <row r="514" spans="16:26" ht="10.199999999999999" customHeight="1">
      <c r="P514" s="165"/>
      <c r="Q514" s="165"/>
      <c r="R514" s="165"/>
      <c r="S514" s="165"/>
      <c r="T514" s="165"/>
      <c r="U514" s="165"/>
      <c r="V514" s="165"/>
      <c r="W514" s="165"/>
      <c r="X514" s="165"/>
      <c r="Y514" s="165"/>
      <c r="Z514" s="165"/>
    </row>
    <row r="515" spans="16:26" ht="10.199999999999999" customHeight="1">
      <c r="P515" s="165"/>
      <c r="Q515" s="165"/>
      <c r="R515" s="165"/>
      <c r="S515" s="165"/>
      <c r="T515" s="165"/>
      <c r="U515" s="165"/>
      <c r="V515" s="165"/>
      <c r="W515" s="165"/>
      <c r="X515" s="165"/>
      <c r="Y515" s="165"/>
      <c r="Z515" s="165"/>
    </row>
    <row r="516" spans="16:26" ht="10.199999999999999" customHeight="1">
      <c r="P516" s="165"/>
      <c r="Q516" s="165"/>
      <c r="R516" s="165"/>
      <c r="S516" s="165"/>
      <c r="T516" s="165"/>
      <c r="U516" s="165"/>
      <c r="V516" s="165"/>
      <c r="W516" s="165"/>
      <c r="X516" s="165"/>
      <c r="Y516" s="165"/>
      <c r="Z516" s="165"/>
    </row>
    <row r="517" spans="16:26" ht="10.199999999999999" customHeight="1">
      <c r="P517" s="165"/>
      <c r="Q517" s="165"/>
      <c r="R517" s="165"/>
      <c r="S517" s="165"/>
      <c r="T517" s="165"/>
      <c r="U517" s="165"/>
      <c r="V517" s="165"/>
      <c r="W517" s="165"/>
      <c r="X517" s="165"/>
      <c r="Y517" s="165"/>
      <c r="Z517" s="165"/>
    </row>
    <row r="518" spans="16:26" ht="10.199999999999999" customHeight="1">
      <c r="P518" s="165"/>
      <c r="Q518" s="165"/>
      <c r="R518" s="165"/>
      <c r="S518" s="165"/>
      <c r="T518" s="165"/>
      <c r="U518" s="165"/>
      <c r="V518" s="165"/>
      <c r="W518" s="165"/>
      <c r="X518" s="165"/>
      <c r="Y518" s="165"/>
      <c r="Z518" s="165"/>
    </row>
    <row r="519" spans="16:26" ht="10.199999999999999" customHeight="1">
      <c r="P519" s="165"/>
      <c r="Q519" s="165"/>
      <c r="R519" s="165"/>
      <c r="S519" s="165"/>
      <c r="T519" s="165"/>
      <c r="U519" s="165"/>
      <c r="V519" s="165"/>
      <c r="W519" s="165"/>
      <c r="X519" s="165"/>
      <c r="Y519" s="165"/>
      <c r="Z519" s="165"/>
    </row>
    <row r="520" spans="16:26" ht="10.199999999999999" customHeight="1">
      <c r="P520" s="165"/>
      <c r="Q520" s="165"/>
      <c r="R520" s="165"/>
      <c r="S520" s="165"/>
      <c r="T520" s="165"/>
      <c r="U520" s="165"/>
      <c r="V520" s="165"/>
      <c r="W520" s="165"/>
      <c r="X520" s="165"/>
      <c r="Y520" s="165"/>
      <c r="Z520" s="165"/>
    </row>
    <row r="521" spans="16:26" ht="10.199999999999999" customHeight="1">
      <c r="P521" s="165"/>
      <c r="Q521" s="165"/>
      <c r="R521" s="165"/>
      <c r="S521" s="165"/>
      <c r="T521" s="165"/>
      <c r="U521" s="165"/>
      <c r="V521" s="165"/>
      <c r="W521" s="165"/>
      <c r="X521" s="165"/>
      <c r="Y521" s="165"/>
      <c r="Z521" s="165"/>
    </row>
    <row r="522" spans="16:26" ht="10.199999999999999" customHeight="1">
      <c r="P522" s="165"/>
      <c r="Q522" s="165"/>
      <c r="R522" s="165"/>
      <c r="S522" s="165"/>
      <c r="T522" s="165"/>
      <c r="U522" s="165"/>
      <c r="V522" s="165"/>
      <c r="W522" s="165"/>
      <c r="X522" s="165"/>
      <c r="Y522" s="165"/>
      <c r="Z522" s="165"/>
    </row>
    <row r="523" spans="16:26" ht="10.199999999999999" customHeight="1">
      <c r="P523" s="165"/>
      <c r="Q523" s="165"/>
      <c r="R523" s="165"/>
      <c r="S523" s="165"/>
      <c r="T523" s="165"/>
      <c r="U523" s="165"/>
      <c r="V523" s="165"/>
      <c r="W523" s="165"/>
      <c r="X523" s="165"/>
      <c r="Y523" s="165"/>
      <c r="Z523" s="165"/>
    </row>
    <row r="524" spans="16:26" ht="10.199999999999999" customHeight="1">
      <c r="P524" s="165"/>
      <c r="Q524" s="165"/>
      <c r="R524" s="165"/>
      <c r="S524" s="165"/>
      <c r="T524" s="165"/>
      <c r="U524" s="165"/>
      <c r="V524" s="165"/>
      <c r="W524" s="165"/>
      <c r="X524" s="165"/>
      <c r="Y524" s="165"/>
      <c r="Z524" s="165"/>
    </row>
    <row r="525" spans="16:26" ht="10.199999999999999" customHeight="1">
      <c r="P525" s="165"/>
      <c r="Q525" s="165"/>
      <c r="R525" s="165"/>
      <c r="S525" s="165"/>
      <c r="T525" s="165"/>
      <c r="U525" s="165"/>
      <c r="V525" s="165"/>
      <c r="W525" s="165"/>
      <c r="X525" s="165"/>
      <c r="Y525" s="165"/>
      <c r="Z525" s="165"/>
    </row>
    <row r="526" spans="16:26" ht="10.199999999999999" customHeight="1">
      <c r="P526" s="165"/>
      <c r="Q526" s="165"/>
      <c r="R526" s="165"/>
      <c r="S526" s="165"/>
      <c r="T526" s="165"/>
      <c r="U526" s="165"/>
      <c r="V526" s="165"/>
      <c r="W526" s="165"/>
      <c r="X526" s="165"/>
      <c r="Y526" s="165"/>
      <c r="Z526" s="165"/>
    </row>
    <row r="527" spans="16:26" ht="10.199999999999999" customHeight="1">
      <c r="P527" s="165"/>
      <c r="Q527" s="165"/>
      <c r="R527" s="165"/>
      <c r="S527" s="165"/>
      <c r="T527" s="165"/>
      <c r="U527" s="165"/>
      <c r="V527" s="165"/>
      <c r="W527" s="165"/>
      <c r="X527" s="165"/>
      <c r="Y527" s="165"/>
      <c r="Z527" s="165"/>
    </row>
    <row r="528" spans="16:26" ht="10.199999999999999" customHeight="1">
      <c r="P528" s="165"/>
      <c r="Q528" s="165"/>
      <c r="R528" s="165"/>
      <c r="S528" s="165"/>
      <c r="T528" s="165"/>
      <c r="U528" s="165"/>
      <c r="V528" s="165"/>
      <c r="W528" s="165"/>
      <c r="X528" s="165"/>
      <c r="Y528" s="165"/>
      <c r="Z528" s="165"/>
    </row>
    <row r="529" spans="16:26" ht="10.199999999999999" customHeight="1">
      <c r="P529" s="165"/>
      <c r="Q529" s="165"/>
      <c r="R529" s="165"/>
      <c r="S529" s="165"/>
      <c r="T529" s="165"/>
      <c r="U529" s="165"/>
      <c r="V529" s="165"/>
      <c r="W529" s="165"/>
      <c r="X529" s="165"/>
      <c r="Y529" s="165"/>
      <c r="Z529" s="165"/>
    </row>
    <row r="530" spans="16:26" ht="10.199999999999999" customHeight="1">
      <c r="P530" s="165"/>
      <c r="Q530" s="165"/>
      <c r="R530" s="165"/>
      <c r="S530" s="165"/>
      <c r="T530" s="165"/>
      <c r="U530" s="165"/>
      <c r="V530" s="165"/>
      <c r="W530" s="165"/>
      <c r="X530" s="165"/>
      <c r="Y530" s="165"/>
      <c r="Z530" s="165"/>
    </row>
    <row r="531" spans="16:26" ht="10.199999999999999" customHeight="1">
      <c r="P531" s="165"/>
      <c r="Q531" s="165"/>
      <c r="R531" s="165"/>
      <c r="S531" s="165"/>
      <c r="T531" s="165"/>
      <c r="U531" s="165"/>
      <c r="V531" s="165"/>
      <c r="W531" s="165"/>
      <c r="X531" s="165"/>
      <c r="Y531" s="165"/>
      <c r="Z531" s="165"/>
    </row>
    <row r="532" spans="16:26" ht="10.199999999999999" customHeight="1">
      <c r="P532" s="165"/>
      <c r="Q532" s="165"/>
      <c r="R532" s="165"/>
      <c r="S532" s="165"/>
      <c r="T532" s="165"/>
      <c r="U532" s="165"/>
      <c r="V532" s="165"/>
      <c r="W532" s="165"/>
      <c r="X532" s="165"/>
      <c r="Y532" s="165"/>
      <c r="Z532" s="165"/>
    </row>
    <row r="533" spans="16:26" ht="10.199999999999999" customHeight="1">
      <c r="P533" s="165"/>
      <c r="Q533" s="165"/>
      <c r="R533" s="165"/>
      <c r="S533" s="165"/>
      <c r="T533" s="165"/>
      <c r="U533" s="165"/>
      <c r="V533" s="165"/>
      <c r="W533" s="165"/>
      <c r="X533" s="165"/>
      <c r="Y533" s="165"/>
      <c r="Z533" s="165"/>
    </row>
    <row r="534" spans="16:26" ht="10.199999999999999" customHeight="1">
      <c r="P534" s="165"/>
      <c r="Q534" s="165"/>
      <c r="R534" s="165"/>
      <c r="S534" s="165"/>
      <c r="T534" s="165"/>
      <c r="U534" s="165"/>
      <c r="V534" s="165"/>
      <c r="W534" s="165"/>
      <c r="X534" s="165"/>
      <c r="Y534" s="165"/>
      <c r="Z534" s="165"/>
    </row>
    <row r="535" spans="16:26" ht="10.199999999999999" customHeight="1">
      <c r="P535" s="165"/>
      <c r="Q535" s="165"/>
      <c r="R535" s="165"/>
      <c r="S535" s="165"/>
      <c r="T535" s="165"/>
      <c r="U535" s="165"/>
      <c r="V535" s="165"/>
      <c r="W535" s="165"/>
      <c r="X535" s="165"/>
      <c r="Y535" s="165"/>
      <c r="Z535" s="165"/>
    </row>
    <row r="536" spans="16:26" ht="10.199999999999999" customHeight="1">
      <c r="P536" s="165"/>
      <c r="Q536" s="165"/>
      <c r="R536" s="165"/>
      <c r="S536" s="165"/>
      <c r="T536" s="165"/>
      <c r="U536" s="165"/>
      <c r="V536" s="165"/>
      <c r="W536" s="165"/>
      <c r="X536" s="165"/>
      <c r="Y536" s="165"/>
      <c r="Z536" s="165"/>
    </row>
    <row r="537" spans="16:26" ht="10.199999999999999" customHeight="1">
      <c r="P537" s="165"/>
      <c r="Q537" s="165"/>
      <c r="R537" s="165"/>
      <c r="S537" s="165"/>
      <c r="T537" s="165"/>
      <c r="U537" s="165"/>
      <c r="V537" s="165"/>
      <c r="W537" s="165"/>
      <c r="X537" s="165"/>
      <c r="Y537" s="165"/>
      <c r="Z537" s="165"/>
    </row>
    <row r="538" spans="16:26" ht="10.199999999999999" customHeight="1">
      <c r="P538" s="165"/>
      <c r="Q538" s="165"/>
      <c r="R538" s="165"/>
      <c r="S538" s="165"/>
      <c r="T538" s="165"/>
      <c r="U538" s="165"/>
      <c r="V538" s="165"/>
      <c r="W538" s="165"/>
      <c r="X538" s="165"/>
      <c r="Y538" s="165"/>
      <c r="Z538" s="165"/>
    </row>
    <row r="539" spans="16:26" ht="10.199999999999999" customHeight="1">
      <c r="P539" s="165"/>
      <c r="Q539" s="165"/>
      <c r="R539" s="165"/>
      <c r="S539" s="165"/>
      <c r="T539" s="165"/>
      <c r="U539" s="165"/>
      <c r="V539" s="165"/>
      <c r="W539" s="165"/>
      <c r="X539" s="165"/>
      <c r="Y539" s="165"/>
      <c r="Z539" s="165"/>
    </row>
    <row r="540" spans="16:26" ht="10.199999999999999" customHeight="1">
      <c r="P540" s="165"/>
      <c r="Q540" s="165"/>
      <c r="R540" s="165"/>
      <c r="S540" s="165"/>
      <c r="T540" s="165"/>
      <c r="U540" s="165"/>
      <c r="V540" s="165"/>
      <c r="W540" s="165"/>
      <c r="X540" s="165"/>
      <c r="Y540" s="165"/>
      <c r="Z540" s="165"/>
    </row>
    <row r="541" spans="16:26" ht="10.199999999999999" customHeight="1">
      <c r="P541" s="165"/>
      <c r="Q541" s="165"/>
      <c r="R541" s="165"/>
      <c r="S541" s="165"/>
      <c r="T541" s="165"/>
      <c r="U541" s="165"/>
      <c r="V541" s="165"/>
      <c r="W541" s="165"/>
      <c r="X541" s="165"/>
      <c r="Y541" s="165"/>
      <c r="Z541" s="165"/>
    </row>
    <row r="542" spans="16:26" ht="10.199999999999999" customHeight="1">
      <c r="P542" s="165"/>
      <c r="Q542" s="165"/>
      <c r="R542" s="165"/>
      <c r="S542" s="165"/>
      <c r="T542" s="165"/>
      <c r="U542" s="165"/>
      <c r="V542" s="165"/>
      <c r="W542" s="165"/>
      <c r="X542" s="165"/>
      <c r="Y542" s="165"/>
      <c r="Z542" s="165"/>
    </row>
    <row r="543" spans="16:26" ht="10.199999999999999" customHeight="1">
      <c r="P543" s="165"/>
      <c r="Q543" s="165"/>
      <c r="R543" s="165"/>
      <c r="S543" s="165"/>
      <c r="T543" s="165"/>
      <c r="U543" s="165"/>
      <c r="V543" s="165"/>
      <c r="W543" s="165"/>
      <c r="X543" s="165"/>
      <c r="Y543" s="165"/>
      <c r="Z543" s="165"/>
    </row>
    <row r="544" spans="16:26" ht="10.199999999999999" customHeight="1">
      <c r="P544" s="165"/>
      <c r="Q544" s="165"/>
      <c r="R544" s="165"/>
      <c r="S544" s="165"/>
      <c r="T544" s="165"/>
      <c r="U544" s="165"/>
      <c r="V544" s="165"/>
      <c r="W544" s="165"/>
      <c r="X544" s="165"/>
      <c r="Y544" s="165"/>
      <c r="Z544" s="165"/>
    </row>
    <row r="545" spans="16:26" ht="10.199999999999999" customHeight="1">
      <c r="P545" s="165"/>
      <c r="Q545" s="165"/>
      <c r="R545" s="165"/>
      <c r="S545" s="165"/>
      <c r="T545" s="165"/>
      <c r="U545" s="165"/>
      <c r="V545" s="165"/>
      <c r="W545" s="165"/>
      <c r="X545" s="165"/>
      <c r="Y545" s="165"/>
      <c r="Z545" s="165"/>
    </row>
    <row r="546" spans="16:26" ht="10.199999999999999" customHeight="1">
      <c r="P546" s="165"/>
      <c r="Q546" s="165"/>
      <c r="R546" s="165"/>
      <c r="S546" s="165"/>
      <c r="T546" s="165"/>
      <c r="U546" s="165"/>
      <c r="V546" s="165"/>
      <c r="W546" s="165"/>
      <c r="X546" s="165"/>
      <c r="Y546" s="165"/>
      <c r="Z546" s="165"/>
    </row>
    <row r="547" spans="16:26" ht="10.199999999999999" customHeight="1">
      <c r="P547" s="165"/>
      <c r="Q547" s="165"/>
      <c r="R547" s="165"/>
      <c r="S547" s="165"/>
      <c r="T547" s="165"/>
      <c r="U547" s="165"/>
      <c r="V547" s="165"/>
      <c r="W547" s="165"/>
      <c r="X547" s="165"/>
      <c r="Y547" s="165"/>
      <c r="Z547" s="165"/>
    </row>
    <row r="548" spans="16:26" ht="10.199999999999999" customHeight="1">
      <c r="P548" s="165"/>
      <c r="Q548" s="165"/>
      <c r="R548" s="165"/>
      <c r="S548" s="165"/>
      <c r="T548" s="165"/>
      <c r="U548" s="165"/>
      <c r="V548" s="165"/>
      <c r="W548" s="165"/>
      <c r="X548" s="165"/>
      <c r="Y548" s="165"/>
      <c r="Z548" s="165"/>
    </row>
    <row r="549" spans="16:26" ht="10.199999999999999" customHeight="1">
      <c r="P549" s="165"/>
      <c r="Q549" s="165"/>
      <c r="R549" s="165"/>
      <c r="S549" s="165"/>
      <c r="T549" s="165"/>
      <c r="U549" s="165"/>
      <c r="V549" s="165"/>
      <c r="W549" s="165"/>
      <c r="X549" s="165"/>
      <c r="Y549" s="165"/>
      <c r="Z549" s="165"/>
    </row>
    <row r="550" spans="16:26" ht="10.199999999999999" customHeight="1">
      <c r="P550" s="165"/>
      <c r="Q550" s="165"/>
      <c r="R550" s="165"/>
      <c r="S550" s="165"/>
      <c r="T550" s="165"/>
      <c r="U550" s="165"/>
      <c r="V550" s="165"/>
      <c r="W550" s="165"/>
      <c r="X550" s="165"/>
      <c r="Y550" s="165"/>
      <c r="Z550" s="165"/>
    </row>
    <row r="551" spans="16:26" ht="10.199999999999999" customHeight="1">
      <c r="P551" s="165"/>
      <c r="Q551" s="165"/>
      <c r="R551" s="165"/>
      <c r="S551" s="165"/>
      <c r="T551" s="165"/>
      <c r="U551" s="165"/>
      <c r="V551" s="165"/>
      <c r="W551" s="165"/>
      <c r="X551" s="165"/>
      <c r="Y551" s="165"/>
      <c r="Z551" s="165"/>
    </row>
    <row r="552" spans="16:26" ht="10.199999999999999" customHeight="1">
      <c r="P552" s="165"/>
      <c r="Q552" s="165"/>
      <c r="R552" s="165"/>
      <c r="S552" s="165"/>
      <c r="T552" s="165"/>
      <c r="U552" s="165"/>
      <c r="V552" s="165"/>
      <c r="W552" s="165"/>
      <c r="X552" s="165"/>
      <c r="Y552" s="165"/>
      <c r="Z552" s="165"/>
    </row>
    <row r="553" spans="16:26" ht="10.199999999999999" customHeight="1">
      <c r="P553" s="165"/>
      <c r="Q553" s="165"/>
      <c r="R553" s="165"/>
      <c r="S553" s="165"/>
      <c r="T553" s="165"/>
      <c r="U553" s="165"/>
      <c r="V553" s="165"/>
      <c r="W553" s="165"/>
      <c r="X553" s="165"/>
      <c r="Y553" s="165"/>
      <c r="Z553" s="165"/>
    </row>
    <row r="554" spans="16:26" ht="10.199999999999999" customHeight="1">
      <c r="P554" s="165"/>
      <c r="Q554" s="165"/>
      <c r="R554" s="165"/>
      <c r="S554" s="165"/>
      <c r="T554" s="165"/>
      <c r="U554" s="165"/>
      <c r="V554" s="165"/>
      <c r="W554" s="165"/>
      <c r="X554" s="165"/>
      <c r="Y554" s="165"/>
      <c r="Z554" s="165"/>
    </row>
    <row r="555" spans="16:26" ht="10.199999999999999" customHeight="1">
      <c r="P555" s="165"/>
      <c r="Q555" s="165"/>
      <c r="R555" s="165"/>
      <c r="S555" s="165"/>
      <c r="T555" s="165"/>
      <c r="U555" s="165"/>
      <c r="V555" s="165"/>
      <c r="W555" s="165"/>
      <c r="X555" s="165"/>
      <c r="Y555" s="165"/>
      <c r="Z555" s="165"/>
    </row>
    <row r="556" spans="16:26" ht="10.199999999999999" customHeight="1">
      <c r="P556" s="165"/>
      <c r="Q556" s="165"/>
      <c r="R556" s="165"/>
      <c r="S556" s="165"/>
      <c r="T556" s="165"/>
      <c r="U556" s="165"/>
      <c r="V556" s="165"/>
      <c r="W556" s="165"/>
      <c r="X556" s="165"/>
      <c r="Y556" s="165"/>
      <c r="Z556" s="165"/>
    </row>
    <row r="557" spans="16:26" ht="10.199999999999999" customHeight="1">
      <c r="P557" s="165"/>
      <c r="Q557" s="165"/>
      <c r="R557" s="165"/>
      <c r="S557" s="165"/>
      <c r="T557" s="165"/>
      <c r="U557" s="165"/>
      <c r="V557" s="165"/>
      <c r="W557" s="165"/>
      <c r="X557" s="165"/>
      <c r="Y557" s="165"/>
      <c r="Z557" s="165"/>
    </row>
    <row r="558" spans="16:26" ht="10.199999999999999" customHeight="1">
      <c r="P558" s="165"/>
      <c r="Q558" s="165"/>
      <c r="R558" s="165"/>
      <c r="S558" s="165"/>
      <c r="T558" s="165"/>
      <c r="U558" s="165"/>
      <c r="V558" s="165"/>
      <c r="W558" s="165"/>
      <c r="X558" s="165"/>
      <c r="Y558" s="165"/>
      <c r="Z558" s="165"/>
    </row>
    <row r="559" spans="16:26" ht="10.199999999999999" customHeight="1">
      <c r="P559" s="165"/>
      <c r="Q559" s="165"/>
      <c r="R559" s="165"/>
      <c r="S559" s="165"/>
      <c r="T559" s="165"/>
      <c r="U559" s="165"/>
      <c r="V559" s="165"/>
      <c r="W559" s="165"/>
      <c r="X559" s="165"/>
      <c r="Y559" s="165"/>
      <c r="Z559" s="165"/>
    </row>
    <row r="560" spans="16:26" ht="10.199999999999999" customHeight="1">
      <c r="P560" s="165"/>
      <c r="Q560" s="165"/>
      <c r="R560" s="165"/>
      <c r="S560" s="165"/>
      <c r="T560" s="165"/>
      <c r="U560" s="165"/>
      <c r="V560" s="165"/>
      <c r="W560" s="165"/>
      <c r="X560" s="165"/>
      <c r="Y560" s="165"/>
      <c r="Z560" s="165"/>
    </row>
    <row r="561" spans="16:26" ht="10.199999999999999" customHeight="1">
      <c r="P561" s="165"/>
      <c r="Q561" s="165"/>
      <c r="R561" s="165"/>
      <c r="S561" s="165"/>
      <c r="T561" s="165"/>
      <c r="U561" s="165"/>
      <c r="V561" s="165"/>
      <c r="W561" s="165"/>
      <c r="X561" s="165"/>
      <c r="Y561" s="165"/>
      <c r="Z561" s="165"/>
    </row>
    <row r="562" spans="16:26" ht="10.199999999999999" customHeight="1">
      <c r="P562" s="165"/>
      <c r="Q562" s="165"/>
      <c r="R562" s="165"/>
      <c r="S562" s="165"/>
      <c r="T562" s="165"/>
      <c r="U562" s="165"/>
      <c r="V562" s="165"/>
      <c r="W562" s="165"/>
      <c r="X562" s="165"/>
      <c r="Y562" s="165"/>
      <c r="Z562" s="165"/>
    </row>
    <row r="563" spans="16:26" ht="10.199999999999999" customHeight="1">
      <c r="P563" s="165"/>
      <c r="Q563" s="165"/>
      <c r="R563" s="165"/>
      <c r="S563" s="165"/>
      <c r="T563" s="165"/>
      <c r="U563" s="165"/>
      <c r="V563" s="165"/>
      <c r="W563" s="165"/>
      <c r="X563" s="165"/>
      <c r="Y563" s="165"/>
      <c r="Z563" s="165"/>
    </row>
    <row r="564" spans="16:26" ht="10.199999999999999" customHeight="1">
      <c r="P564" s="165"/>
      <c r="Q564" s="165"/>
      <c r="R564" s="165"/>
      <c r="S564" s="165"/>
      <c r="T564" s="165"/>
      <c r="U564" s="165"/>
      <c r="V564" s="165"/>
      <c r="W564" s="165"/>
      <c r="X564" s="165"/>
      <c r="Y564" s="165"/>
      <c r="Z564" s="165"/>
    </row>
    <row r="565" spans="16:26" ht="10.199999999999999" customHeight="1">
      <c r="P565" s="165"/>
      <c r="Q565" s="165"/>
      <c r="R565" s="165"/>
      <c r="S565" s="165"/>
      <c r="T565" s="165"/>
      <c r="U565" s="165"/>
      <c r="V565" s="165"/>
      <c r="W565" s="165"/>
      <c r="X565" s="165"/>
      <c r="Y565" s="165"/>
      <c r="Z565" s="165"/>
    </row>
    <row r="566" spans="16:26" ht="10.199999999999999" customHeight="1">
      <c r="P566" s="165"/>
      <c r="Q566" s="165"/>
      <c r="R566" s="165"/>
      <c r="S566" s="165"/>
      <c r="T566" s="165"/>
      <c r="U566" s="165"/>
      <c r="V566" s="165"/>
      <c r="W566" s="165"/>
      <c r="X566" s="165"/>
      <c r="Y566" s="165"/>
      <c r="Z566" s="165"/>
    </row>
    <row r="567" spans="16:26" ht="10.199999999999999" customHeight="1">
      <c r="P567" s="165"/>
      <c r="Q567" s="165"/>
      <c r="R567" s="165"/>
      <c r="S567" s="165"/>
      <c r="T567" s="165"/>
      <c r="U567" s="165"/>
      <c r="V567" s="165"/>
      <c r="W567" s="165"/>
      <c r="X567" s="165"/>
      <c r="Y567" s="165"/>
      <c r="Z567" s="165"/>
    </row>
    <row r="568" spans="16:26" ht="10.199999999999999" customHeight="1">
      <c r="P568" s="165"/>
      <c r="Q568" s="165"/>
      <c r="R568" s="165"/>
      <c r="S568" s="165"/>
      <c r="T568" s="165"/>
      <c r="U568" s="165"/>
      <c r="V568" s="165"/>
      <c r="W568" s="165"/>
      <c r="X568" s="165"/>
      <c r="Y568" s="165"/>
      <c r="Z568" s="165"/>
    </row>
    <row r="569" spans="16:26" ht="10.199999999999999" customHeight="1">
      <c r="P569" s="165"/>
      <c r="Q569" s="165"/>
      <c r="R569" s="165"/>
      <c r="S569" s="165"/>
      <c r="T569" s="165"/>
      <c r="U569" s="165"/>
      <c r="V569" s="165"/>
      <c r="W569" s="165"/>
      <c r="X569" s="165"/>
      <c r="Y569" s="165"/>
      <c r="Z569" s="165"/>
    </row>
    <row r="570" spans="16:26" ht="10.199999999999999" customHeight="1">
      <c r="P570" s="165"/>
      <c r="Q570" s="165"/>
      <c r="R570" s="165"/>
      <c r="S570" s="165"/>
      <c r="T570" s="165"/>
      <c r="U570" s="165"/>
      <c r="V570" s="165"/>
      <c r="W570" s="165"/>
      <c r="X570" s="165"/>
      <c r="Y570" s="165"/>
      <c r="Z570" s="165"/>
    </row>
    <row r="571" spans="16:26" ht="10.199999999999999" customHeight="1">
      <c r="P571" s="165"/>
      <c r="Q571" s="165"/>
      <c r="R571" s="165"/>
      <c r="S571" s="165"/>
      <c r="T571" s="165"/>
      <c r="U571" s="165"/>
      <c r="V571" s="165"/>
      <c r="W571" s="165"/>
      <c r="X571" s="165"/>
      <c r="Y571" s="165"/>
      <c r="Z571" s="165"/>
    </row>
    <row r="572" spans="16:26" ht="10.199999999999999" customHeight="1">
      <c r="P572" s="165"/>
      <c r="Q572" s="165"/>
      <c r="R572" s="165"/>
      <c r="S572" s="165"/>
      <c r="T572" s="165"/>
      <c r="U572" s="165"/>
      <c r="V572" s="165"/>
      <c r="W572" s="165"/>
      <c r="X572" s="165"/>
      <c r="Y572" s="165"/>
      <c r="Z572" s="165"/>
    </row>
    <row r="573" spans="16:26" ht="10.199999999999999" customHeight="1">
      <c r="P573" s="165"/>
      <c r="Q573" s="165"/>
      <c r="R573" s="165"/>
      <c r="S573" s="165"/>
      <c r="T573" s="165"/>
      <c r="U573" s="165"/>
      <c r="V573" s="165"/>
      <c r="W573" s="165"/>
      <c r="X573" s="165"/>
      <c r="Y573" s="165"/>
      <c r="Z573" s="165"/>
    </row>
    <row r="574" spans="16:26" ht="10.199999999999999" customHeight="1">
      <c r="P574" s="165"/>
      <c r="Q574" s="165"/>
      <c r="R574" s="165"/>
      <c r="S574" s="165"/>
      <c r="T574" s="165"/>
      <c r="U574" s="165"/>
      <c r="V574" s="165"/>
      <c r="W574" s="165"/>
      <c r="X574" s="165"/>
      <c r="Y574" s="165"/>
      <c r="Z574" s="165"/>
    </row>
    <row r="575" spans="16:26" ht="10.199999999999999" customHeight="1">
      <c r="P575" s="165"/>
      <c r="Q575" s="165"/>
      <c r="R575" s="165"/>
      <c r="S575" s="165"/>
      <c r="T575" s="165"/>
      <c r="U575" s="165"/>
      <c r="V575" s="165"/>
      <c r="W575" s="165"/>
      <c r="X575" s="165"/>
      <c r="Y575" s="165"/>
      <c r="Z575" s="165"/>
    </row>
    <row r="576" spans="16:26" ht="10.199999999999999" customHeight="1">
      <c r="P576" s="165"/>
      <c r="Q576" s="165"/>
      <c r="R576" s="165"/>
      <c r="S576" s="165"/>
      <c r="T576" s="165"/>
      <c r="U576" s="165"/>
      <c r="V576" s="165"/>
      <c r="W576" s="165"/>
      <c r="X576" s="165"/>
      <c r="Y576" s="165"/>
      <c r="Z576" s="165"/>
    </row>
    <row r="577" spans="16:26" ht="10.199999999999999" customHeight="1">
      <c r="P577" s="165"/>
      <c r="Q577" s="165"/>
      <c r="R577" s="165"/>
      <c r="S577" s="165"/>
      <c r="T577" s="165"/>
      <c r="U577" s="165"/>
      <c r="V577" s="165"/>
      <c r="W577" s="165"/>
      <c r="X577" s="165"/>
      <c r="Y577" s="165"/>
      <c r="Z577" s="165"/>
    </row>
    <row r="578" spans="16:26" ht="10.199999999999999" customHeight="1">
      <c r="P578" s="165"/>
      <c r="Q578" s="165"/>
      <c r="R578" s="165"/>
      <c r="S578" s="165"/>
      <c r="T578" s="165"/>
      <c r="U578" s="165"/>
      <c r="V578" s="165"/>
      <c r="W578" s="165"/>
      <c r="X578" s="165"/>
      <c r="Y578" s="165"/>
      <c r="Z578" s="165"/>
    </row>
    <row r="579" spans="16:26" ht="10.199999999999999" customHeight="1">
      <c r="P579" s="165"/>
      <c r="Q579" s="165"/>
      <c r="R579" s="165"/>
      <c r="S579" s="165"/>
      <c r="T579" s="165"/>
      <c r="U579" s="165"/>
      <c r="V579" s="165"/>
      <c r="W579" s="165"/>
      <c r="X579" s="165"/>
      <c r="Y579" s="165"/>
      <c r="Z579" s="165"/>
    </row>
    <row r="580" spans="16:26" ht="10.199999999999999" customHeight="1">
      <c r="P580" s="165"/>
      <c r="Q580" s="165"/>
      <c r="R580" s="165"/>
      <c r="S580" s="165"/>
      <c r="T580" s="165"/>
      <c r="U580" s="165"/>
      <c r="V580" s="165"/>
      <c r="W580" s="165"/>
      <c r="X580" s="165"/>
      <c r="Y580" s="165"/>
      <c r="Z580" s="165"/>
    </row>
    <row r="581" spans="16:26" ht="10.199999999999999" customHeight="1">
      <c r="P581" s="165"/>
      <c r="Q581" s="165"/>
      <c r="R581" s="165"/>
      <c r="S581" s="165"/>
      <c r="T581" s="165"/>
      <c r="U581" s="165"/>
      <c r="V581" s="165"/>
      <c r="W581" s="165"/>
      <c r="X581" s="165"/>
      <c r="Y581" s="165"/>
      <c r="Z581" s="165"/>
    </row>
    <row r="582" spans="16:26" ht="10.199999999999999" customHeight="1">
      <c r="P582" s="165"/>
      <c r="Q582" s="165"/>
      <c r="R582" s="165"/>
      <c r="S582" s="165"/>
      <c r="T582" s="165"/>
      <c r="U582" s="165"/>
      <c r="V582" s="165"/>
      <c r="W582" s="165"/>
      <c r="X582" s="165"/>
      <c r="Y582" s="165"/>
      <c r="Z582" s="165"/>
    </row>
    <row r="583" spans="16:26" ht="10.199999999999999" customHeight="1">
      <c r="P583" s="165"/>
      <c r="Q583" s="165"/>
      <c r="R583" s="165"/>
      <c r="S583" s="165"/>
      <c r="T583" s="165"/>
      <c r="U583" s="165"/>
      <c r="V583" s="165"/>
      <c r="W583" s="165"/>
      <c r="X583" s="165"/>
      <c r="Y583" s="165"/>
      <c r="Z583" s="165"/>
    </row>
    <row r="584" spans="16:26" ht="10.199999999999999" customHeight="1">
      <c r="P584" s="165"/>
      <c r="Q584" s="165"/>
      <c r="R584" s="165"/>
      <c r="S584" s="165"/>
      <c r="T584" s="165"/>
      <c r="U584" s="165"/>
      <c r="V584" s="165"/>
      <c r="W584" s="165"/>
      <c r="X584" s="165"/>
      <c r="Y584" s="165"/>
      <c r="Z584" s="165"/>
    </row>
    <row r="585" spans="16:26" ht="10.199999999999999" customHeight="1">
      <c r="P585" s="165"/>
      <c r="Q585" s="165"/>
      <c r="R585" s="165"/>
      <c r="S585" s="165"/>
      <c r="T585" s="165"/>
      <c r="U585" s="165"/>
      <c r="V585" s="165"/>
      <c r="W585" s="165"/>
      <c r="X585" s="165"/>
      <c r="Y585" s="165"/>
      <c r="Z585" s="165"/>
    </row>
    <row r="586" spans="16:26" ht="10.199999999999999" customHeight="1">
      <c r="P586" s="165"/>
      <c r="Q586" s="165"/>
      <c r="R586" s="165"/>
      <c r="S586" s="165"/>
      <c r="T586" s="165"/>
      <c r="U586" s="165"/>
      <c r="V586" s="165"/>
      <c r="W586" s="165"/>
      <c r="X586" s="165"/>
      <c r="Y586" s="165"/>
      <c r="Z586" s="165"/>
    </row>
    <row r="587" spans="16:26" ht="10.199999999999999" customHeight="1">
      <c r="P587" s="165"/>
      <c r="Q587" s="165"/>
      <c r="R587" s="165"/>
      <c r="S587" s="165"/>
      <c r="T587" s="165"/>
      <c r="U587" s="165"/>
      <c r="V587" s="165"/>
      <c r="W587" s="165"/>
      <c r="X587" s="165"/>
      <c r="Y587" s="165"/>
      <c r="Z587" s="165"/>
    </row>
    <row r="588" spans="16:26" ht="10.199999999999999" customHeight="1">
      <c r="P588" s="165"/>
      <c r="Q588" s="165"/>
      <c r="R588" s="165"/>
      <c r="S588" s="165"/>
      <c r="T588" s="165"/>
      <c r="U588" s="165"/>
      <c r="V588" s="165"/>
      <c r="W588" s="165"/>
      <c r="X588" s="165"/>
      <c r="Y588" s="165"/>
      <c r="Z588" s="165"/>
    </row>
    <row r="589" spans="16:26" ht="10.199999999999999" customHeight="1">
      <c r="P589" s="165"/>
      <c r="Q589" s="165"/>
      <c r="R589" s="165"/>
      <c r="S589" s="165"/>
      <c r="T589" s="165"/>
      <c r="U589" s="165"/>
      <c r="V589" s="165"/>
      <c r="W589" s="165"/>
      <c r="X589" s="165"/>
      <c r="Y589" s="165"/>
      <c r="Z589" s="165"/>
    </row>
    <row r="590" spans="16:26" ht="10.199999999999999" customHeight="1">
      <c r="P590" s="165"/>
      <c r="Q590" s="165"/>
      <c r="R590" s="165"/>
      <c r="S590" s="165"/>
      <c r="T590" s="165"/>
      <c r="U590" s="165"/>
      <c r="V590" s="165"/>
      <c r="W590" s="165"/>
      <c r="X590" s="165"/>
      <c r="Y590" s="165"/>
      <c r="Z590" s="165"/>
    </row>
    <row r="591" spans="16:26" ht="10.199999999999999" customHeight="1">
      <c r="P591" s="165"/>
      <c r="Q591" s="165"/>
      <c r="R591" s="165"/>
      <c r="S591" s="165"/>
      <c r="T591" s="165"/>
      <c r="U591" s="165"/>
      <c r="V591" s="165"/>
      <c r="W591" s="165"/>
      <c r="X591" s="165"/>
      <c r="Y591" s="165"/>
      <c r="Z591" s="165"/>
    </row>
    <row r="592" spans="16:26" ht="10.199999999999999" customHeight="1">
      <c r="P592" s="165"/>
      <c r="Q592" s="165"/>
      <c r="R592" s="165"/>
      <c r="S592" s="165"/>
      <c r="T592" s="165"/>
      <c r="U592" s="165"/>
      <c r="V592" s="165"/>
      <c r="W592" s="165"/>
      <c r="X592" s="165"/>
      <c r="Y592" s="165"/>
      <c r="Z592" s="165"/>
    </row>
    <row r="593" spans="16:26" ht="10.199999999999999" customHeight="1">
      <c r="P593" s="165"/>
      <c r="Q593" s="165"/>
      <c r="R593" s="165"/>
      <c r="S593" s="165"/>
      <c r="T593" s="165"/>
      <c r="U593" s="165"/>
      <c r="V593" s="165"/>
      <c r="W593" s="165"/>
      <c r="X593" s="165"/>
      <c r="Y593" s="165"/>
      <c r="Z593" s="165"/>
    </row>
    <row r="594" spans="16:26" ht="10.199999999999999" customHeight="1">
      <c r="P594" s="165"/>
      <c r="Q594" s="165"/>
      <c r="R594" s="165"/>
      <c r="S594" s="165"/>
      <c r="T594" s="165"/>
      <c r="U594" s="165"/>
      <c r="V594" s="165"/>
      <c r="W594" s="165"/>
      <c r="X594" s="165"/>
      <c r="Y594" s="165"/>
      <c r="Z594" s="165"/>
    </row>
    <row r="595" spans="16:26" ht="10.199999999999999" customHeight="1">
      <c r="P595" s="165"/>
      <c r="Q595" s="165"/>
      <c r="R595" s="165"/>
      <c r="S595" s="165"/>
      <c r="T595" s="165"/>
      <c r="U595" s="165"/>
      <c r="V595" s="165"/>
      <c r="W595" s="165"/>
      <c r="X595" s="165"/>
      <c r="Y595" s="165"/>
      <c r="Z595" s="165"/>
    </row>
    <row r="596" spans="16:26" ht="10.199999999999999" customHeight="1">
      <c r="P596" s="165"/>
      <c r="Q596" s="165"/>
      <c r="R596" s="165"/>
      <c r="S596" s="165"/>
      <c r="T596" s="165"/>
      <c r="U596" s="165"/>
      <c r="V596" s="165"/>
      <c r="W596" s="165"/>
      <c r="X596" s="165"/>
      <c r="Y596" s="165"/>
      <c r="Z596" s="165"/>
    </row>
    <row r="597" spans="16:26" ht="10.199999999999999" customHeight="1">
      <c r="P597" s="165"/>
      <c r="Q597" s="165"/>
      <c r="R597" s="165"/>
      <c r="S597" s="165"/>
      <c r="T597" s="165"/>
      <c r="U597" s="165"/>
      <c r="V597" s="165"/>
      <c r="W597" s="165"/>
      <c r="X597" s="165"/>
      <c r="Y597" s="165"/>
      <c r="Z597" s="165"/>
    </row>
    <row r="598" spans="16:26" ht="10.199999999999999" customHeight="1">
      <c r="P598" s="165"/>
      <c r="Q598" s="165"/>
      <c r="R598" s="165"/>
      <c r="S598" s="165"/>
      <c r="T598" s="165"/>
      <c r="U598" s="165"/>
      <c r="V598" s="165"/>
      <c r="W598" s="165"/>
      <c r="X598" s="165"/>
      <c r="Y598" s="165"/>
      <c r="Z598" s="165"/>
    </row>
    <row r="599" spans="16:26" ht="10.199999999999999" customHeight="1">
      <c r="P599" s="165"/>
      <c r="Q599" s="165"/>
      <c r="R599" s="165"/>
      <c r="S599" s="165"/>
      <c r="T599" s="165"/>
      <c r="U599" s="165"/>
      <c r="V599" s="165"/>
      <c r="W599" s="165"/>
      <c r="X599" s="165"/>
      <c r="Y599" s="165"/>
      <c r="Z599" s="165"/>
    </row>
    <row r="600" spans="16:26" ht="10.199999999999999" customHeight="1">
      <c r="P600" s="165"/>
      <c r="Q600" s="165"/>
      <c r="R600" s="165"/>
      <c r="S600" s="165"/>
      <c r="T600" s="165"/>
      <c r="U600" s="165"/>
      <c r="V600" s="165"/>
      <c r="W600" s="165"/>
      <c r="X600" s="165"/>
      <c r="Y600" s="165"/>
      <c r="Z600" s="165"/>
    </row>
    <row r="601" spans="16:26" ht="10.199999999999999" customHeight="1">
      <c r="P601" s="165"/>
      <c r="Q601" s="165"/>
      <c r="R601" s="165"/>
      <c r="S601" s="165"/>
      <c r="T601" s="165"/>
      <c r="U601" s="165"/>
      <c r="V601" s="165"/>
      <c r="W601" s="165"/>
      <c r="X601" s="165"/>
      <c r="Y601" s="165"/>
      <c r="Z601" s="165"/>
    </row>
    <row r="602" spans="16:26" ht="10.199999999999999" customHeight="1">
      <c r="P602" s="165"/>
      <c r="Q602" s="165"/>
      <c r="R602" s="165"/>
      <c r="S602" s="165"/>
      <c r="T602" s="165"/>
      <c r="U602" s="165"/>
      <c r="V602" s="165"/>
      <c r="W602" s="165"/>
      <c r="X602" s="165"/>
      <c r="Y602" s="165"/>
      <c r="Z602" s="165"/>
    </row>
    <row r="603" spans="16:26" ht="10.199999999999999" customHeight="1">
      <c r="P603" s="165"/>
      <c r="Q603" s="165"/>
      <c r="R603" s="165"/>
      <c r="S603" s="165"/>
      <c r="T603" s="165"/>
      <c r="U603" s="165"/>
      <c r="V603" s="165"/>
      <c r="W603" s="165"/>
      <c r="X603" s="165"/>
      <c r="Y603" s="165"/>
      <c r="Z603" s="165"/>
    </row>
    <row r="604" spans="16:26" ht="10.199999999999999" customHeight="1">
      <c r="P604" s="165"/>
      <c r="Q604" s="165"/>
      <c r="R604" s="165"/>
      <c r="S604" s="165"/>
      <c r="T604" s="165"/>
      <c r="U604" s="165"/>
      <c r="V604" s="165"/>
      <c r="W604" s="165"/>
      <c r="X604" s="165"/>
      <c r="Y604" s="165"/>
      <c r="Z604" s="165"/>
    </row>
    <row r="605" spans="16:26" ht="10.199999999999999" customHeight="1">
      <c r="P605" s="165"/>
      <c r="Q605" s="165"/>
      <c r="R605" s="165"/>
      <c r="S605" s="165"/>
      <c r="T605" s="165"/>
      <c r="U605" s="165"/>
      <c r="V605" s="165"/>
      <c r="W605" s="165"/>
      <c r="X605" s="165"/>
      <c r="Y605" s="165"/>
      <c r="Z605" s="165"/>
    </row>
    <row r="606" spans="16:26" ht="10.199999999999999" customHeight="1">
      <c r="P606" s="165"/>
      <c r="Q606" s="165"/>
      <c r="R606" s="165"/>
      <c r="S606" s="165"/>
      <c r="T606" s="165"/>
      <c r="U606" s="165"/>
      <c r="V606" s="165"/>
      <c r="W606" s="165"/>
      <c r="X606" s="165"/>
      <c r="Y606" s="165"/>
      <c r="Z606" s="165"/>
    </row>
    <row r="607" spans="16:26" ht="10.199999999999999" customHeight="1">
      <c r="P607" s="165"/>
      <c r="Q607" s="165"/>
      <c r="R607" s="165"/>
      <c r="S607" s="165"/>
      <c r="T607" s="165"/>
      <c r="U607" s="165"/>
      <c r="V607" s="165"/>
      <c r="W607" s="165"/>
      <c r="X607" s="165"/>
      <c r="Y607" s="165"/>
      <c r="Z607" s="165"/>
    </row>
    <row r="608" spans="16:26" ht="10.199999999999999" customHeight="1">
      <c r="P608" s="165"/>
      <c r="Q608" s="165"/>
      <c r="R608" s="165"/>
      <c r="S608" s="165"/>
      <c r="T608" s="165"/>
      <c r="U608" s="165"/>
      <c r="V608" s="165"/>
      <c r="W608" s="165"/>
      <c r="X608" s="165"/>
      <c r="Y608" s="165"/>
      <c r="Z608" s="165"/>
    </row>
    <row r="609" spans="16:26" ht="10.199999999999999" customHeight="1">
      <c r="P609" s="165"/>
      <c r="Q609" s="165"/>
      <c r="R609" s="165"/>
      <c r="S609" s="165"/>
      <c r="T609" s="165"/>
      <c r="U609" s="165"/>
      <c r="V609" s="165"/>
      <c r="W609" s="165"/>
      <c r="X609" s="165"/>
      <c r="Y609" s="165"/>
      <c r="Z609" s="165"/>
    </row>
    <row r="610" spans="16:26" ht="10.199999999999999" customHeight="1">
      <c r="P610" s="165"/>
      <c r="Q610" s="165"/>
      <c r="R610" s="165"/>
      <c r="S610" s="165"/>
      <c r="T610" s="165"/>
      <c r="U610" s="165"/>
      <c r="V610" s="165"/>
      <c r="W610" s="165"/>
      <c r="X610" s="165"/>
      <c r="Y610" s="165"/>
      <c r="Z610" s="165"/>
    </row>
    <row r="611" spans="16:26" ht="10.199999999999999" customHeight="1">
      <c r="P611" s="165"/>
      <c r="Q611" s="165"/>
      <c r="R611" s="165"/>
      <c r="S611" s="165"/>
      <c r="T611" s="165"/>
      <c r="U611" s="165"/>
      <c r="V611" s="165"/>
      <c r="W611" s="165"/>
      <c r="X611" s="165"/>
      <c r="Y611" s="165"/>
      <c r="Z611" s="165"/>
    </row>
    <row r="612" spans="16:26" ht="10.199999999999999" customHeight="1">
      <c r="P612" s="165"/>
      <c r="Q612" s="165"/>
      <c r="R612" s="165"/>
      <c r="S612" s="165"/>
      <c r="T612" s="165"/>
      <c r="U612" s="165"/>
      <c r="V612" s="165"/>
      <c r="W612" s="165"/>
      <c r="X612" s="165"/>
      <c r="Y612" s="165"/>
      <c r="Z612" s="165"/>
    </row>
    <row r="613" spans="16:26" ht="10.199999999999999" customHeight="1">
      <c r="P613" s="165"/>
      <c r="Q613" s="165"/>
      <c r="R613" s="165"/>
      <c r="S613" s="165"/>
      <c r="T613" s="165"/>
      <c r="U613" s="165"/>
      <c r="V613" s="165"/>
      <c r="W613" s="165"/>
      <c r="X613" s="165"/>
      <c r="Y613" s="165"/>
      <c r="Z613" s="165"/>
    </row>
    <row r="614" spans="16:26" ht="10.199999999999999" customHeight="1">
      <c r="P614" s="165"/>
      <c r="Q614" s="165"/>
      <c r="R614" s="165"/>
      <c r="S614" s="165"/>
      <c r="T614" s="165"/>
      <c r="U614" s="165"/>
      <c r="V614" s="165"/>
      <c r="W614" s="165"/>
      <c r="X614" s="165"/>
      <c r="Y614" s="165"/>
      <c r="Z614" s="165"/>
    </row>
    <row r="615" spans="16:26" ht="10.199999999999999" customHeight="1">
      <c r="P615" s="165"/>
      <c r="Q615" s="165"/>
      <c r="R615" s="165"/>
      <c r="S615" s="165"/>
      <c r="T615" s="165"/>
      <c r="U615" s="165"/>
      <c r="V615" s="165"/>
      <c r="W615" s="165"/>
      <c r="X615" s="165"/>
      <c r="Y615" s="165"/>
      <c r="Z615" s="165"/>
    </row>
    <row r="616" spans="16:26" ht="10.199999999999999" customHeight="1">
      <c r="P616" s="165"/>
      <c r="Q616" s="165"/>
      <c r="R616" s="165"/>
      <c r="S616" s="165"/>
      <c r="T616" s="165"/>
      <c r="U616" s="165"/>
      <c r="V616" s="165"/>
      <c r="W616" s="165"/>
      <c r="X616" s="165"/>
      <c r="Y616" s="165"/>
      <c r="Z616" s="165"/>
    </row>
    <row r="617" spans="16:26" ht="10.199999999999999" customHeight="1">
      <c r="P617" s="165"/>
      <c r="Q617" s="165"/>
      <c r="R617" s="165"/>
      <c r="S617" s="165"/>
      <c r="T617" s="165"/>
      <c r="U617" s="165"/>
      <c r="V617" s="165"/>
      <c r="W617" s="165"/>
      <c r="X617" s="165"/>
      <c r="Y617" s="165"/>
      <c r="Z617" s="165"/>
    </row>
    <row r="618" spans="16:26" ht="10.199999999999999" customHeight="1">
      <c r="P618" s="165"/>
      <c r="Q618" s="165"/>
      <c r="R618" s="165"/>
      <c r="S618" s="165"/>
      <c r="T618" s="165"/>
      <c r="U618" s="165"/>
      <c r="V618" s="165"/>
      <c r="W618" s="165"/>
      <c r="X618" s="165"/>
      <c r="Y618" s="165"/>
      <c r="Z618" s="165"/>
    </row>
    <row r="619" spans="16:26" ht="10.199999999999999" customHeight="1">
      <c r="P619" s="165"/>
      <c r="Q619" s="165"/>
      <c r="R619" s="165"/>
      <c r="S619" s="165"/>
      <c r="T619" s="165"/>
      <c r="U619" s="165"/>
      <c r="V619" s="165"/>
      <c r="W619" s="165"/>
      <c r="X619" s="165"/>
      <c r="Y619" s="165"/>
      <c r="Z619" s="165"/>
    </row>
    <row r="620" spans="16:26" ht="10.199999999999999" customHeight="1">
      <c r="P620" s="165"/>
      <c r="Q620" s="165"/>
      <c r="R620" s="165"/>
      <c r="S620" s="165"/>
      <c r="T620" s="165"/>
      <c r="U620" s="165"/>
      <c r="V620" s="165"/>
      <c r="W620" s="165"/>
      <c r="X620" s="165"/>
      <c r="Y620" s="165"/>
      <c r="Z620" s="165"/>
    </row>
    <row r="621" spans="16:26" ht="10.199999999999999" customHeight="1">
      <c r="P621" s="165"/>
      <c r="Q621" s="165"/>
      <c r="R621" s="165"/>
      <c r="S621" s="165"/>
      <c r="T621" s="165"/>
      <c r="U621" s="165"/>
      <c r="V621" s="165"/>
      <c r="W621" s="165"/>
      <c r="X621" s="165"/>
      <c r="Y621" s="165"/>
      <c r="Z621" s="165"/>
    </row>
    <row r="622" spans="16:26" ht="10.199999999999999" customHeight="1">
      <c r="P622" s="165"/>
      <c r="Q622" s="165"/>
      <c r="R622" s="165"/>
      <c r="S622" s="165"/>
      <c r="T622" s="165"/>
      <c r="U622" s="165"/>
      <c r="V622" s="165"/>
      <c r="W622" s="165"/>
      <c r="X622" s="165"/>
      <c r="Y622" s="165"/>
      <c r="Z622" s="165"/>
    </row>
    <row r="623" spans="16:26" ht="10.199999999999999" customHeight="1">
      <c r="P623" s="165"/>
      <c r="Q623" s="165"/>
      <c r="R623" s="165"/>
      <c r="S623" s="165"/>
      <c r="T623" s="165"/>
      <c r="U623" s="165"/>
      <c r="V623" s="165"/>
      <c r="W623" s="165"/>
      <c r="X623" s="165"/>
      <c r="Y623" s="165"/>
      <c r="Z623" s="165"/>
    </row>
    <row r="624" spans="16:26" ht="10.199999999999999" customHeight="1">
      <c r="P624" s="165"/>
      <c r="Q624" s="165"/>
      <c r="R624" s="165"/>
      <c r="S624" s="165"/>
      <c r="T624" s="165"/>
      <c r="U624" s="165"/>
      <c r="V624" s="165"/>
      <c r="W624" s="165"/>
      <c r="X624" s="165"/>
      <c r="Y624" s="165"/>
      <c r="Z624" s="165"/>
    </row>
    <row r="625" spans="16:26" ht="10.199999999999999" customHeight="1">
      <c r="P625" s="165"/>
      <c r="Q625" s="165"/>
      <c r="R625" s="165"/>
      <c r="S625" s="165"/>
      <c r="T625" s="165"/>
      <c r="U625" s="165"/>
      <c r="V625" s="165"/>
      <c r="W625" s="165"/>
      <c r="X625" s="165"/>
      <c r="Y625" s="165"/>
      <c r="Z625" s="165"/>
    </row>
    <row r="626" spans="16:26" ht="10.199999999999999" customHeight="1">
      <c r="P626" s="165"/>
      <c r="Q626" s="165"/>
      <c r="R626" s="165"/>
      <c r="S626" s="165"/>
      <c r="T626" s="165"/>
      <c r="U626" s="165"/>
      <c r="V626" s="165"/>
      <c r="W626" s="165"/>
      <c r="X626" s="165"/>
      <c r="Y626" s="165"/>
      <c r="Z626" s="165"/>
    </row>
    <row r="627" spans="16:26" ht="10.199999999999999" customHeight="1">
      <c r="P627" s="165"/>
      <c r="Q627" s="165"/>
      <c r="R627" s="165"/>
      <c r="S627" s="165"/>
      <c r="T627" s="165"/>
      <c r="U627" s="165"/>
      <c r="V627" s="165"/>
      <c r="W627" s="165"/>
      <c r="X627" s="165"/>
      <c r="Y627" s="165"/>
      <c r="Z627" s="165"/>
    </row>
    <row r="628" spans="16:26" ht="10.199999999999999" customHeight="1">
      <c r="P628" s="165"/>
      <c r="Q628" s="165"/>
      <c r="R628" s="165"/>
      <c r="S628" s="165"/>
      <c r="T628" s="165"/>
      <c r="U628" s="165"/>
      <c r="V628" s="165"/>
      <c r="W628" s="165"/>
      <c r="X628" s="165"/>
      <c r="Y628" s="165"/>
      <c r="Z628" s="165"/>
    </row>
    <row r="629" spans="16:26" ht="10.199999999999999" customHeight="1">
      <c r="P629" s="165"/>
      <c r="Q629" s="165"/>
      <c r="R629" s="165"/>
      <c r="S629" s="165"/>
      <c r="T629" s="165"/>
      <c r="U629" s="165"/>
      <c r="V629" s="165"/>
      <c r="W629" s="165"/>
      <c r="X629" s="165"/>
      <c r="Y629" s="165"/>
      <c r="Z629" s="165"/>
    </row>
    <row r="630" spans="16:26" ht="10.199999999999999" customHeight="1">
      <c r="P630" s="165"/>
      <c r="Q630" s="165"/>
      <c r="R630" s="165"/>
      <c r="S630" s="165"/>
      <c r="T630" s="165"/>
      <c r="U630" s="165"/>
      <c r="V630" s="165"/>
      <c r="W630" s="165"/>
      <c r="X630" s="165"/>
      <c r="Y630" s="165"/>
      <c r="Z630" s="165"/>
    </row>
    <row r="631" spans="16:26" ht="10.199999999999999" customHeight="1">
      <c r="P631" s="165"/>
      <c r="Q631" s="165"/>
      <c r="R631" s="165"/>
      <c r="S631" s="165"/>
      <c r="T631" s="165"/>
      <c r="U631" s="165"/>
      <c r="V631" s="165"/>
      <c r="W631" s="165"/>
      <c r="X631" s="165"/>
      <c r="Y631" s="165"/>
      <c r="Z631" s="165"/>
    </row>
    <row r="632" spans="16:26" ht="10.199999999999999" customHeight="1">
      <c r="P632" s="165"/>
      <c r="Q632" s="165"/>
      <c r="R632" s="165"/>
      <c r="S632" s="165"/>
      <c r="T632" s="165"/>
      <c r="U632" s="165"/>
      <c r="V632" s="165"/>
      <c r="W632" s="165"/>
      <c r="X632" s="165"/>
      <c r="Y632" s="165"/>
      <c r="Z632" s="165"/>
    </row>
    <row r="633" spans="16:26" ht="10.199999999999999" customHeight="1">
      <c r="P633" s="165"/>
      <c r="Q633" s="165"/>
      <c r="R633" s="165"/>
      <c r="S633" s="165"/>
      <c r="T633" s="165"/>
      <c r="U633" s="165"/>
      <c r="V633" s="165"/>
      <c r="W633" s="165"/>
      <c r="X633" s="165"/>
      <c r="Y633" s="165"/>
      <c r="Z633" s="165"/>
    </row>
    <row r="634" spans="16:26" ht="10.199999999999999" customHeight="1">
      <c r="P634" s="165"/>
      <c r="Q634" s="165"/>
      <c r="R634" s="165"/>
      <c r="S634" s="165"/>
      <c r="T634" s="165"/>
      <c r="U634" s="165"/>
      <c r="V634" s="165"/>
      <c r="W634" s="165"/>
      <c r="X634" s="165"/>
      <c r="Y634" s="165"/>
      <c r="Z634" s="165"/>
    </row>
    <row r="635" spans="16:26" ht="10.199999999999999" customHeight="1">
      <c r="P635" s="165"/>
      <c r="Q635" s="165"/>
      <c r="R635" s="165"/>
      <c r="S635" s="165"/>
      <c r="T635" s="165"/>
      <c r="U635" s="165"/>
      <c r="V635" s="165"/>
      <c r="W635" s="165"/>
      <c r="X635" s="165"/>
      <c r="Y635" s="165"/>
      <c r="Z635" s="165"/>
    </row>
    <row r="636" spans="16:26" ht="10.199999999999999" customHeight="1">
      <c r="P636" s="165"/>
      <c r="Q636" s="165"/>
      <c r="R636" s="165"/>
      <c r="S636" s="165"/>
      <c r="T636" s="165"/>
      <c r="U636" s="165"/>
      <c r="V636" s="165"/>
      <c r="W636" s="165"/>
      <c r="X636" s="165"/>
      <c r="Y636" s="165"/>
      <c r="Z636" s="165"/>
    </row>
    <row r="637" spans="16:26" ht="10.199999999999999" customHeight="1">
      <c r="P637" s="165"/>
      <c r="Q637" s="165"/>
      <c r="R637" s="165"/>
      <c r="S637" s="165"/>
      <c r="T637" s="165"/>
      <c r="U637" s="165"/>
      <c r="V637" s="165"/>
      <c r="W637" s="165"/>
      <c r="X637" s="165"/>
      <c r="Y637" s="165"/>
      <c r="Z637" s="165"/>
    </row>
    <row r="638" spans="16:26" ht="10.199999999999999" customHeight="1">
      <c r="P638" s="165"/>
      <c r="Q638" s="165"/>
      <c r="R638" s="165"/>
      <c r="S638" s="165"/>
      <c r="T638" s="165"/>
      <c r="U638" s="165"/>
      <c r="V638" s="165"/>
      <c r="W638" s="165"/>
      <c r="X638" s="165"/>
      <c r="Y638" s="165"/>
      <c r="Z638" s="165"/>
    </row>
    <row r="639" spans="16:26" ht="10.199999999999999" customHeight="1">
      <c r="P639" s="165"/>
      <c r="Q639" s="165"/>
      <c r="R639" s="165"/>
      <c r="S639" s="165"/>
      <c r="T639" s="165"/>
      <c r="U639" s="165"/>
      <c r="V639" s="165"/>
      <c r="W639" s="165"/>
      <c r="X639" s="165"/>
      <c r="Y639" s="165"/>
      <c r="Z639" s="165"/>
    </row>
    <row r="640" spans="16:26" ht="10.199999999999999" customHeight="1">
      <c r="P640" s="165"/>
      <c r="Q640" s="165"/>
      <c r="R640" s="165"/>
      <c r="S640" s="165"/>
      <c r="T640" s="165"/>
      <c r="U640" s="165"/>
      <c r="V640" s="165"/>
      <c r="W640" s="165"/>
      <c r="X640" s="165"/>
      <c r="Y640" s="165"/>
      <c r="Z640" s="165"/>
    </row>
    <row r="641" spans="16:26" ht="10.199999999999999" customHeight="1">
      <c r="P641" s="165"/>
      <c r="Q641" s="165"/>
      <c r="R641" s="165"/>
      <c r="S641" s="165"/>
      <c r="T641" s="165"/>
      <c r="U641" s="165"/>
      <c r="V641" s="165"/>
      <c r="W641" s="165"/>
      <c r="X641" s="165"/>
      <c r="Y641" s="165"/>
      <c r="Z641" s="165"/>
    </row>
    <row r="642" spans="16:26" ht="10.199999999999999" customHeight="1">
      <c r="P642" s="165"/>
      <c r="Q642" s="165"/>
      <c r="R642" s="165"/>
      <c r="S642" s="165"/>
      <c r="T642" s="165"/>
      <c r="U642" s="165"/>
      <c r="V642" s="165"/>
      <c r="W642" s="165"/>
      <c r="X642" s="165"/>
      <c r="Y642" s="165"/>
      <c r="Z642" s="165"/>
    </row>
    <row r="643" spans="16:26" ht="10.199999999999999" customHeight="1">
      <c r="P643" s="165"/>
      <c r="Q643" s="165"/>
      <c r="R643" s="165"/>
      <c r="S643" s="165"/>
      <c r="T643" s="165"/>
      <c r="U643" s="165"/>
      <c r="V643" s="165"/>
      <c r="W643" s="165"/>
      <c r="X643" s="165"/>
      <c r="Y643" s="165"/>
      <c r="Z643" s="165"/>
    </row>
    <row r="644" spans="16:26" ht="10.199999999999999" customHeight="1">
      <c r="P644" s="165"/>
      <c r="Q644" s="165"/>
      <c r="R644" s="165"/>
      <c r="S644" s="165"/>
      <c r="T644" s="165"/>
      <c r="U644" s="165"/>
      <c r="V644" s="165"/>
      <c r="W644" s="165"/>
      <c r="X644" s="165"/>
      <c r="Y644" s="165"/>
      <c r="Z644" s="165"/>
    </row>
    <row r="645" spans="16:26" ht="10.199999999999999" customHeight="1">
      <c r="P645" s="165"/>
      <c r="Q645" s="165"/>
      <c r="R645" s="165"/>
      <c r="S645" s="165"/>
      <c r="T645" s="165"/>
      <c r="U645" s="165"/>
      <c r="V645" s="165"/>
      <c r="W645" s="165"/>
      <c r="X645" s="165"/>
      <c r="Y645" s="165"/>
      <c r="Z645" s="165"/>
    </row>
    <row r="646" spans="16:26" ht="10.199999999999999" customHeight="1">
      <c r="P646" s="165"/>
      <c r="Q646" s="165"/>
      <c r="R646" s="165"/>
      <c r="S646" s="165"/>
      <c r="T646" s="165"/>
      <c r="U646" s="165"/>
      <c r="V646" s="165"/>
      <c r="W646" s="165"/>
      <c r="X646" s="165"/>
      <c r="Y646" s="165"/>
      <c r="Z646" s="165"/>
    </row>
    <row r="647" spans="16:26" ht="10.199999999999999" customHeight="1">
      <c r="P647" s="165"/>
      <c r="Q647" s="165"/>
      <c r="R647" s="165"/>
      <c r="S647" s="165"/>
      <c r="T647" s="165"/>
      <c r="U647" s="165"/>
      <c r="V647" s="165"/>
      <c r="W647" s="165"/>
      <c r="X647" s="165"/>
      <c r="Y647" s="165"/>
      <c r="Z647" s="165"/>
    </row>
    <row r="648" spans="16:26" ht="10.199999999999999" customHeight="1">
      <c r="P648" s="165"/>
      <c r="Q648" s="165"/>
      <c r="R648" s="165"/>
      <c r="S648" s="165"/>
      <c r="T648" s="165"/>
      <c r="U648" s="165"/>
      <c r="V648" s="165"/>
      <c r="W648" s="165"/>
      <c r="X648" s="165"/>
      <c r="Y648" s="165"/>
      <c r="Z648" s="165"/>
    </row>
    <row r="649" spans="16:26" ht="10.199999999999999" customHeight="1">
      <c r="P649" s="165"/>
      <c r="Q649" s="165"/>
      <c r="R649" s="165"/>
      <c r="S649" s="165"/>
      <c r="T649" s="165"/>
      <c r="U649" s="165"/>
      <c r="V649" s="165"/>
      <c r="W649" s="165"/>
      <c r="X649" s="165"/>
      <c r="Y649" s="165"/>
      <c r="Z649" s="165"/>
    </row>
    <row r="650" spans="16:26" ht="10.199999999999999" customHeight="1">
      <c r="P650" s="165"/>
      <c r="Q650" s="165"/>
      <c r="R650" s="165"/>
      <c r="S650" s="165"/>
      <c r="T650" s="165"/>
      <c r="U650" s="165"/>
      <c r="V650" s="165"/>
      <c r="W650" s="165"/>
      <c r="X650" s="165"/>
      <c r="Y650" s="165"/>
      <c r="Z650" s="165"/>
    </row>
    <row r="651" spans="16:26" ht="10.199999999999999" customHeight="1">
      <c r="P651" s="165"/>
      <c r="Q651" s="165"/>
      <c r="R651" s="165"/>
      <c r="S651" s="165"/>
      <c r="T651" s="165"/>
      <c r="U651" s="165"/>
      <c r="V651" s="165"/>
      <c r="W651" s="165"/>
      <c r="X651" s="165"/>
      <c r="Y651" s="165"/>
      <c r="Z651" s="165"/>
    </row>
    <row r="652" spans="16:26" ht="10.199999999999999" customHeight="1">
      <c r="P652" s="165"/>
      <c r="Q652" s="165"/>
      <c r="R652" s="165"/>
      <c r="S652" s="165"/>
      <c r="T652" s="165"/>
      <c r="U652" s="165"/>
      <c r="V652" s="165"/>
      <c r="W652" s="165"/>
      <c r="X652" s="165"/>
      <c r="Y652" s="165"/>
      <c r="Z652" s="165"/>
    </row>
    <row r="653" spans="16:26" ht="10.199999999999999" customHeight="1">
      <c r="P653" s="165"/>
      <c r="Q653" s="165"/>
      <c r="R653" s="165"/>
      <c r="S653" s="165"/>
      <c r="T653" s="165"/>
      <c r="U653" s="165"/>
      <c r="V653" s="165"/>
      <c r="W653" s="165"/>
      <c r="X653" s="165"/>
      <c r="Y653" s="165"/>
      <c r="Z653" s="165"/>
    </row>
    <row r="654" spans="16:26" ht="10.199999999999999" customHeight="1">
      <c r="P654" s="165"/>
      <c r="Q654" s="165"/>
      <c r="R654" s="165"/>
      <c r="S654" s="165"/>
      <c r="T654" s="165"/>
      <c r="U654" s="165"/>
      <c r="V654" s="165"/>
      <c r="W654" s="165"/>
      <c r="X654" s="165"/>
      <c r="Y654" s="165"/>
      <c r="Z654" s="165"/>
    </row>
    <row r="655" spans="16:26" ht="10.199999999999999" customHeight="1">
      <c r="P655" s="165"/>
      <c r="Q655" s="165"/>
      <c r="R655" s="165"/>
      <c r="S655" s="165"/>
      <c r="T655" s="165"/>
      <c r="U655" s="165"/>
      <c r="V655" s="165"/>
      <c r="W655" s="165"/>
      <c r="X655" s="165"/>
      <c r="Y655" s="165"/>
      <c r="Z655" s="165"/>
    </row>
    <row r="656" spans="16:26" ht="10.199999999999999" customHeight="1">
      <c r="P656" s="165"/>
      <c r="Q656" s="165"/>
      <c r="R656" s="165"/>
      <c r="S656" s="165"/>
      <c r="T656" s="165"/>
      <c r="U656" s="165"/>
      <c r="V656" s="165"/>
      <c r="W656" s="165"/>
      <c r="X656" s="165"/>
      <c r="Y656" s="165"/>
      <c r="Z656" s="165"/>
    </row>
    <row r="657" spans="16:26" ht="10.199999999999999" customHeight="1">
      <c r="P657" s="165"/>
      <c r="Q657" s="165"/>
      <c r="R657" s="165"/>
      <c r="S657" s="165"/>
      <c r="T657" s="165"/>
      <c r="U657" s="165"/>
      <c r="V657" s="165"/>
      <c r="W657" s="165"/>
      <c r="X657" s="165"/>
      <c r="Y657" s="165"/>
      <c r="Z657" s="165"/>
    </row>
    <row r="658" spans="16:26" ht="10.199999999999999" customHeight="1">
      <c r="P658" s="165"/>
      <c r="Q658" s="165"/>
      <c r="R658" s="165"/>
      <c r="S658" s="165"/>
      <c r="T658" s="165"/>
      <c r="U658" s="165"/>
      <c r="V658" s="165"/>
      <c r="W658" s="165"/>
      <c r="X658" s="165"/>
      <c r="Y658" s="165"/>
      <c r="Z658" s="165"/>
    </row>
    <row r="659" spans="16:26" ht="10.199999999999999" customHeight="1">
      <c r="P659" s="165"/>
      <c r="Q659" s="165"/>
      <c r="R659" s="165"/>
      <c r="S659" s="165"/>
      <c r="T659" s="165"/>
      <c r="U659" s="165"/>
      <c r="V659" s="165"/>
      <c r="W659" s="165"/>
      <c r="X659" s="165"/>
      <c r="Y659" s="165"/>
      <c r="Z659" s="165"/>
    </row>
    <row r="660" spans="16:26" ht="10.199999999999999" customHeight="1">
      <c r="P660" s="165"/>
      <c r="Q660" s="165"/>
      <c r="R660" s="165"/>
      <c r="S660" s="165"/>
      <c r="T660" s="165"/>
      <c r="U660" s="165"/>
      <c r="V660" s="165"/>
      <c r="W660" s="165"/>
      <c r="X660" s="165"/>
      <c r="Y660" s="165"/>
      <c r="Z660" s="165"/>
    </row>
    <row r="661" spans="16:26" ht="10.199999999999999" customHeight="1">
      <c r="P661" s="165"/>
      <c r="Q661" s="165"/>
      <c r="R661" s="165"/>
      <c r="S661" s="165"/>
      <c r="T661" s="165"/>
      <c r="U661" s="165"/>
      <c r="V661" s="165"/>
      <c r="W661" s="165"/>
      <c r="X661" s="165"/>
      <c r="Y661" s="165"/>
      <c r="Z661" s="165"/>
    </row>
    <row r="662" spans="16:26" ht="10.199999999999999" customHeight="1">
      <c r="P662" s="165"/>
      <c r="Q662" s="165"/>
      <c r="R662" s="165"/>
      <c r="S662" s="165"/>
      <c r="T662" s="165"/>
      <c r="U662" s="165"/>
      <c r="V662" s="165"/>
      <c r="W662" s="165"/>
      <c r="X662" s="165"/>
      <c r="Y662" s="165"/>
      <c r="Z662" s="165"/>
    </row>
    <row r="663" spans="16:26" ht="10.199999999999999" customHeight="1">
      <c r="P663" s="165"/>
      <c r="Q663" s="165"/>
      <c r="R663" s="165"/>
      <c r="S663" s="165"/>
      <c r="T663" s="165"/>
      <c r="U663" s="165"/>
      <c r="V663" s="165"/>
      <c r="W663" s="165"/>
      <c r="X663" s="165"/>
      <c r="Y663" s="165"/>
      <c r="Z663" s="165"/>
    </row>
    <row r="664" spans="16:26" ht="10.199999999999999" customHeight="1">
      <c r="P664" s="165"/>
      <c r="Q664" s="165"/>
      <c r="R664" s="165"/>
      <c r="S664" s="165"/>
      <c r="T664" s="165"/>
      <c r="U664" s="165"/>
      <c r="V664" s="165"/>
      <c r="W664" s="165"/>
      <c r="X664" s="165"/>
      <c r="Y664" s="165"/>
      <c r="Z664" s="165"/>
    </row>
    <row r="665" spans="16:26" ht="10.199999999999999" customHeight="1">
      <c r="P665" s="165"/>
      <c r="Q665" s="165"/>
      <c r="R665" s="165"/>
      <c r="S665" s="165"/>
      <c r="T665" s="165"/>
      <c r="U665" s="165"/>
      <c r="V665" s="165"/>
      <c r="W665" s="165"/>
      <c r="X665" s="165"/>
      <c r="Y665" s="165"/>
      <c r="Z665" s="165"/>
    </row>
    <row r="666" spans="16:26" ht="10.199999999999999" customHeight="1">
      <c r="P666" s="165"/>
      <c r="Q666" s="165"/>
      <c r="R666" s="165"/>
      <c r="S666" s="165"/>
      <c r="T666" s="165"/>
      <c r="U666" s="165"/>
      <c r="V666" s="165"/>
      <c r="W666" s="165"/>
      <c r="X666" s="165"/>
      <c r="Y666" s="165"/>
      <c r="Z666" s="165"/>
    </row>
    <row r="667" spans="16:26" ht="10.199999999999999" customHeight="1">
      <c r="P667" s="165"/>
      <c r="Q667" s="165"/>
      <c r="R667" s="165"/>
      <c r="S667" s="165"/>
      <c r="T667" s="165"/>
      <c r="U667" s="165"/>
      <c r="V667" s="165"/>
      <c r="W667" s="165"/>
      <c r="X667" s="165"/>
      <c r="Y667" s="165"/>
      <c r="Z667" s="165"/>
    </row>
    <row r="668" spans="16:26" ht="10.199999999999999" customHeight="1">
      <c r="P668" s="165"/>
      <c r="Q668" s="165"/>
      <c r="R668" s="165"/>
      <c r="S668" s="165"/>
      <c r="T668" s="165"/>
      <c r="U668" s="165"/>
      <c r="V668" s="165"/>
      <c r="W668" s="165"/>
      <c r="X668" s="165"/>
      <c r="Y668" s="165"/>
      <c r="Z668" s="165"/>
    </row>
    <row r="669" spans="16:26" ht="10.199999999999999" customHeight="1">
      <c r="P669" s="165"/>
      <c r="Q669" s="165"/>
      <c r="R669" s="165"/>
      <c r="S669" s="165"/>
      <c r="T669" s="165"/>
      <c r="U669" s="165"/>
      <c r="V669" s="165"/>
      <c r="W669" s="165"/>
      <c r="X669" s="165"/>
      <c r="Y669" s="165"/>
      <c r="Z669" s="165"/>
    </row>
    <row r="670" spans="16:26" ht="10.199999999999999" customHeight="1">
      <c r="P670" s="165"/>
      <c r="Q670" s="165"/>
      <c r="R670" s="165"/>
      <c r="S670" s="165"/>
      <c r="T670" s="165"/>
      <c r="U670" s="165"/>
      <c r="V670" s="165"/>
      <c r="W670" s="165"/>
      <c r="X670" s="165"/>
      <c r="Y670" s="165"/>
      <c r="Z670" s="165"/>
    </row>
    <row r="671" spans="16:26" ht="10.199999999999999" customHeight="1">
      <c r="P671" s="165"/>
      <c r="Q671" s="165"/>
      <c r="R671" s="165"/>
      <c r="S671" s="165"/>
      <c r="T671" s="165"/>
      <c r="U671" s="165"/>
      <c r="V671" s="165"/>
      <c r="W671" s="165"/>
      <c r="X671" s="165"/>
      <c r="Y671" s="165"/>
      <c r="Z671" s="165"/>
    </row>
    <row r="672" spans="16:26" ht="10.199999999999999" customHeight="1">
      <c r="P672" s="165"/>
      <c r="Q672" s="165"/>
      <c r="R672" s="165"/>
      <c r="S672" s="165"/>
      <c r="T672" s="165"/>
      <c r="U672" s="165"/>
      <c r="V672" s="165"/>
      <c r="W672" s="165"/>
      <c r="X672" s="165"/>
      <c r="Y672" s="165"/>
      <c r="Z672" s="165"/>
    </row>
    <row r="673" spans="16:26" ht="10.199999999999999" customHeight="1">
      <c r="P673" s="165"/>
      <c r="Q673" s="165"/>
      <c r="R673" s="165"/>
      <c r="S673" s="165"/>
      <c r="T673" s="165"/>
      <c r="U673" s="165"/>
      <c r="V673" s="165"/>
      <c r="W673" s="165"/>
      <c r="X673" s="165"/>
      <c r="Y673" s="165"/>
      <c r="Z673" s="165"/>
    </row>
    <row r="674" spans="16:26" ht="10.199999999999999" customHeight="1">
      <c r="P674" s="165"/>
      <c r="Q674" s="165"/>
      <c r="R674" s="165"/>
      <c r="S674" s="165"/>
      <c r="T674" s="165"/>
      <c r="U674" s="165"/>
      <c r="V674" s="165"/>
      <c r="W674" s="165"/>
      <c r="X674" s="165"/>
      <c r="Y674" s="165"/>
      <c r="Z674" s="165"/>
    </row>
    <row r="675" spans="16:26" ht="10.199999999999999" customHeight="1">
      <c r="P675" s="165"/>
      <c r="Q675" s="165"/>
      <c r="R675" s="165"/>
      <c r="S675" s="165"/>
      <c r="T675" s="165"/>
      <c r="U675" s="165"/>
      <c r="V675" s="165"/>
      <c r="W675" s="165"/>
      <c r="X675" s="165"/>
      <c r="Y675" s="165"/>
      <c r="Z675" s="165"/>
    </row>
    <row r="676" spans="16:26" ht="10.199999999999999" customHeight="1">
      <c r="P676" s="165"/>
      <c r="Q676" s="165"/>
      <c r="R676" s="165"/>
      <c r="S676" s="165"/>
      <c r="T676" s="165"/>
      <c r="U676" s="165"/>
      <c r="V676" s="165"/>
      <c r="W676" s="165"/>
      <c r="X676" s="165"/>
      <c r="Y676" s="165"/>
      <c r="Z676" s="165"/>
    </row>
    <row r="677" spans="16:26" ht="10.199999999999999" customHeight="1">
      <c r="P677" s="165"/>
      <c r="Q677" s="165"/>
      <c r="R677" s="165"/>
      <c r="S677" s="165"/>
      <c r="T677" s="165"/>
      <c r="U677" s="165"/>
      <c r="V677" s="165"/>
      <c r="W677" s="165"/>
      <c r="X677" s="165"/>
      <c r="Y677" s="165"/>
      <c r="Z677" s="165"/>
    </row>
    <row r="678" spans="16:26" ht="10.199999999999999" customHeight="1">
      <c r="P678" s="165"/>
      <c r="Q678" s="165"/>
      <c r="R678" s="165"/>
      <c r="S678" s="165"/>
      <c r="T678" s="165"/>
      <c r="U678" s="165"/>
      <c r="V678" s="165"/>
      <c r="W678" s="165"/>
      <c r="X678" s="165"/>
      <c r="Y678" s="165"/>
      <c r="Z678" s="165"/>
    </row>
    <row r="679" spans="16:26" ht="10.199999999999999" customHeight="1">
      <c r="P679" s="165"/>
      <c r="Q679" s="165"/>
      <c r="R679" s="165"/>
      <c r="S679" s="165"/>
      <c r="T679" s="165"/>
      <c r="U679" s="165"/>
      <c r="V679" s="165"/>
      <c r="W679" s="165"/>
      <c r="X679" s="165"/>
      <c r="Y679" s="165"/>
      <c r="Z679" s="165"/>
    </row>
    <row r="680" spans="16:26" ht="10.199999999999999" customHeight="1">
      <c r="P680" s="165"/>
      <c r="Q680" s="165"/>
      <c r="R680" s="165"/>
      <c r="S680" s="165"/>
      <c r="T680" s="165"/>
      <c r="U680" s="165"/>
      <c r="V680" s="165"/>
      <c r="W680" s="165"/>
      <c r="X680" s="165"/>
      <c r="Y680" s="165"/>
      <c r="Z680" s="165"/>
    </row>
    <row r="681" spans="16:26" ht="10.199999999999999" customHeight="1">
      <c r="P681" s="165"/>
      <c r="Q681" s="165"/>
      <c r="R681" s="165"/>
      <c r="S681" s="165"/>
      <c r="T681" s="165"/>
      <c r="U681" s="165"/>
      <c r="V681" s="165"/>
      <c r="W681" s="165"/>
      <c r="X681" s="165"/>
      <c r="Y681" s="165"/>
      <c r="Z681" s="165"/>
    </row>
    <row r="682" spans="16:26" ht="10.199999999999999" customHeight="1">
      <c r="P682" s="165"/>
      <c r="Q682" s="165"/>
      <c r="R682" s="165"/>
      <c r="S682" s="165"/>
      <c r="T682" s="165"/>
      <c r="U682" s="165"/>
      <c r="V682" s="165"/>
      <c r="W682" s="165"/>
      <c r="X682" s="165"/>
      <c r="Y682" s="165"/>
      <c r="Z682" s="165"/>
    </row>
    <row r="683" spans="16:26" ht="10.199999999999999" customHeight="1">
      <c r="P683" s="165"/>
      <c r="Q683" s="165"/>
      <c r="R683" s="165"/>
      <c r="S683" s="165"/>
      <c r="T683" s="165"/>
      <c r="U683" s="165"/>
      <c r="V683" s="165"/>
      <c r="W683" s="165"/>
      <c r="X683" s="165"/>
      <c r="Y683" s="165"/>
      <c r="Z683" s="165"/>
    </row>
    <row r="684" spans="16:26" ht="10.199999999999999" customHeight="1">
      <c r="P684" s="165"/>
      <c r="Q684" s="165"/>
      <c r="R684" s="165"/>
      <c r="S684" s="165"/>
      <c r="T684" s="165"/>
      <c r="U684" s="165"/>
      <c r="V684" s="165"/>
      <c r="W684" s="165"/>
      <c r="X684" s="165"/>
      <c r="Y684" s="165"/>
      <c r="Z684" s="165"/>
    </row>
    <row r="685" spans="16:26" ht="10.199999999999999" customHeight="1">
      <c r="P685" s="165"/>
      <c r="Q685" s="165"/>
      <c r="R685" s="165"/>
      <c r="S685" s="165"/>
      <c r="T685" s="165"/>
      <c r="U685" s="165"/>
      <c r="V685" s="165"/>
      <c r="W685" s="165"/>
      <c r="X685" s="165"/>
      <c r="Y685" s="165"/>
      <c r="Z685" s="165"/>
    </row>
    <row r="686" spans="16:26" ht="10.199999999999999" customHeight="1">
      <c r="P686" s="165"/>
      <c r="Q686" s="165"/>
      <c r="R686" s="165"/>
      <c r="S686" s="165"/>
      <c r="T686" s="165"/>
      <c r="U686" s="165"/>
      <c r="V686" s="165"/>
      <c r="W686" s="165"/>
      <c r="X686" s="165"/>
      <c r="Y686" s="165"/>
      <c r="Z686" s="165"/>
    </row>
    <row r="687" spans="16:26" ht="10.199999999999999" customHeight="1">
      <c r="P687" s="165"/>
      <c r="Q687" s="165"/>
      <c r="R687" s="165"/>
      <c r="S687" s="165"/>
      <c r="T687" s="165"/>
      <c r="U687" s="165"/>
      <c r="V687" s="165"/>
      <c r="W687" s="165"/>
      <c r="X687" s="165"/>
      <c r="Y687" s="165"/>
      <c r="Z687" s="165"/>
    </row>
    <row r="688" spans="16:26" ht="10.199999999999999" customHeight="1">
      <c r="P688" s="165"/>
      <c r="Q688" s="165"/>
      <c r="R688" s="165"/>
      <c r="S688" s="165"/>
      <c r="T688" s="165"/>
      <c r="U688" s="165"/>
      <c r="V688" s="165"/>
      <c r="W688" s="165"/>
      <c r="X688" s="165"/>
      <c r="Y688" s="165"/>
      <c r="Z688" s="165"/>
    </row>
    <row r="689" spans="16:26" ht="10.199999999999999" customHeight="1">
      <c r="P689" s="165"/>
      <c r="Q689" s="165"/>
      <c r="R689" s="165"/>
      <c r="S689" s="165"/>
      <c r="T689" s="165"/>
      <c r="U689" s="165"/>
      <c r="V689" s="165"/>
      <c r="W689" s="165"/>
      <c r="X689" s="165"/>
      <c r="Y689" s="165"/>
      <c r="Z689" s="165"/>
    </row>
    <row r="690" spans="16:26" ht="10.199999999999999" customHeight="1">
      <c r="P690" s="165"/>
      <c r="Q690" s="165"/>
      <c r="R690" s="165"/>
      <c r="S690" s="165"/>
      <c r="T690" s="165"/>
      <c r="U690" s="165"/>
      <c r="V690" s="165"/>
      <c r="W690" s="165"/>
      <c r="X690" s="165"/>
      <c r="Y690" s="165"/>
      <c r="Z690" s="165"/>
    </row>
    <row r="691" spans="16:26" ht="10.199999999999999" customHeight="1">
      <c r="P691" s="165"/>
      <c r="Q691" s="165"/>
      <c r="R691" s="165"/>
      <c r="S691" s="165"/>
      <c r="T691" s="165"/>
      <c r="U691" s="165"/>
      <c r="V691" s="165"/>
      <c r="W691" s="165"/>
      <c r="X691" s="165"/>
      <c r="Y691" s="165"/>
      <c r="Z691" s="165"/>
    </row>
    <row r="692" spans="16:26" ht="10.199999999999999" customHeight="1">
      <c r="P692" s="165"/>
      <c r="Q692" s="165"/>
      <c r="R692" s="165"/>
      <c r="S692" s="165"/>
      <c r="T692" s="165"/>
      <c r="U692" s="165"/>
      <c r="V692" s="165"/>
      <c r="W692" s="165"/>
      <c r="X692" s="165"/>
      <c r="Y692" s="165"/>
      <c r="Z692" s="165"/>
    </row>
    <row r="693" spans="16:26" ht="10.199999999999999" customHeight="1">
      <c r="P693" s="165"/>
      <c r="Q693" s="165"/>
      <c r="R693" s="165"/>
      <c r="S693" s="165"/>
      <c r="T693" s="165"/>
      <c r="U693" s="165"/>
      <c r="V693" s="165"/>
      <c r="W693" s="165"/>
      <c r="X693" s="165"/>
      <c r="Y693" s="165"/>
      <c r="Z693" s="165"/>
    </row>
    <row r="694" spans="16:26" ht="10.199999999999999" customHeight="1">
      <c r="P694" s="165"/>
      <c r="Q694" s="165"/>
      <c r="R694" s="165"/>
      <c r="S694" s="165"/>
      <c r="T694" s="165"/>
      <c r="U694" s="165"/>
      <c r="V694" s="165"/>
      <c r="W694" s="165"/>
      <c r="X694" s="165"/>
      <c r="Y694" s="165"/>
      <c r="Z694" s="165"/>
    </row>
    <row r="695" spans="16:26" ht="10.199999999999999" customHeight="1">
      <c r="P695" s="165"/>
      <c r="Q695" s="165"/>
      <c r="R695" s="165"/>
      <c r="S695" s="165"/>
      <c r="T695" s="165"/>
      <c r="U695" s="165"/>
      <c r="V695" s="165"/>
      <c r="W695" s="165"/>
      <c r="X695" s="165"/>
      <c r="Y695" s="165"/>
      <c r="Z695" s="165"/>
    </row>
    <row r="696" spans="16:26" ht="10.199999999999999" customHeight="1">
      <c r="P696" s="165"/>
      <c r="Q696" s="165"/>
      <c r="R696" s="165"/>
      <c r="S696" s="165"/>
      <c r="T696" s="165"/>
      <c r="U696" s="165"/>
      <c r="V696" s="165"/>
      <c r="W696" s="165"/>
      <c r="X696" s="165"/>
      <c r="Y696" s="165"/>
      <c r="Z696" s="165"/>
    </row>
    <row r="697" spans="16:26" ht="10.199999999999999" customHeight="1">
      <c r="P697" s="165"/>
      <c r="Q697" s="165"/>
      <c r="R697" s="165"/>
      <c r="S697" s="165"/>
      <c r="T697" s="165"/>
      <c r="U697" s="165"/>
      <c r="V697" s="165"/>
      <c r="W697" s="165"/>
      <c r="X697" s="165"/>
      <c r="Y697" s="165"/>
      <c r="Z697" s="165"/>
    </row>
    <row r="698" spans="16:26" ht="10.199999999999999" customHeight="1">
      <c r="P698" s="165"/>
      <c r="Q698" s="165"/>
      <c r="R698" s="165"/>
      <c r="S698" s="165"/>
      <c r="T698" s="165"/>
      <c r="U698" s="165"/>
      <c r="V698" s="165"/>
      <c r="W698" s="165"/>
      <c r="X698" s="165"/>
      <c r="Y698" s="165"/>
      <c r="Z698" s="165"/>
    </row>
    <row r="699" spans="16:26" ht="10.199999999999999" customHeight="1">
      <c r="P699" s="165"/>
      <c r="Q699" s="165"/>
      <c r="R699" s="165"/>
      <c r="S699" s="165"/>
      <c r="T699" s="165"/>
      <c r="U699" s="165"/>
      <c r="V699" s="165"/>
      <c r="W699" s="165"/>
      <c r="X699" s="165"/>
      <c r="Y699" s="165"/>
      <c r="Z699" s="165"/>
    </row>
    <row r="700" spans="16:26" ht="10.199999999999999" customHeight="1">
      <c r="P700" s="165"/>
      <c r="Q700" s="165"/>
      <c r="R700" s="165"/>
      <c r="S700" s="165"/>
      <c r="T700" s="165"/>
      <c r="U700" s="165"/>
      <c r="V700" s="165"/>
      <c r="W700" s="165"/>
      <c r="X700" s="165"/>
      <c r="Y700" s="165"/>
      <c r="Z700" s="165"/>
    </row>
    <row r="701" spans="16:26" ht="10.199999999999999" customHeight="1">
      <c r="P701" s="165"/>
      <c r="Q701" s="165"/>
      <c r="R701" s="165"/>
      <c r="S701" s="165"/>
      <c r="T701" s="165"/>
      <c r="U701" s="165"/>
      <c r="V701" s="165"/>
      <c r="W701" s="165"/>
      <c r="X701" s="165"/>
      <c r="Y701" s="165"/>
      <c r="Z701" s="165"/>
    </row>
    <row r="702" spans="16:26" ht="10.199999999999999" customHeight="1">
      <c r="P702" s="165"/>
      <c r="Q702" s="165"/>
      <c r="R702" s="165"/>
      <c r="S702" s="165"/>
      <c r="T702" s="165"/>
      <c r="U702" s="165"/>
      <c r="V702" s="165"/>
      <c r="W702" s="165"/>
      <c r="X702" s="165"/>
      <c r="Y702" s="165"/>
      <c r="Z702" s="165"/>
    </row>
    <row r="703" spans="16:26" ht="10.199999999999999" customHeight="1">
      <c r="P703" s="165"/>
      <c r="Q703" s="165"/>
      <c r="R703" s="165"/>
      <c r="S703" s="165"/>
      <c r="T703" s="165"/>
      <c r="U703" s="165"/>
      <c r="V703" s="165"/>
      <c r="W703" s="165"/>
      <c r="X703" s="165"/>
      <c r="Y703" s="165"/>
      <c r="Z703" s="165"/>
    </row>
    <row r="704" spans="16:26" ht="10.199999999999999" customHeight="1">
      <c r="P704" s="165"/>
      <c r="Q704" s="165"/>
      <c r="R704" s="165"/>
      <c r="S704" s="165"/>
      <c r="T704" s="165"/>
      <c r="U704" s="165"/>
      <c r="V704" s="165"/>
      <c r="W704" s="165"/>
      <c r="X704" s="165"/>
      <c r="Y704" s="165"/>
      <c r="Z704" s="165"/>
    </row>
    <row r="705" spans="16:26" ht="10.199999999999999" customHeight="1">
      <c r="P705" s="165"/>
      <c r="Q705" s="165"/>
      <c r="R705" s="165"/>
      <c r="S705" s="165"/>
      <c r="T705" s="165"/>
      <c r="U705" s="165"/>
      <c r="V705" s="165"/>
      <c r="W705" s="165"/>
      <c r="X705" s="165"/>
      <c r="Y705" s="165"/>
      <c r="Z705" s="165"/>
    </row>
    <row r="706" spans="16:26" ht="10.199999999999999" customHeight="1">
      <c r="P706" s="165"/>
      <c r="Q706" s="165"/>
      <c r="R706" s="165"/>
      <c r="S706" s="165"/>
      <c r="T706" s="165"/>
      <c r="U706" s="165"/>
      <c r="V706" s="165"/>
      <c r="W706" s="165"/>
      <c r="X706" s="165"/>
      <c r="Y706" s="165"/>
      <c r="Z706" s="165"/>
    </row>
    <row r="707" spans="16:26" ht="10.199999999999999" customHeight="1">
      <c r="P707" s="165"/>
      <c r="Q707" s="165"/>
      <c r="R707" s="165"/>
      <c r="S707" s="165"/>
      <c r="T707" s="165"/>
      <c r="U707" s="165"/>
      <c r="V707" s="165"/>
      <c r="W707" s="165"/>
      <c r="X707" s="165"/>
      <c r="Y707" s="165"/>
      <c r="Z707" s="165"/>
    </row>
    <row r="708" spans="16:26" ht="10.199999999999999" customHeight="1">
      <c r="P708" s="165"/>
      <c r="Q708" s="165"/>
      <c r="R708" s="165"/>
      <c r="S708" s="165"/>
      <c r="T708" s="165"/>
      <c r="U708" s="165"/>
      <c r="V708" s="165"/>
      <c r="W708" s="165"/>
      <c r="X708" s="165"/>
      <c r="Y708" s="165"/>
      <c r="Z708" s="165"/>
    </row>
    <row r="709" spans="16:26" ht="10.199999999999999" customHeight="1">
      <c r="P709" s="165"/>
      <c r="Q709" s="165"/>
      <c r="R709" s="165"/>
      <c r="S709" s="165"/>
      <c r="T709" s="165"/>
      <c r="U709" s="165"/>
      <c r="V709" s="165"/>
      <c r="W709" s="165"/>
      <c r="X709" s="165"/>
      <c r="Y709" s="165"/>
      <c r="Z709" s="165"/>
    </row>
    <row r="710" spans="16:26" ht="10.199999999999999" customHeight="1">
      <c r="P710" s="165"/>
      <c r="Q710" s="165"/>
      <c r="R710" s="165"/>
      <c r="S710" s="165"/>
      <c r="T710" s="165"/>
      <c r="U710" s="165"/>
      <c r="V710" s="165"/>
      <c r="W710" s="165"/>
      <c r="X710" s="165"/>
      <c r="Y710" s="165"/>
      <c r="Z710" s="165"/>
    </row>
    <row r="711" spans="16:26" ht="10.199999999999999" customHeight="1">
      <c r="P711" s="165"/>
      <c r="Q711" s="165"/>
      <c r="R711" s="165"/>
      <c r="S711" s="165"/>
      <c r="T711" s="165"/>
      <c r="U711" s="165"/>
      <c r="V711" s="165"/>
      <c r="W711" s="165"/>
      <c r="X711" s="165"/>
      <c r="Y711" s="165"/>
      <c r="Z711" s="165"/>
    </row>
    <row r="712" spans="16:26" ht="10.199999999999999" customHeight="1">
      <c r="P712" s="165"/>
      <c r="Q712" s="165"/>
      <c r="R712" s="165"/>
      <c r="S712" s="165"/>
      <c r="T712" s="165"/>
      <c r="U712" s="165"/>
      <c r="V712" s="165"/>
      <c r="W712" s="165"/>
      <c r="X712" s="165"/>
      <c r="Y712" s="165"/>
      <c r="Z712" s="165"/>
    </row>
    <row r="713" spans="16:26" ht="10.199999999999999" customHeight="1">
      <c r="P713" s="165"/>
      <c r="Q713" s="165"/>
      <c r="R713" s="165"/>
      <c r="S713" s="165"/>
      <c r="T713" s="165"/>
      <c r="U713" s="165"/>
      <c r="V713" s="165"/>
      <c r="W713" s="165"/>
      <c r="X713" s="165"/>
      <c r="Y713" s="165"/>
      <c r="Z713" s="165"/>
    </row>
    <row r="714" spans="16:26" ht="10.199999999999999" customHeight="1">
      <c r="P714" s="165"/>
      <c r="Q714" s="165"/>
      <c r="R714" s="165"/>
      <c r="S714" s="165"/>
      <c r="T714" s="165"/>
      <c r="U714" s="165"/>
      <c r="V714" s="165"/>
      <c r="W714" s="165"/>
      <c r="X714" s="165"/>
      <c r="Y714" s="165"/>
      <c r="Z714" s="165"/>
    </row>
    <row r="715" spans="16:26" ht="10.199999999999999" customHeight="1">
      <c r="P715" s="165"/>
      <c r="Q715" s="165"/>
      <c r="R715" s="165"/>
      <c r="S715" s="165"/>
      <c r="T715" s="165"/>
      <c r="U715" s="165"/>
      <c r="V715" s="165"/>
      <c r="W715" s="165"/>
      <c r="X715" s="165"/>
      <c r="Y715" s="165"/>
      <c r="Z715" s="165"/>
    </row>
    <row r="716" spans="16:26" ht="10.199999999999999" customHeight="1">
      <c r="P716" s="165"/>
      <c r="Q716" s="165"/>
      <c r="R716" s="165"/>
      <c r="S716" s="165"/>
      <c r="T716" s="165"/>
      <c r="U716" s="165"/>
      <c r="V716" s="165"/>
      <c r="W716" s="165"/>
      <c r="X716" s="165"/>
      <c r="Y716" s="165"/>
      <c r="Z716" s="165"/>
    </row>
    <row r="717" spans="16:26" ht="10.199999999999999" customHeight="1">
      <c r="P717" s="165"/>
      <c r="Q717" s="165"/>
      <c r="R717" s="165"/>
      <c r="S717" s="165"/>
      <c r="T717" s="165"/>
      <c r="U717" s="165"/>
      <c r="V717" s="165"/>
      <c r="W717" s="165"/>
      <c r="X717" s="165"/>
      <c r="Y717" s="165"/>
      <c r="Z717" s="165"/>
    </row>
    <row r="718" spans="16:26" ht="10.199999999999999" customHeight="1">
      <c r="P718" s="165"/>
      <c r="Q718" s="165"/>
      <c r="R718" s="165"/>
      <c r="S718" s="165"/>
      <c r="T718" s="165"/>
      <c r="U718" s="165"/>
      <c r="V718" s="165"/>
      <c r="W718" s="165"/>
      <c r="X718" s="165"/>
      <c r="Y718" s="165"/>
      <c r="Z718" s="165"/>
    </row>
    <row r="719" spans="16:26" ht="10.199999999999999" customHeight="1">
      <c r="P719" s="165"/>
      <c r="Q719" s="165"/>
      <c r="R719" s="165"/>
      <c r="S719" s="165"/>
      <c r="T719" s="165"/>
      <c r="U719" s="165"/>
      <c r="V719" s="165"/>
      <c r="W719" s="165"/>
      <c r="X719" s="165"/>
      <c r="Y719" s="165"/>
      <c r="Z719" s="165"/>
    </row>
    <row r="720" spans="16:26" ht="10.199999999999999" customHeight="1">
      <c r="P720" s="165"/>
      <c r="Q720" s="165"/>
      <c r="R720" s="165"/>
      <c r="S720" s="165"/>
      <c r="T720" s="165"/>
      <c r="U720" s="165"/>
      <c r="V720" s="165"/>
      <c r="W720" s="165"/>
      <c r="X720" s="165"/>
      <c r="Y720" s="165"/>
      <c r="Z720" s="165"/>
    </row>
    <row r="721" spans="16:26" ht="10.199999999999999" customHeight="1">
      <c r="P721" s="165"/>
      <c r="Q721" s="165"/>
      <c r="R721" s="165"/>
      <c r="S721" s="165"/>
      <c r="T721" s="165"/>
      <c r="U721" s="165"/>
      <c r="V721" s="165"/>
      <c r="W721" s="165"/>
      <c r="X721" s="165"/>
      <c r="Y721" s="165"/>
      <c r="Z721" s="165"/>
    </row>
    <row r="722" spans="16:26" ht="10.199999999999999" customHeight="1">
      <c r="P722" s="165"/>
      <c r="Q722" s="165"/>
      <c r="R722" s="165"/>
      <c r="S722" s="165"/>
      <c r="T722" s="165"/>
      <c r="U722" s="165"/>
      <c r="V722" s="165"/>
      <c r="W722" s="165"/>
      <c r="X722" s="165"/>
      <c r="Y722" s="165"/>
      <c r="Z722" s="165"/>
    </row>
    <row r="723" spans="16:26" ht="10.199999999999999" customHeight="1">
      <c r="P723" s="165"/>
      <c r="Q723" s="165"/>
      <c r="R723" s="165"/>
      <c r="S723" s="165"/>
      <c r="T723" s="165"/>
      <c r="U723" s="165"/>
      <c r="V723" s="165"/>
      <c r="W723" s="165"/>
      <c r="X723" s="165"/>
      <c r="Y723" s="165"/>
      <c r="Z723" s="165"/>
    </row>
    <row r="724" spans="16:26" ht="10.199999999999999" customHeight="1">
      <c r="P724" s="165"/>
      <c r="Q724" s="165"/>
      <c r="R724" s="165"/>
      <c r="S724" s="165"/>
      <c r="T724" s="165"/>
      <c r="U724" s="165"/>
      <c r="V724" s="165"/>
      <c r="W724" s="165"/>
      <c r="X724" s="165"/>
      <c r="Y724" s="165"/>
      <c r="Z724" s="165"/>
    </row>
    <row r="725" spans="16:26" ht="10.199999999999999" customHeight="1">
      <c r="P725" s="165"/>
      <c r="Q725" s="165"/>
      <c r="R725" s="165"/>
      <c r="S725" s="165"/>
      <c r="T725" s="165"/>
      <c r="U725" s="165"/>
      <c r="V725" s="165"/>
      <c r="W725" s="165"/>
      <c r="X725" s="165"/>
      <c r="Y725" s="165"/>
      <c r="Z725" s="165"/>
    </row>
    <row r="726" spans="16:26" ht="10.199999999999999" customHeight="1">
      <c r="P726" s="165"/>
      <c r="Q726" s="165"/>
      <c r="R726" s="165"/>
      <c r="S726" s="165"/>
      <c r="T726" s="165"/>
      <c r="U726" s="165"/>
      <c r="V726" s="165"/>
      <c r="W726" s="165"/>
      <c r="X726" s="165"/>
      <c r="Y726" s="165"/>
      <c r="Z726" s="165"/>
    </row>
    <row r="727" spans="16:26" ht="10.199999999999999" customHeight="1">
      <c r="P727" s="165"/>
      <c r="Q727" s="165"/>
      <c r="R727" s="165"/>
      <c r="S727" s="165"/>
      <c r="T727" s="165"/>
      <c r="U727" s="165"/>
      <c r="V727" s="165"/>
      <c r="W727" s="165"/>
      <c r="X727" s="165"/>
      <c r="Y727" s="165"/>
      <c r="Z727" s="165"/>
    </row>
    <row r="728" spans="16:26" ht="10.199999999999999" customHeight="1">
      <c r="P728" s="165"/>
      <c r="Q728" s="165"/>
      <c r="R728" s="165"/>
      <c r="S728" s="165"/>
      <c r="T728" s="165"/>
      <c r="U728" s="165"/>
      <c r="V728" s="165"/>
      <c r="W728" s="165"/>
      <c r="X728" s="165"/>
      <c r="Y728" s="165"/>
      <c r="Z728" s="165"/>
    </row>
    <row r="729" spans="16:26" ht="10.199999999999999" customHeight="1">
      <c r="P729" s="165"/>
      <c r="Q729" s="165"/>
      <c r="R729" s="165"/>
      <c r="S729" s="165"/>
      <c r="T729" s="165"/>
      <c r="U729" s="165"/>
      <c r="V729" s="165"/>
      <c r="W729" s="165"/>
      <c r="X729" s="165"/>
      <c r="Y729" s="165"/>
      <c r="Z729" s="165"/>
    </row>
    <row r="730" spans="16:26" ht="10.199999999999999" customHeight="1">
      <c r="P730" s="165"/>
      <c r="Q730" s="165"/>
      <c r="R730" s="165"/>
      <c r="S730" s="165"/>
      <c r="T730" s="165"/>
      <c r="U730" s="165"/>
      <c r="V730" s="165"/>
      <c r="W730" s="165"/>
      <c r="X730" s="165"/>
      <c r="Y730" s="165"/>
      <c r="Z730" s="165"/>
    </row>
    <row r="731" spans="16:26" ht="10.199999999999999" customHeight="1">
      <c r="P731" s="165"/>
      <c r="Q731" s="165"/>
      <c r="R731" s="165"/>
      <c r="S731" s="165"/>
      <c r="T731" s="165"/>
      <c r="U731" s="165"/>
      <c r="V731" s="165"/>
      <c r="W731" s="165"/>
      <c r="X731" s="165"/>
      <c r="Y731" s="165"/>
      <c r="Z731" s="165"/>
    </row>
    <row r="732" spans="16:26" ht="10.199999999999999" customHeight="1">
      <c r="P732" s="165"/>
      <c r="Q732" s="165"/>
      <c r="R732" s="165"/>
      <c r="S732" s="165"/>
      <c r="T732" s="165"/>
      <c r="U732" s="165"/>
      <c r="V732" s="165"/>
      <c r="W732" s="165"/>
      <c r="X732" s="165"/>
      <c r="Y732" s="165"/>
      <c r="Z732" s="165"/>
    </row>
    <row r="733" spans="16:26" ht="10.199999999999999" customHeight="1">
      <c r="P733" s="165"/>
      <c r="Q733" s="165"/>
      <c r="R733" s="165"/>
      <c r="S733" s="165"/>
      <c r="T733" s="165"/>
      <c r="U733" s="165"/>
      <c r="V733" s="165"/>
      <c r="W733" s="165"/>
      <c r="X733" s="165"/>
      <c r="Y733" s="165"/>
      <c r="Z733" s="165"/>
    </row>
    <row r="734" spans="16:26" ht="10.199999999999999" customHeight="1">
      <c r="P734" s="165"/>
      <c r="Q734" s="165"/>
      <c r="R734" s="165"/>
      <c r="S734" s="165"/>
      <c r="T734" s="165"/>
      <c r="U734" s="165"/>
      <c r="V734" s="165"/>
      <c r="W734" s="165"/>
      <c r="X734" s="165"/>
      <c r="Y734" s="165"/>
      <c r="Z734" s="165"/>
    </row>
    <row r="735" spans="16:26" ht="10.199999999999999" customHeight="1">
      <c r="P735" s="165"/>
      <c r="Q735" s="165"/>
      <c r="R735" s="165"/>
      <c r="S735" s="165"/>
      <c r="T735" s="165"/>
      <c r="U735" s="165"/>
      <c r="V735" s="165"/>
      <c r="W735" s="165"/>
      <c r="X735" s="165"/>
      <c r="Y735" s="165"/>
      <c r="Z735" s="165"/>
    </row>
    <row r="736" spans="16:26" ht="10.199999999999999" customHeight="1">
      <c r="P736" s="165"/>
      <c r="Q736" s="165"/>
      <c r="R736" s="165"/>
      <c r="S736" s="165"/>
      <c r="T736" s="165"/>
      <c r="U736" s="165"/>
      <c r="V736" s="165"/>
      <c r="W736" s="165"/>
      <c r="X736" s="165"/>
      <c r="Y736" s="165"/>
      <c r="Z736" s="165"/>
    </row>
    <row r="737" spans="16:26" ht="10.199999999999999" customHeight="1">
      <c r="P737" s="165"/>
      <c r="Q737" s="165"/>
      <c r="R737" s="165"/>
      <c r="S737" s="165"/>
      <c r="T737" s="165"/>
      <c r="U737" s="165"/>
      <c r="V737" s="165"/>
      <c r="W737" s="165"/>
      <c r="X737" s="165"/>
      <c r="Y737" s="165"/>
      <c r="Z737" s="165"/>
    </row>
    <row r="738" spans="16:26" ht="10.199999999999999" customHeight="1">
      <c r="P738" s="165"/>
      <c r="Q738" s="165"/>
      <c r="R738" s="165"/>
      <c r="S738" s="165"/>
      <c r="T738" s="165"/>
      <c r="U738" s="165"/>
      <c r="V738" s="165"/>
      <c r="W738" s="165"/>
      <c r="X738" s="165"/>
      <c r="Y738" s="165"/>
      <c r="Z738" s="165"/>
    </row>
    <row r="739" spans="16:26" ht="10.199999999999999" customHeight="1">
      <c r="P739" s="165"/>
      <c r="Q739" s="165"/>
      <c r="R739" s="165"/>
      <c r="S739" s="165"/>
      <c r="T739" s="165"/>
      <c r="U739" s="165"/>
      <c r="V739" s="165"/>
      <c r="W739" s="165"/>
      <c r="X739" s="165"/>
      <c r="Y739" s="165"/>
      <c r="Z739" s="165"/>
    </row>
    <row r="740" spans="16:26" ht="10.199999999999999" customHeight="1">
      <c r="P740" s="165"/>
      <c r="Q740" s="165"/>
      <c r="R740" s="165"/>
      <c r="S740" s="165"/>
      <c r="T740" s="165"/>
      <c r="U740" s="165"/>
      <c r="V740" s="165"/>
      <c r="W740" s="165"/>
      <c r="X740" s="165"/>
      <c r="Y740" s="165"/>
      <c r="Z740" s="165"/>
    </row>
    <row r="741" spans="16:26" ht="10.199999999999999" customHeight="1">
      <c r="P741" s="165"/>
      <c r="Q741" s="165"/>
      <c r="R741" s="165"/>
      <c r="S741" s="165"/>
      <c r="T741" s="165"/>
      <c r="U741" s="165"/>
      <c r="V741" s="165"/>
      <c r="W741" s="165"/>
      <c r="X741" s="165"/>
      <c r="Y741" s="165"/>
      <c r="Z741" s="165"/>
    </row>
    <row r="742" spans="16:26" ht="10.199999999999999" customHeight="1">
      <c r="P742" s="165"/>
      <c r="Q742" s="165"/>
      <c r="R742" s="165"/>
      <c r="S742" s="165"/>
      <c r="T742" s="165"/>
      <c r="U742" s="165"/>
      <c r="V742" s="165"/>
      <c r="W742" s="165"/>
      <c r="X742" s="165"/>
      <c r="Y742" s="165"/>
      <c r="Z742" s="165"/>
    </row>
    <row r="743" spans="16:26" ht="10.199999999999999" customHeight="1">
      <c r="P743" s="165"/>
      <c r="Q743" s="165"/>
      <c r="R743" s="165"/>
      <c r="S743" s="165"/>
      <c r="T743" s="165"/>
      <c r="U743" s="165"/>
      <c r="V743" s="165"/>
      <c r="W743" s="165"/>
      <c r="X743" s="165"/>
      <c r="Y743" s="165"/>
      <c r="Z743" s="165"/>
    </row>
    <row r="744" spans="16:26" ht="10.199999999999999" customHeight="1">
      <c r="P744" s="165"/>
      <c r="Q744" s="165"/>
      <c r="R744" s="165"/>
      <c r="S744" s="165"/>
      <c r="T744" s="165"/>
      <c r="U744" s="165"/>
      <c r="V744" s="165"/>
      <c r="W744" s="165"/>
      <c r="X744" s="165"/>
      <c r="Y744" s="165"/>
      <c r="Z744" s="165"/>
    </row>
    <row r="745" spans="16:26" ht="10.199999999999999" customHeight="1">
      <c r="P745" s="165"/>
      <c r="Q745" s="165"/>
      <c r="R745" s="165"/>
      <c r="S745" s="165"/>
      <c r="T745" s="165"/>
      <c r="U745" s="165"/>
      <c r="V745" s="165"/>
      <c r="W745" s="165"/>
      <c r="X745" s="165"/>
      <c r="Y745" s="165"/>
      <c r="Z745" s="165"/>
    </row>
    <row r="746" spans="16:26" ht="10.199999999999999" customHeight="1">
      <c r="P746" s="165"/>
      <c r="Q746" s="165"/>
      <c r="R746" s="165"/>
      <c r="S746" s="165"/>
      <c r="T746" s="165"/>
      <c r="U746" s="165"/>
      <c r="V746" s="165"/>
      <c r="W746" s="165"/>
      <c r="X746" s="165"/>
      <c r="Y746" s="165"/>
      <c r="Z746" s="165"/>
    </row>
    <row r="747" spans="16:26" ht="10.199999999999999" customHeight="1">
      <c r="P747" s="165"/>
      <c r="Q747" s="165"/>
      <c r="R747" s="165"/>
      <c r="S747" s="165"/>
      <c r="T747" s="165"/>
      <c r="U747" s="165"/>
      <c r="V747" s="165"/>
      <c r="W747" s="165"/>
      <c r="X747" s="165"/>
      <c r="Y747" s="165"/>
      <c r="Z747" s="165"/>
    </row>
    <row r="748" spans="16:26" ht="10.199999999999999" customHeight="1">
      <c r="P748" s="165"/>
      <c r="Q748" s="165"/>
      <c r="R748" s="165"/>
      <c r="S748" s="165"/>
      <c r="T748" s="165"/>
      <c r="U748" s="165"/>
      <c r="V748" s="165"/>
      <c r="W748" s="165"/>
      <c r="X748" s="165"/>
      <c r="Y748" s="165"/>
      <c r="Z748" s="165"/>
    </row>
    <row r="749" spans="16:26" ht="10.199999999999999" customHeight="1">
      <c r="P749" s="165"/>
      <c r="Q749" s="165"/>
      <c r="R749" s="165"/>
      <c r="S749" s="165"/>
      <c r="T749" s="165"/>
      <c r="U749" s="165"/>
      <c r="V749" s="165"/>
      <c r="W749" s="165"/>
      <c r="X749" s="165"/>
      <c r="Y749" s="165"/>
      <c r="Z749" s="165"/>
    </row>
    <row r="750" spans="16:26" ht="10.199999999999999" customHeight="1">
      <c r="P750" s="165"/>
      <c r="Q750" s="165"/>
      <c r="R750" s="165"/>
      <c r="S750" s="165"/>
      <c r="T750" s="165"/>
      <c r="U750" s="165"/>
      <c r="V750" s="165"/>
      <c r="W750" s="165"/>
      <c r="X750" s="165"/>
      <c r="Y750" s="165"/>
      <c r="Z750" s="165"/>
    </row>
    <row r="751" spans="16:26" ht="10.199999999999999" customHeight="1">
      <c r="P751" s="165"/>
      <c r="Q751" s="165"/>
      <c r="R751" s="165"/>
      <c r="S751" s="165"/>
      <c r="T751" s="165"/>
      <c r="U751" s="165"/>
      <c r="V751" s="165"/>
      <c r="W751" s="165"/>
      <c r="X751" s="165"/>
      <c r="Y751" s="165"/>
      <c r="Z751" s="165"/>
    </row>
    <row r="752" spans="16:26" ht="10.199999999999999" customHeight="1">
      <c r="P752" s="165"/>
      <c r="Q752" s="165"/>
      <c r="R752" s="165"/>
      <c r="S752" s="165"/>
      <c r="T752" s="165"/>
      <c r="U752" s="165"/>
      <c r="V752" s="165"/>
      <c r="W752" s="165"/>
      <c r="X752" s="165"/>
      <c r="Y752" s="165"/>
      <c r="Z752" s="165"/>
    </row>
    <row r="753" spans="16:26" ht="10.199999999999999" customHeight="1">
      <c r="P753" s="165"/>
      <c r="Q753" s="165"/>
      <c r="R753" s="165"/>
      <c r="S753" s="165"/>
      <c r="T753" s="165"/>
      <c r="U753" s="165"/>
      <c r="V753" s="165"/>
      <c r="W753" s="165"/>
      <c r="X753" s="165"/>
      <c r="Y753" s="165"/>
      <c r="Z753" s="165"/>
    </row>
    <row r="754" spans="16:26" ht="10.199999999999999" customHeight="1">
      <c r="P754" s="165"/>
      <c r="Q754" s="165"/>
      <c r="R754" s="165"/>
      <c r="S754" s="165"/>
      <c r="T754" s="165"/>
      <c r="U754" s="165"/>
      <c r="V754" s="165"/>
      <c r="W754" s="165"/>
      <c r="X754" s="165"/>
      <c r="Y754" s="165"/>
      <c r="Z754" s="165"/>
    </row>
    <row r="755" spans="16:26" ht="10.199999999999999" customHeight="1">
      <c r="P755" s="165"/>
      <c r="Q755" s="165"/>
      <c r="R755" s="165"/>
      <c r="S755" s="165"/>
      <c r="T755" s="165"/>
      <c r="U755" s="165"/>
      <c r="V755" s="165"/>
      <c r="W755" s="165"/>
      <c r="X755" s="165"/>
      <c r="Y755" s="165"/>
      <c r="Z755" s="165"/>
    </row>
    <row r="756" spans="16:26" ht="10.199999999999999" customHeight="1">
      <c r="P756" s="165"/>
      <c r="Q756" s="165"/>
      <c r="R756" s="165"/>
      <c r="S756" s="165"/>
      <c r="T756" s="165"/>
      <c r="U756" s="165"/>
      <c r="V756" s="165"/>
      <c r="W756" s="165"/>
      <c r="X756" s="165"/>
      <c r="Y756" s="165"/>
      <c r="Z756" s="165"/>
    </row>
    <row r="757" spans="16:26" ht="10.199999999999999" customHeight="1">
      <c r="P757" s="165"/>
      <c r="Q757" s="165"/>
      <c r="R757" s="165"/>
      <c r="S757" s="165"/>
      <c r="T757" s="165"/>
      <c r="U757" s="165"/>
      <c r="V757" s="165"/>
      <c r="W757" s="165"/>
      <c r="X757" s="165"/>
      <c r="Y757" s="165"/>
      <c r="Z757" s="165"/>
    </row>
    <row r="758" spans="16:26" ht="10.199999999999999" customHeight="1">
      <c r="P758" s="165"/>
      <c r="Q758" s="165"/>
      <c r="R758" s="165"/>
      <c r="S758" s="165"/>
      <c r="T758" s="165"/>
      <c r="U758" s="165"/>
      <c r="V758" s="165"/>
      <c r="W758" s="165"/>
      <c r="X758" s="165"/>
      <c r="Y758" s="165"/>
      <c r="Z758" s="165"/>
    </row>
    <row r="759" spans="16:26" ht="10.199999999999999" customHeight="1">
      <c r="P759" s="165"/>
      <c r="Q759" s="165"/>
      <c r="R759" s="165"/>
      <c r="S759" s="165"/>
      <c r="T759" s="165"/>
      <c r="U759" s="165"/>
      <c r="V759" s="165"/>
      <c r="W759" s="165"/>
      <c r="X759" s="165"/>
      <c r="Y759" s="165"/>
      <c r="Z759" s="165"/>
    </row>
    <row r="760" spans="16:26" ht="10.199999999999999" customHeight="1">
      <c r="P760" s="165"/>
      <c r="Q760" s="165"/>
      <c r="R760" s="165"/>
      <c r="S760" s="165"/>
      <c r="T760" s="165"/>
      <c r="U760" s="165"/>
      <c r="V760" s="165"/>
      <c r="W760" s="165"/>
      <c r="X760" s="165"/>
      <c r="Y760" s="165"/>
      <c r="Z760" s="165"/>
    </row>
    <row r="761" spans="16:26" ht="10.199999999999999" customHeight="1">
      <c r="P761" s="165"/>
      <c r="Q761" s="165"/>
      <c r="R761" s="165"/>
      <c r="S761" s="165"/>
      <c r="T761" s="165"/>
      <c r="U761" s="165"/>
      <c r="V761" s="165"/>
      <c r="W761" s="165"/>
      <c r="X761" s="165"/>
      <c r="Y761" s="165"/>
      <c r="Z761" s="165"/>
    </row>
    <row r="762" spans="16:26" ht="10.199999999999999" customHeight="1">
      <c r="P762" s="165"/>
      <c r="Q762" s="165"/>
      <c r="R762" s="165"/>
      <c r="S762" s="165"/>
      <c r="T762" s="165"/>
      <c r="U762" s="165"/>
      <c r="V762" s="165"/>
      <c r="W762" s="165"/>
      <c r="X762" s="165"/>
      <c r="Y762" s="165"/>
      <c r="Z762" s="165"/>
    </row>
    <row r="763" spans="16:26" ht="10.199999999999999" customHeight="1">
      <c r="P763" s="165"/>
      <c r="Q763" s="165"/>
      <c r="R763" s="165"/>
      <c r="S763" s="165"/>
      <c r="T763" s="165"/>
      <c r="U763" s="165"/>
      <c r="V763" s="165"/>
      <c r="W763" s="165"/>
      <c r="X763" s="165"/>
      <c r="Y763" s="165"/>
      <c r="Z763" s="165"/>
    </row>
    <row r="764" spans="16:26" ht="10.199999999999999" customHeight="1">
      <c r="P764" s="165"/>
      <c r="Q764" s="165"/>
      <c r="R764" s="165"/>
      <c r="S764" s="165"/>
      <c r="T764" s="165"/>
      <c r="U764" s="165"/>
      <c r="V764" s="165"/>
      <c r="W764" s="165"/>
      <c r="X764" s="165"/>
      <c r="Y764" s="165"/>
      <c r="Z764" s="165"/>
    </row>
    <row r="765" spans="16:26" ht="10.199999999999999" customHeight="1">
      <c r="P765" s="165"/>
      <c r="Q765" s="165"/>
      <c r="R765" s="165"/>
      <c r="S765" s="165"/>
      <c r="T765" s="165"/>
      <c r="U765" s="165"/>
      <c r="V765" s="165"/>
      <c r="W765" s="165"/>
      <c r="X765" s="165"/>
      <c r="Y765" s="165"/>
      <c r="Z765" s="165"/>
    </row>
    <row r="766" spans="16:26" ht="10.199999999999999" customHeight="1">
      <c r="P766" s="165"/>
      <c r="Q766" s="165"/>
      <c r="R766" s="165"/>
      <c r="S766" s="165"/>
      <c r="T766" s="165"/>
      <c r="U766" s="165"/>
      <c r="V766" s="165"/>
      <c r="W766" s="165"/>
      <c r="X766" s="165"/>
      <c r="Y766" s="165"/>
      <c r="Z766" s="165"/>
    </row>
    <row r="767" spans="16:26" ht="10.199999999999999" customHeight="1">
      <c r="P767" s="165"/>
      <c r="Q767" s="165"/>
      <c r="R767" s="165"/>
      <c r="S767" s="165"/>
      <c r="T767" s="165"/>
      <c r="U767" s="165"/>
      <c r="V767" s="165"/>
      <c r="W767" s="165"/>
      <c r="X767" s="165"/>
      <c r="Y767" s="165"/>
      <c r="Z767" s="165"/>
    </row>
    <row r="768" spans="16:26" ht="10.199999999999999" customHeight="1">
      <c r="P768" s="165"/>
      <c r="Q768" s="165"/>
      <c r="R768" s="165"/>
      <c r="S768" s="165"/>
      <c r="T768" s="165"/>
      <c r="U768" s="165"/>
      <c r="V768" s="165"/>
      <c r="W768" s="165"/>
      <c r="X768" s="165"/>
      <c r="Y768" s="165"/>
      <c r="Z768" s="165"/>
    </row>
    <row r="769" spans="16:26" ht="10.199999999999999" customHeight="1">
      <c r="P769" s="165"/>
      <c r="Q769" s="165"/>
      <c r="R769" s="165"/>
      <c r="S769" s="165"/>
      <c r="T769" s="165"/>
      <c r="U769" s="165"/>
      <c r="V769" s="165"/>
      <c r="W769" s="165"/>
      <c r="X769" s="165"/>
      <c r="Y769" s="165"/>
      <c r="Z769" s="165"/>
    </row>
    <row r="770" spans="16:26" ht="10.199999999999999" customHeight="1">
      <c r="P770" s="165"/>
      <c r="Q770" s="165"/>
      <c r="R770" s="165"/>
      <c r="S770" s="165"/>
      <c r="T770" s="165"/>
      <c r="U770" s="165"/>
      <c r="V770" s="165"/>
      <c r="W770" s="165"/>
      <c r="X770" s="165"/>
      <c r="Y770" s="165"/>
      <c r="Z770" s="165"/>
    </row>
    <row r="771" spans="16:26" ht="10.199999999999999" customHeight="1">
      <c r="P771" s="165"/>
      <c r="Q771" s="165"/>
      <c r="R771" s="165"/>
      <c r="S771" s="165"/>
      <c r="T771" s="165"/>
      <c r="U771" s="165"/>
      <c r="V771" s="165"/>
      <c r="W771" s="165"/>
      <c r="X771" s="165"/>
      <c r="Y771" s="165"/>
      <c r="Z771" s="165"/>
    </row>
    <row r="772" spans="16:26" ht="10.199999999999999" customHeight="1">
      <c r="P772" s="165"/>
      <c r="Q772" s="165"/>
      <c r="R772" s="165"/>
      <c r="S772" s="165"/>
      <c r="T772" s="165"/>
      <c r="U772" s="165"/>
      <c r="V772" s="165"/>
      <c r="W772" s="165"/>
      <c r="X772" s="165"/>
      <c r="Y772" s="165"/>
      <c r="Z772" s="165"/>
    </row>
    <row r="773" spans="16:26" ht="10.199999999999999" customHeight="1">
      <c r="P773" s="165"/>
      <c r="Q773" s="165"/>
      <c r="R773" s="165"/>
      <c r="S773" s="165"/>
      <c r="T773" s="165"/>
      <c r="U773" s="165"/>
      <c r="V773" s="165"/>
      <c r="W773" s="165"/>
      <c r="X773" s="165"/>
      <c r="Y773" s="165"/>
      <c r="Z773" s="165"/>
    </row>
    <row r="774" spans="16:26" ht="10.199999999999999" customHeight="1">
      <c r="P774" s="165"/>
      <c r="Q774" s="165"/>
      <c r="R774" s="165"/>
      <c r="S774" s="165"/>
      <c r="T774" s="165"/>
      <c r="U774" s="165"/>
      <c r="V774" s="165"/>
      <c r="W774" s="165"/>
      <c r="X774" s="165"/>
      <c r="Y774" s="165"/>
      <c r="Z774" s="165"/>
    </row>
    <row r="775" spans="16:26" ht="10.199999999999999" customHeight="1">
      <c r="P775" s="165"/>
      <c r="Q775" s="165"/>
      <c r="R775" s="165"/>
      <c r="S775" s="165"/>
      <c r="T775" s="165"/>
      <c r="U775" s="165"/>
      <c r="V775" s="165"/>
      <c r="W775" s="165"/>
      <c r="X775" s="165"/>
      <c r="Y775" s="165"/>
      <c r="Z775" s="165"/>
    </row>
    <row r="776" spans="16:26" ht="10.199999999999999" customHeight="1">
      <c r="P776" s="165"/>
      <c r="Q776" s="165"/>
      <c r="R776" s="165"/>
      <c r="S776" s="165"/>
      <c r="T776" s="165"/>
      <c r="U776" s="165"/>
      <c r="V776" s="165"/>
      <c r="W776" s="165"/>
      <c r="X776" s="165"/>
      <c r="Y776" s="165"/>
      <c r="Z776" s="165"/>
    </row>
    <row r="777" spans="16:26" ht="10.199999999999999" customHeight="1">
      <c r="P777" s="165"/>
      <c r="Q777" s="165"/>
      <c r="R777" s="165"/>
      <c r="S777" s="165"/>
      <c r="T777" s="165"/>
      <c r="U777" s="165"/>
      <c r="V777" s="165"/>
      <c r="W777" s="165"/>
      <c r="X777" s="165"/>
      <c r="Y777" s="165"/>
      <c r="Z777" s="165"/>
    </row>
    <row r="778" spans="16:26" ht="10.199999999999999" customHeight="1">
      <c r="P778" s="165"/>
      <c r="Q778" s="165"/>
      <c r="R778" s="165"/>
      <c r="S778" s="165"/>
      <c r="T778" s="165"/>
      <c r="U778" s="165"/>
      <c r="V778" s="165"/>
      <c r="W778" s="165"/>
      <c r="X778" s="165"/>
      <c r="Y778" s="165"/>
      <c r="Z778" s="165"/>
    </row>
    <row r="779" spans="16:26" ht="10.199999999999999" customHeight="1">
      <c r="P779" s="165"/>
      <c r="Q779" s="165"/>
      <c r="R779" s="165"/>
      <c r="S779" s="165"/>
      <c r="T779" s="165"/>
      <c r="U779" s="165"/>
      <c r="V779" s="165"/>
      <c r="W779" s="165"/>
      <c r="X779" s="165"/>
      <c r="Y779" s="165"/>
      <c r="Z779" s="165"/>
    </row>
    <row r="780" spans="16:26" ht="10.199999999999999" customHeight="1">
      <c r="P780" s="165"/>
      <c r="Q780" s="165"/>
      <c r="R780" s="165"/>
      <c r="S780" s="165"/>
      <c r="T780" s="165"/>
      <c r="U780" s="165"/>
      <c r="V780" s="165"/>
      <c r="W780" s="165"/>
      <c r="X780" s="165"/>
      <c r="Y780" s="165"/>
      <c r="Z780" s="165"/>
    </row>
    <row r="781" spans="16:26" ht="10.199999999999999" customHeight="1">
      <c r="P781" s="165"/>
      <c r="Q781" s="165"/>
      <c r="R781" s="165"/>
      <c r="S781" s="165"/>
      <c r="T781" s="165"/>
      <c r="U781" s="165"/>
      <c r="V781" s="165"/>
      <c r="W781" s="165"/>
      <c r="X781" s="165"/>
      <c r="Y781" s="165"/>
      <c r="Z781" s="165"/>
    </row>
    <row r="782" spans="16:26" ht="10.199999999999999" customHeight="1">
      <c r="P782" s="165"/>
      <c r="Q782" s="165"/>
      <c r="R782" s="165"/>
      <c r="S782" s="165"/>
      <c r="T782" s="165"/>
      <c r="U782" s="165"/>
      <c r="V782" s="165"/>
      <c r="W782" s="165"/>
      <c r="X782" s="165"/>
      <c r="Y782" s="165"/>
      <c r="Z782" s="165"/>
    </row>
    <row r="783" spans="16:26" ht="10.199999999999999" customHeight="1">
      <c r="P783" s="165"/>
      <c r="Q783" s="165"/>
      <c r="R783" s="165"/>
      <c r="S783" s="165"/>
      <c r="T783" s="165"/>
      <c r="U783" s="165"/>
      <c r="V783" s="165"/>
      <c r="W783" s="165"/>
      <c r="X783" s="165"/>
      <c r="Y783" s="165"/>
      <c r="Z783" s="165"/>
    </row>
    <row r="784" spans="16:26" ht="10.199999999999999" customHeight="1">
      <c r="P784" s="165"/>
      <c r="Q784" s="165"/>
      <c r="R784" s="165"/>
      <c r="S784" s="165"/>
      <c r="T784" s="165"/>
      <c r="U784" s="165"/>
      <c r="V784" s="165"/>
      <c r="W784" s="165"/>
      <c r="X784" s="165"/>
      <c r="Y784" s="165"/>
      <c r="Z784" s="165"/>
    </row>
    <row r="785" spans="16:26" ht="10.199999999999999" customHeight="1">
      <c r="P785" s="165"/>
      <c r="Q785" s="165"/>
      <c r="R785" s="165"/>
      <c r="S785" s="165"/>
      <c r="T785" s="165"/>
      <c r="U785" s="165"/>
      <c r="V785" s="165"/>
      <c r="W785" s="165"/>
      <c r="X785" s="165"/>
      <c r="Y785" s="165"/>
      <c r="Z785" s="165"/>
    </row>
    <row r="786" spans="16:26" ht="10.199999999999999" customHeight="1">
      <c r="P786" s="165"/>
      <c r="Q786" s="165"/>
      <c r="R786" s="165"/>
      <c r="S786" s="165"/>
      <c r="T786" s="165"/>
      <c r="U786" s="165"/>
      <c r="V786" s="165"/>
      <c r="W786" s="165"/>
      <c r="X786" s="165"/>
      <c r="Y786" s="165"/>
      <c r="Z786" s="165"/>
    </row>
    <row r="787" spans="16:26" ht="10.199999999999999" customHeight="1">
      <c r="P787" s="165"/>
      <c r="Q787" s="165"/>
      <c r="R787" s="165"/>
      <c r="S787" s="165"/>
      <c r="T787" s="165"/>
      <c r="U787" s="165"/>
      <c r="V787" s="165"/>
      <c r="W787" s="165"/>
      <c r="X787" s="165"/>
      <c r="Y787" s="165"/>
      <c r="Z787" s="165"/>
    </row>
    <row r="788" spans="16:26" ht="10.199999999999999" customHeight="1">
      <c r="P788" s="165"/>
      <c r="Q788" s="165"/>
      <c r="R788" s="165"/>
      <c r="S788" s="165"/>
      <c r="T788" s="165"/>
      <c r="U788" s="165"/>
      <c r="V788" s="165"/>
      <c r="W788" s="165"/>
      <c r="X788" s="165"/>
      <c r="Y788" s="165"/>
      <c r="Z788" s="165"/>
    </row>
    <row r="789" spans="16:26" ht="10.199999999999999" customHeight="1">
      <c r="P789" s="165"/>
      <c r="Q789" s="165"/>
      <c r="R789" s="165"/>
      <c r="S789" s="165"/>
      <c r="T789" s="165"/>
      <c r="U789" s="165"/>
      <c r="V789" s="165"/>
      <c r="W789" s="165"/>
      <c r="X789" s="165"/>
      <c r="Y789" s="165"/>
      <c r="Z789" s="165"/>
    </row>
    <row r="790" spans="16:26" ht="10.199999999999999" customHeight="1">
      <c r="P790" s="165"/>
      <c r="Q790" s="165"/>
      <c r="R790" s="165"/>
      <c r="S790" s="165"/>
      <c r="T790" s="165"/>
      <c r="U790" s="165"/>
      <c r="V790" s="165"/>
      <c r="W790" s="165"/>
      <c r="X790" s="165"/>
      <c r="Y790" s="165"/>
      <c r="Z790" s="165"/>
    </row>
    <row r="791" spans="16:26" ht="10.199999999999999" customHeight="1">
      <c r="P791" s="165"/>
      <c r="Q791" s="165"/>
      <c r="R791" s="165"/>
      <c r="S791" s="165"/>
      <c r="T791" s="165"/>
      <c r="U791" s="165"/>
      <c r="V791" s="165"/>
      <c r="W791" s="165"/>
      <c r="X791" s="165"/>
      <c r="Y791" s="165"/>
      <c r="Z791" s="165"/>
    </row>
    <row r="792" spans="16:26" ht="10.199999999999999" customHeight="1">
      <c r="P792" s="165"/>
      <c r="Q792" s="165"/>
      <c r="R792" s="165"/>
      <c r="S792" s="165"/>
      <c r="T792" s="165"/>
      <c r="U792" s="165"/>
      <c r="V792" s="165"/>
      <c r="W792" s="165"/>
      <c r="X792" s="165"/>
      <c r="Y792" s="165"/>
      <c r="Z792" s="165"/>
    </row>
    <row r="793" spans="16:26" ht="10.199999999999999" customHeight="1">
      <c r="P793" s="165"/>
      <c r="Q793" s="165"/>
      <c r="R793" s="165"/>
      <c r="S793" s="165"/>
      <c r="T793" s="165"/>
      <c r="U793" s="165"/>
      <c r="V793" s="165"/>
      <c r="W793" s="165"/>
      <c r="X793" s="165"/>
      <c r="Y793" s="165"/>
      <c r="Z793" s="165"/>
    </row>
    <row r="794" spans="16:26" ht="10.199999999999999" customHeight="1">
      <c r="P794" s="165"/>
      <c r="Q794" s="165"/>
      <c r="R794" s="165"/>
      <c r="S794" s="165"/>
      <c r="T794" s="165"/>
      <c r="U794" s="165"/>
      <c r="V794" s="165"/>
      <c r="W794" s="165"/>
      <c r="X794" s="165"/>
      <c r="Y794" s="165"/>
      <c r="Z794" s="165"/>
    </row>
    <row r="795" spans="16:26" ht="10.199999999999999" customHeight="1">
      <c r="P795" s="165"/>
      <c r="Q795" s="165"/>
      <c r="R795" s="165"/>
      <c r="S795" s="165"/>
      <c r="T795" s="165"/>
      <c r="U795" s="165"/>
      <c r="V795" s="165"/>
      <c r="W795" s="165"/>
      <c r="X795" s="165"/>
      <c r="Y795" s="165"/>
      <c r="Z795" s="165"/>
    </row>
    <row r="796" spans="16:26" ht="10.199999999999999" customHeight="1">
      <c r="P796" s="165"/>
      <c r="Q796" s="165"/>
      <c r="R796" s="165"/>
      <c r="S796" s="165"/>
      <c r="T796" s="165"/>
      <c r="U796" s="165"/>
      <c r="V796" s="165"/>
      <c r="W796" s="165"/>
      <c r="X796" s="165"/>
      <c r="Y796" s="165"/>
      <c r="Z796" s="165"/>
    </row>
    <row r="797" spans="16:26" ht="10.199999999999999" customHeight="1">
      <c r="P797" s="165"/>
      <c r="Q797" s="165"/>
      <c r="R797" s="165"/>
      <c r="S797" s="165"/>
      <c r="T797" s="165"/>
      <c r="U797" s="165"/>
      <c r="V797" s="165"/>
      <c r="W797" s="165"/>
      <c r="X797" s="165"/>
      <c r="Y797" s="165"/>
      <c r="Z797" s="165"/>
    </row>
    <row r="798" spans="16:26" ht="10.199999999999999" customHeight="1">
      <c r="P798" s="165"/>
      <c r="Q798" s="165"/>
      <c r="R798" s="165"/>
      <c r="S798" s="165"/>
      <c r="T798" s="165"/>
      <c r="U798" s="165"/>
      <c r="V798" s="165"/>
      <c r="W798" s="165"/>
      <c r="X798" s="165"/>
      <c r="Y798" s="165"/>
      <c r="Z798" s="165"/>
    </row>
    <row r="799" spans="16:26" ht="10.199999999999999" customHeight="1">
      <c r="P799" s="165"/>
      <c r="Q799" s="165"/>
      <c r="R799" s="165"/>
      <c r="S799" s="165"/>
      <c r="T799" s="165"/>
      <c r="U799" s="165"/>
      <c r="V799" s="165"/>
      <c r="W799" s="165"/>
      <c r="X799" s="165"/>
      <c r="Y799" s="165"/>
      <c r="Z799" s="165"/>
    </row>
    <row r="800" spans="16:26" ht="10.199999999999999" customHeight="1">
      <c r="P800" s="165"/>
      <c r="Q800" s="165"/>
      <c r="R800" s="165"/>
      <c r="S800" s="165"/>
      <c r="T800" s="165"/>
      <c r="U800" s="165"/>
      <c r="V800" s="165"/>
      <c r="W800" s="165"/>
      <c r="X800" s="165"/>
      <c r="Y800" s="165"/>
      <c r="Z800" s="165"/>
    </row>
    <row r="801" spans="16:26" ht="10.199999999999999" customHeight="1">
      <c r="P801" s="165"/>
      <c r="Q801" s="165"/>
      <c r="R801" s="165"/>
      <c r="S801" s="165"/>
      <c r="T801" s="165"/>
      <c r="U801" s="165"/>
      <c r="V801" s="165"/>
      <c r="W801" s="165"/>
      <c r="X801" s="165"/>
      <c r="Y801" s="165"/>
      <c r="Z801" s="165"/>
    </row>
    <row r="802" spans="16:26" ht="10.199999999999999" customHeight="1">
      <c r="P802" s="165"/>
      <c r="Q802" s="165"/>
      <c r="R802" s="165"/>
      <c r="S802" s="165"/>
      <c r="T802" s="165"/>
      <c r="U802" s="165"/>
      <c r="V802" s="165"/>
      <c r="W802" s="165"/>
      <c r="X802" s="165"/>
      <c r="Y802" s="165"/>
      <c r="Z802" s="165"/>
    </row>
    <row r="803" spans="16:26" ht="10.199999999999999" customHeight="1">
      <c r="P803" s="165"/>
      <c r="Q803" s="165"/>
      <c r="R803" s="165"/>
      <c r="S803" s="165"/>
      <c r="T803" s="165"/>
      <c r="U803" s="165"/>
      <c r="V803" s="165"/>
      <c r="W803" s="165"/>
      <c r="X803" s="165"/>
      <c r="Y803" s="165"/>
      <c r="Z803" s="165"/>
    </row>
    <row r="804" spans="16:26" ht="10.199999999999999" customHeight="1">
      <c r="P804" s="165"/>
      <c r="Q804" s="165"/>
      <c r="R804" s="165"/>
      <c r="S804" s="165"/>
      <c r="T804" s="165"/>
      <c r="U804" s="165"/>
      <c r="V804" s="165"/>
      <c r="W804" s="165"/>
      <c r="X804" s="165"/>
      <c r="Y804" s="165"/>
      <c r="Z804" s="165"/>
    </row>
    <row r="805" spans="16:26" ht="10.199999999999999" customHeight="1">
      <c r="P805" s="165"/>
      <c r="Q805" s="165"/>
      <c r="R805" s="165"/>
      <c r="S805" s="165"/>
      <c r="T805" s="165"/>
      <c r="U805" s="165"/>
      <c r="V805" s="165"/>
      <c r="W805" s="165"/>
      <c r="X805" s="165"/>
      <c r="Y805" s="165"/>
      <c r="Z805" s="165"/>
    </row>
    <row r="806" spans="16:26" ht="10.199999999999999" customHeight="1">
      <c r="P806" s="165"/>
      <c r="Q806" s="165"/>
      <c r="R806" s="165"/>
      <c r="S806" s="165"/>
      <c r="T806" s="165"/>
      <c r="U806" s="165"/>
      <c r="V806" s="165"/>
      <c r="W806" s="165"/>
      <c r="X806" s="165"/>
      <c r="Y806" s="165"/>
      <c r="Z806" s="165"/>
    </row>
    <row r="807" spans="16:26" ht="10.199999999999999" customHeight="1">
      <c r="P807" s="165"/>
      <c r="Q807" s="165"/>
      <c r="R807" s="165"/>
      <c r="S807" s="165"/>
      <c r="T807" s="165"/>
      <c r="U807" s="165"/>
      <c r="V807" s="165"/>
      <c r="W807" s="165"/>
      <c r="X807" s="165"/>
      <c r="Y807" s="165"/>
      <c r="Z807" s="165"/>
    </row>
    <row r="808" spans="16:26" ht="10.199999999999999" customHeight="1">
      <c r="P808" s="165"/>
      <c r="Q808" s="165"/>
      <c r="R808" s="165"/>
      <c r="S808" s="165"/>
      <c r="T808" s="165"/>
      <c r="U808" s="165"/>
      <c r="V808" s="165"/>
      <c r="W808" s="165"/>
      <c r="X808" s="165"/>
      <c r="Y808" s="165"/>
      <c r="Z808" s="165"/>
    </row>
    <row r="809" spans="16:26" ht="10.199999999999999" customHeight="1">
      <c r="P809" s="165"/>
      <c r="Q809" s="165"/>
      <c r="R809" s="165"/>
      <c r="S809" s="165"/>
      <c r="T809" s="165"/>
      <c r="U809" s="165"/>
      <c r="V809" s="165"/>
      <c r="W809" s="165"/>
      <c r="X809" s="165"/>
      <c r="Y809" s="165"/>
      <c r="Z809" s="165"/>
    </row>
    <row r="810" spans="16:26" ht="10.199999999999999" customHeight="1">
      <c r="P810" s="165"/>
      <c r="Q810" s="165"/>
      <c r="R810" s="165"/>
      <c r="S810" s="165"/>
      <c r="T810" s="165"/>
      <c r="U810" s="165"/>
      <c r="V810" s="165"/>
      <c r="W810" s="165"/>
      <c r="X810" s="165"/>
      <c r="Y810" s="165"/>
      <c r="Z810" s="165"/>
    </row>
    <row r="811" spans="16:26" ht="10.199999999999999" customHeight="1">
      <c r="P811" s="165"/>
      <c r="Q811" s="165"/>
      <c r="R811" s="165"/>
      <c r="S811" s="165"/>
      <c r="T811" s="165"/>
      <c r="U811" s="165"/>
      <c r="V811" s="165"/>
      <c r="W811" s="165"/>
      <c r="X811" s="165"/>
      <c r="Y811" s="165"/>
      <c r="Z811" s="165"/>
    </row>
    <row r="812" spans="16:26" ht="10.199999999999999" customHeight="1">
      <c r="P812" s="165"/>
      <c r="Q812" s="165"/>
      <c r="R812" s="165"/>
      <c r="S812" s="165"/>
      <c r="T812" s="165"/>
      <c r="U812" s="165"/>
      <c r="V812" s="165"/>
      <c r="W812" s="165"/>
      <c r="X812" s="165"/>
      <c r="Y812" s="165"/>
      <c r="Z812" s="165"/>
    </row>
    <row r="813" spans="16:26" ht="10.199999999999999" customHeight="1">
      <c r="P813" s="165"/>
      <c r="Q813" s="165"/>
      <c r="R813" s="165"/>
      <c r="S813" s="165"/>
      <c r="T813" s="165"/>
      <c r="U813" s="165"/>
      <c r="V813" s="165"/>
      <c r="W813" s="165"/>
      <c r="X813" s="165"/>
      <c r="Y813" s="165"/>
      <c r="Z813" s="165"/>
    </row>
    <row r="814" spans="16:26" ht="10.199999999999999" customHeight="1">
      <c r="P814" s="165"/>
      <c r="Q814" s="165"/>
      <c r="R814" s="165"/>
      <c r="S814" s="165"/>
      <c r="T814" s="165"/>
      <c r="U814" s="165"/>
      <c r="V814" s="165"/>
      <c r="W814" s="165"/>
      <c r="X814" s="165"/>
      <c r="Y814" s="165"/>
      <c r="Z814" s="165"/>
    </row>
    <row r="815" spans="16:26" ht="10.199999999999999" customHeight="1">
      <c r="P815" s="165"/>
      <c r="Q815" s="165"/>
      <c r="R815" s="165"/>
      <c r="S815" s="165"/>
      <c r="T815" s="165"/>
      <c r="U815" s="165"/>
      <c r="V815" s="165"/>
      <c r="W815" s="165"/>
      <c r="X815" s="165"/>
      <c r="Y815" s="165"/>
      <c r="Z815" s="165"/>
    </row>
    <row r="816" spans="16:26" ht="10.199999999999999" customHeight="1">
      <c r="P816" s="165"/>
      <c r="Q816" s="165"/>
      <c r="R816" s="165"/>
      <c r="S816" s="165"/>
      <c r="T816" s="165"/>
      <c r="U816" s="165"/>
      <c r="V816" s="165"/>
      <c r="W816" s="165"/>
      <c r="X816" s="165"/>
      <c r="Y816" s="165"/>
      <c r="Z816" s="165"/>
    </row>
    <row r="817" spans="16:26" ht="10.199999999999999" customHeight="1">
      <c r="P817" s="165"/>
      <c r="Q817" s="165"/>
      <c r="R817" s="165"/>
      <c r="S817" s="165"/>
      <c r="T817" s="165"/>
      <c r="U817" s="165"/>
      <c r="V817" s="165"/>
      <c r="W817" s="165"/>
      <c r="X817" s="165"/>
      <c r="Y817" s="165"/>
      <c r="Z817" s="165"/>
    </row>
    <row r="818" spans="16:26" ht="10.199999999999999" customHeight="1">
      <c r="P818" s="165"/>
      <c r="Q818" s="165"/>
      <c r="R818" s="165"/>
      <c r="S818" s="165"/>
      <c r="T818" s="165"/>
      <c r="U818" s="165"/>
      <c r="V818" s="165"/>
      <c r="W818" s="165"/>
      <c r="X818" s="165"/>
      <c r="Y818" s="165"/>
      <c r="Z818" s="165"/>
    </row>
    <row r="819" spans="16:26" ht="10.199999999999999" customHeight="1">
      <c r="P819" s="165"/>
      <c r="Q819" s="165"/>
      <c r="R819" s="165"/>
      <c r="S819" s="165"/>
      <c r="T819" s="165"/>
      <c r="U819" s="165"/>
      <c r="V819" s="165"/>
      <c r="W819" s="165"/>
      <c r="X819" s="165"/>
      <c r="Y819" s="165"/>
      <c r="Z819" s="165"/>
    </row>
    <row r="820" spans="16:26" ht="10.199999999999999" customHeight="1">
      <c r="P820" s="165"/>
      <c r="Q820" s="165"/>
      <c r="R820" s="165"/>
      <c r="S820" s="165"/>
      <c r="T820" s="165"/>
      <c r="U820" s="165"/>
      <c r="V820" s="165"/>
      <c r="W820" s="165"/>
      <c r="X820" s="165"/>
      <c r="Y820" s="165"/>
      <c r="Z820" s="165"/>
    </row>
    <row r="821" spans="16:26" ht="10.199999999999999" customHeight="1">
      <c r="P821" s="165"/>
      <c r="Q821" s="165"/>
      <c r="R821" s="165"/>
      <c r="S821" s="165"/>
      <c r="T821" s="165"/>
      <c r="U821" s="165"/>
      <c r="V821" s="165"/>
      <c r="W821" s="165"/>
      <c r="X821" s="165"/>
      <c r="Y821" s="165"/>
      <c r="Z821" s="165"/>
    </row>
    <row r="822" spans="16:26" ht="10.199999999999999" customHeight="1">
      <c r="P822" s="165"/>
      <c r="Q822" s="165"/>
      <c r="R822" s="165"/>
      <c r="S822" s="165"/>
      <c r="T822" s="165"/>
      <c r="U822" s="165"/>
      <c r="V822" s="165"/>
      <c r="W822" s="165"/>
      <c r="X822" s="165"/>
      <c r="Y822" s="165"/>
      <c r="Z822" s="165"/>
    </row>
    <row r="823" spans="16:26" ht="10.199999999999999" customHeight="1">
      <c r="P823" s="165"/>
      <c r="Q823" s="165"/>
      <c r="R823" s="165"/>
      <c r="S823" s="165"/>
      <c r="T823" s="165"/>
      <c r="U823" s="165"/>
      <c r="V823" s="165"/>
      <c r="W823" s="165"/>
      <c r="X823" s="165"/>
      <c r="Y823" s="165"/>
      <c r="Z823" s="165"/>
    </row>
    <row r="824" spans="16:26" ht="10.199999999999999" customHeight="1">
      <c r="P824" s="165"/>
      <c r="Q824" s="165"/>
      <c r="R824" s="165"/>
      <c r="S824" s="165"/>
      <c r="T824" s="165"/>
      <c r="U824" s="165"/>
      <c r="V824" s="165"/>
      <c r="W824" s="165"/>
      <c r="X824" s="165"/>
      <c r="Y824" s="165"/>
      <c r="Z824" s="165"/>
    </row>
    <row r="825" spans="16:26" ht="10.199999999999999" customHeight="1">
      <c r="P825" s="165"/>
      <c r="Q825" s="165"/>
      <c r="R825" s="165"/>
      <c r="S825" s="165"/>
      <c r="T825" s="165"/>
      <c r="U825" s="165"/>
      <c r="V825" s="165"/>
      <c r="W825" s="165"/>
      <c r="X825" s="165"/>
      <c r="Y825" s="165"/>
      <c r="Z825" s="165"/>
    </row>
    <row r="826" spans="16:26" ht="10.199999999999999" customHeight="1">
      <c r="P826" s="165"/>
      <c r="Q826" s="165"/>
      <c r="R826" s="165"/>
      <c r="S826" s="165"/>
      <c r="T826" s="165"/>
      <c r="U826" s="165"/>
      <c r="V826" s="165"/>
      <c r="W826" s="165"/>
      <c r="X826" s="165"/>
      <c r="Y826" s="165"/>
      <c r="Z826" s="165"/>
    </row>
    <row r="827" spans="16:26" ht="10.199999999999999" customHeight="1">
      <c r="P827" s="165"/>
      <c r="Q827" s="165"/>
      <c r="R827" s="165"/>
      <c r="S827" s="165"/>
      <c r="T827" s="165"/>
      <c r="U827" s="165"/>
      <c r="V827" s="165"/>
      <c r="W827" s="165"/>
      <c r="X827" s="165"/>
      <c r="Y827" s="165"/>
      <c r="Z827" s="165"/>
    </row>
    <row r="828" spans="16:26" ht="10.199999999999999" customHeight="1">
      <c r="P828" s="165"/>
      <c r="Q828" s="165"/>
      <c r="R828" s="165"/>
      <c r="S828" s="165"/>
      <c r="T828" s="165"/>
      <c r="U828" s="165"/>
      <c r="V828" s="165"/>
      <c r="W828" s="165"/>
      <c r="X828" s="165"/>
      <c r="Y828" s="165"/>
      <c r="Z828" s="165"/>
    </row>
    <row r="829" spans="16:26" ht="10.199999999999999" customHeight="1">
      <c r="P829" s="165"/>
      <c r="Q829" s="165"/>
      <c r="R829" s="165"/>
      <c r="S829" s="165"/>
      <c r="T829" s="165"/>
      <c r="U829" s="165"/>
      <c r="V829" s="165"/>
      <c r="W829" s="165"/>
      <c r="X829" s="165"/>
      <c r="Y829" s="165"/>
      <c r="Z829" s="165"/>
    </row>
    <row r="830" spans="16:26" ht="10.199999999999999" customHeight="1">
      <c r="P830" s="165"/>
      <c r="Q830" s="165"/>
      <c r="R830" s="165"/>
      <c r="S830" s="165"/>
      <c r="T830" s="165"/>
      <c r="U830" s="165"/>
      <c r="V830" s="165"/>
      <c r="W830" s="165"/>
      <c r="X830" s="165"/>
      <c r="Y830" s="165"/>
      <c r="Z830" s="165"/>
    </row>
    <row r="831" spans="16:26" ht="10.199999999999999" customHeight="1">
      <c r="P831" s="165"/>
      <c r="Q831" s="165"/>
      <c r="R831" s="165"/>
      <c r="S831" s="165"/>
      <c r="T831" s="165"/>
      <c r="U831" s="165"/>
      <c r="V831" s="165"/>
      <c r="W831" s="165"/>
      <c r="X831" s="165"/>
      <c r="Y831" s="165"/>
      <c r="Z831" s="165"/>
    </row>
    <row r="832" spans="16:26" ht="10.199999999999999" customHeight="1">
      <c r="P832" s="165"/>
      <c r="Q832" s="165"/>
      <c r="R832" s="165"/>
      <c r="S832" s="165"/>
      <c r="T832" s="165"/>
      <c r="U832" s="165"/>
      <c r="V832" s="165"/>
      <c r="W832" s="165"/>
      <c r="X832" s="165"/>
      <c r="Y832" s="165"/>
      <c r="Z832" s="165"/>
    </row>
    <row r="833" spans="16:26" ht="10.199999999999999" customHeight="1">
      <c r="P833" s="165"/>
      <c r="Q833" s="165"/>
      <c r="R833" s="165"/>
      <c r="S833" s="165"/>
      <c r="T833" s="165"/>
      <c r="U833" s="165"/>
      <c r="V833" s="165"/>
      <c r="W833" s="165"/>
      <c r="X833" s="165"/>
      <c r="Y833" s="165"/>
      <c r="Z833" s="165"/>
    </row>
    <row r="834" spans="16:26" ht="10.199999999999999" customHeight="1">
      <c r="P834" s="165"/>
      <c r="Q834" s="165"/>
      <c r="R834" s="165"/>
      <c r="S834" s="165"/>
      <c r="T834" s="165"/>
      <c r="U834" s="165"/>
      <c r="V834" s="165"/>
      <c r="W834" s="165"/>
      <c r="X834" s="165"/>
      <c r="Y834" s="165"/>
      <c r="Z834" s="165"/>
    </row>
    <row r="835" spans="16:26" ht="10.199999999999999" customHeight="1">
      <c r="P835" s="165"/>
      <c r="Q835" s="165"/>
      <c r="R835" s="165"/>
      <c r="S835" s="165"/>
      <c r="T835" s="165"/>
      <c r="U835" s="165"/>
      <c r="V835" s="165"/>
      <c r="W835" s="165"/>
      <c r="X835" s="165"/>
      <c r="Y835" s="165"/>
      <c r="Z835" s="165"/>
    </row>
    <row r="836" spans="16:26" ht="10.199999999999999" customHeight="1">
      <c r="P836" s="165"/>
      <c r="Q836" s="165"/>
      <c r="R836" s="165"/>
      <c r="S836" s="165"/>
      <c r="T836" s="165"/>
      <c r="U836" s="165"/>
      <c r="V836" s="165"/>
      <c r="W836" s="165"/>
      <c r="X836" s="165"/>
      <c r="Y836" s="165"/>
      <c r="Z836" s="165"/>
    </row>
    <row r="837" spans="16:26" ht="10.199999999999999" customHeight="1">
      <c r="P837" s="165"/>
      <c r="Q837" s="165"/>
      <c r="R837" s="165"/>
      <c r="S837" s="165"/>
      <c r="T837" s="165"/>
      <c r="U837" s="165"/>
      <c r="V837" s="165"/>
      <c r="W837" s="165"/>
      <c r="X837" s="165"/>
      <c r="Y837" s="165"/>
      <c r="Z837" s="165"/>
    </row>
    <row r="838" spans="16:26" ht="10.199999999999999" customHeight="1">
      <c r="P838" s="165"/>
      <c r="Q838" s="165"/>
      <c r="R838" s="165"/>
      <c r="S838" s="165"/>
      <c r="T838" s="165"/>
      <c r="U838" s="165"/>
      <c r="V838" s="165"/>
      <c r="W838" s="165"/>
      <c r="X838" s="165"/>
      <c r="Y838" s="165"/>
      <c r="Z838" s="165"/>
    </row>
    <row r="839" spans="16:26" ht="10.199999999999999" customHeight="1">
      <c r="P839" s="165"/>
      <c r="Q839" s="165"/>
      <c r="R839" s="165"/>
      <c r="S839" s="165"/>
      <c r="T839" s="165"/>
      <c r="U839" s="165"/>
      <c r="V839" s="165"/>
      <c r="W839" s="165"/>
      <c r="X839" s="165"/>
      <c r="Y839" s="165"/>
      <c r="Z839" s="165"/>
    </row>
    <row r="840" spans="16:26" ht="10.199999999999999" customHeight="1">
      <c r="P840" s="165"/>
      <c r="Q840" s="165"/>
      <c r="R840" s="165"/>
      <c r="S840" s="165"/>
      <c r="T840" s="165"/>
      <c r="U840" s="165"/>
      <c r="V840" s="165"/>
      <c r="W840" s="165"/>
      <c r="X840" s="165"/>
      <c r="Y840" s="165"/>
      <c r="Z840" s="165"/>
    </row>
    <row r="841" spans="16:26" ht="10.199999999999999" customHeight="1">
      <c r="P841" s="165"/>
      <c r="Q841" s="165"/>
      <c r="R841" s="165"/>
      <c r="S841" s="165"/>
      <c r="T841" s="165"/>
      <c r="U841" s="165"/>
      <c r="V841" s="165"/>
      <c r="W841" s="165"/>
      <c r="X841" s="165"/>
      <c r="Y841" s="165"/>
      <c r="Z841" s="165"/>
    </row>
    <row r="842" spans="16:26" ht="10.199999999999999" customHeight="1">
      <c r="P842" s="165"/>
      <c r="Q842" s="165"/>
      <c r="R842" s="165"/>
      <c r="S842" s="165"/>
      <c r="T842" s="165"/>
      <c r="U842" s="165"/>
      <c r="V842" s="165"/>
      <c r="W842" s="165"/>
      <c r="X842" s="165"/>
      <c r="Y842" s="165"/>
      <c r="Z842" s="165"/>
    </row>
    <row r="843" spans="16:26" ht="10.199999999999999" customHeight="1">
      <c r="P843" s="165"/>
      <c r="Q843" s="165"/>
      <c r="R843" s="165"/>
      <c r="S843" s="165"/>
      <c r="T843" s="165"/>
      <c r="U843" s="165"/>
      <c r="V843" s="165"/>
      <c r="W843" s="165"/>
      <c r="X843" s="165"/>
      <c r="Y843" s="165"/>
      <c r="Z843" s="165"/>
    </row>
    <row r="844" spans="16:26" ht="10.199999999999999" customHeight="1">
      <c r="P844" s="165"/>
      <c r="Q844" s="165"/>
      <c r="R844" s="165"/>
      <c r="S844" s="165"/>
      <c r="T844" s="165"/>
      <c r="U844" s="165"/>
      <c r="V844" s="165"/>
      <c r="W844" s="165"/>
      <c r="X844" s="165"/>
      <c r="Y844" s="165"/>
      <c r="Z844" s="165"/>
    </row>
    <row r="845" spans="16:26" ht="10.199999999999999" customHeight="1">
      <c r="P845" s="165"/>
      <c r="Q845" s="165"/>
      <c r="R845" s="165"/>
      <c r="S845" s="165"/>
      <c r="T845" s="165"/>
      <c r="U845" s="165"/>
      <c r="V845" s="165"/>
      <c r="W845" s="165"/>
      <c r="X845" s="165"/>
      <c r="Y845" s="165"/>
      <c r="Z845" s="165"/>
    </row>
    <row r="846" spans="16:26" ht="10.199999999999999" customHeight="1">
      <c r="P846" s="165"/>
      <c r="Q846" s="165"/>
      <c r="R846" s="165"/>
      <c r="S846" s="165"/>
      <c r="T846" s="165"/>
      <c r="U846" s="165"/>
      <c r="V846" s="165"/>
      <c r="W846" s="165"/>
      <c r="X846" s="165"/>
      <c r="Y846" s="165"/>
      <c r="Z846" s="165"/>
    </row>
    <row r="847" spans="16:26" ht="10.199999999999999" customHeight="1">
      <c r="P847" s="165"/>
      <c r="Q847" s="165"/>
      <c r="R847" s="165"/>
      <c r="S847" s="165"/>
      <c r="T847" s="165"/>
      <c r="U847" s="165"/>
      <c r="V847" s="165"/>
      <c r="W847" s="165"/>
      <c r="X847" s="165"/>
      <c r="Y847" s="165"/>
      <c r="Z847" s="165"/>
    </row>
    <row r="848" spans="16:26" ht="10.199999999999999" customHeight="1">
      <c r="P848" s="165"/>
      <c r="Q848" s="165"/>
      <c r="R848" s="165"/>
      <c r="S848" s="165"/>
      <c r="T848" s="165"/>
      <c r="U848" s="165"/>
      <c r="V848" s="165"/>
      <c r="W848" s="165"/>
      <c r="X848" s="165"/>
      <c r="Y848" s="165"/>
      <c r="Z848" s="165"/>
    </row>
    <row r="849" spans="16:26" ht="10.199999999999999" customHeight="1">
      <c r="P849" s="165"/>
      <c r="Q849" s="165"/>
      <c r="R849" s="165"/>
      <c r="S849" s="165"/>
      <c r="T849" s="165"/>
      <c r="U849" s="165"/>
      <c r="V849" s="165"/>
      <c r="W849" s="165"/>
      <c r="X849" s="165"/>
      <c r="Y849" s="165"/>
      <c r="Z849" s="165"/>
    </row>
    <row r="850" spans="16:26" ht="10.199999999999999" customHeight="1">
      <c r="P850" s="165"/>
      <c r="Q850" s="165"/>
      <c r="R850" s="165"/>
      <c r="S850" s="165"/>
      <c r="T850" s="165"/>
      <c r="U850" s="165"/>
      <c r="V850" s="165"/>
      <c r="W850" s="165"/>
      <c r="X850" s="165"/>
      <c r="Y850" s="165"/>
      <c r="Z850" s="165"/>
    </row>
    <row r="851" spans="16:26" ht="10.199999999999999" customHeight="1">
      <c r="P851" s="165"/>
      <c r="Q851" s="165"/>
      <c r="R851" s="165"/>
      <c r="S851" s="165"/>
      <c r="T851" s="165"/>
      <c r="U851" s="165"/>
      <c r="V851" s="165"/>
      <c r="W851" s="165"/>
      <c r="X851" s="165"/>
      <c r="Y851" s="165"/>
      <c r="Z851" s="165"/>
    </row>
    <row r="852" spans="16:26" ht="10.199999999999999" customHeight="1">
      <c r="P852" s="165"/>
      <c r="Q852" s="165"/>
      <c r="R852" s="165"/>
      <c r="S852" s="165"/>
      <c r="T852" s="165"/>
      <c r="U852" s="165"/>
      <c r="V852" s="165"/>
      <c r="W852" s="165"/>
      <c r="X852" s="165"/>
      <c r="Y852" s="165"/>
      <c r="Z852" s="165"/>
    </row>
    <row r="853" spans="16:26" ht="10.199999999999999" customHeight="1">
      <c r="P853" s="165"/>
      <c r="Q853" s="165"/>
      <c r="R853" s="165"/>
      <c r="S853" s="165"/>
      <c r="T853" s="165"/>
      <c r="U853" s="165"/>
      <c r="V853" s="165"/>
      <c r="W853" s="165"/>
      <c r="X853" s="165"/>
      <c r="Y853" s="165"/>
      <c r="Z853" s="165"/>
    </row>
    <row r="854" spans="16:26" ht="10.199999999999999" customHeight="1">
      <c r="P854" s="165"/>
      <c r="Q854" s="165"/>
      <c r="R854" s="165"/>
      <c r="S854" s="165"/>
      <c r="T854" s="165"/>
      <c r="U854" s="165"/>
      <c r="V854" s="165"/>
      <c r="W854" s="165"/>
      <c r="X854" s="165"/>
      <c r="Y854" s="165"/>
      <c r="Z854" s="165"/>
    </row>
    <row r="855" spans="16:26" ht="10.199999999999999" customHeight="1">
      <c r="P855" s="165"/>
      <c r="Q855" s="165"/>
      <c r="R855" s="165"/>
      <c r="S855" s="165"/>
      <c r="T855" s="165"/>
      <c r="U855" s="165"/>
      <c r="V855" s="165"/>
      <c r="W855" s="165"/>
      <c r="X855" s="165"/>
      <c r="Y855" s="165"/>
      <c r="Z855" s="165"/>
    </row>
    <row r="856" spans="16:26" ht="10.199999999999999" customHeight="1">
      <c r="P856" s="165"/>
      <c r="Q856" s="165"/>
      <c r="R856" s="165"/>
      <c r="S856" s="165"/>
      <c r="T856" s="165"/>
      <c r="U856" s="165"/>
      <c r="V856" s="165"/>
      <c r="W856" s="165"/>
      <c r="X856" s="165"/>
      <c r="Y856" s="165"/>
      <c r="Z856" s="165"/>
    </row>
    <row r="857" spans="16:26" ht="10.199999999999999" customHeight="1">
      <c r="P857" s="165"/>
      <c r="Q857" s="165"/>
      <c r="R857" s="165"/>
      <c r="S857" s="165"/>
      <c r="T857" s="165"/>
      <c r="U857" s="165"/>
      <c r="V857" s="165"/>
      <c r="W857" s="165"/>
      <c r="X857" s="165"/>
      <c r="Y857" s="165"/>
      <c r="Z857" s="165"/>
    </row>
    <row r="858" spans="16:26" ht="10.199999999999999" customHeight="1">
      <c r="P858" s="165"/>
      <c r="Q858" s="165"/>
      <c r="R858" s="165"/>
      <c r="S858" s="165"/>
      <c r="T858" s="165"/>
      <c r="U858" s="165"/>
      <c r="V858" s="165"/>
      <c r="W858" s="165"/>
      <c r="X858" s="165"/>
      <c r="Y858" s="165"/>
      <c r="Z858" s="165"/>
    </row>
    <row r="859" spans="16:26" ht="10.199999999999999" customHeight="1">
      <c r="P859" s="165"/>
      <c r="Q859" s="165"/>
      <c r="R859" s="165"/>
      <c r="S859" s="165"/>
      <c r="T859" s="165"/>
      <c r="U859" s="165"/>
      <c r="V859" s="165"/>
      <c r="W859" s="165"/>
      <c r="X859" s="165"/>
      <c r="Y859" s="165"/>
      <c r="Z859" s="165"/>
    </row>
    <row r="860" spans="16:26" ht="10.199999999999999" customHeight="1">
      <c r="P860" s="165"/>
      <c r="Q860" s="165"/>
      <c r="R860" s="165"/>
      <c r="S860" s="165"/>
      <c r="T860" s="165"/>
      <c r="U860" s="165"/>
      <c r="V860" s="165"/>
      <c r="W860" s="165"/>
      <c r="X860" s="165"/>
      <c r="Y860" s="165"/>
      <c r="Z860" s="165"/>
    </row>
    <row r="861" spans="16:26" ht="10.199999999999999" customHeight="1">
      <c r="P861" s="165"/>
      <c r="Q861" s="165"/>
      <c r="R861" s="165"/>
      <c r="S861" s="165"/>
      <c r="T861" s="165"/>
      <c r="U861" s="165"/>
      <c r="V861" s="165"/>
      <c r="W861" s="165"/>
      <c r="X861" s="165"/>
      <c r="Y861" s="165"/>
      <c r="Z861" s="165"/>
    </row>
    <row r="862" spans="16:26" ht="10.199999999999999" customHeight="1">
      <c r="P862" s="165"/>
      <c r="Q862" s="165"/>
      <c r="R862" s="165"/>
      <c r="S862" s="165"/>
      <c r="T862" s="165"/>
      <c r="U862" s="165"/>
      <c r="V862" s="165"/>
      <c r="W862" s="165"/>
      <c r="X862" s="165"/>
      <c r="Y862" s="165"/>
      <c r="Z862" s="165"/>
    </row>
    <row r="863" spans="16:26" ht="10.199999999999999" customHeight="1">
      <c r="P863" s="165"/>
      <c r="Q863" s="165"/>
      <c r="R863" s="165"/>
      <c r="S863" s="165"/>
      <c r="T863" s="165"/>
      <c r="U863" s="165"/>
      <c r="V863" s="165"/>
      <c r="W863" s="165"/>
      <c r="X863" s="165"/>
      <c r="Y863" s="165"/>
      <c r="Z863" s="165"/>
    </row>
    <row r="864" spans="16:26" ht="10.199999999999999" customHeight="1">
      <c r="P864" s="165"/>
      <c r="Q864" s="165"/>
      <c r="R864" s="165"/>
      <c r="S864" s="165"/>
      <c r="T864" s="165"/>
      <c r="U864" s="165"/>
      <c r="V864" s="165"/>
      <c r="W864" s="165"/>
      <c r="X864" s="165"/>
      <c r="Y864" s="165"/>
      <c r="Z864" s="165"/>
    </row>
    <row r="865" spans="16:26" ht="10.199999999999999" customHeight="1">
      <c r="P865" s="165"/>
      <c r="Q865" s="165"/>
      <c r="R865" s="165"/>
      <c r="S865" s="165"/>
      <c r="T865" s="165"/>
      <c r="U865" s="165"/>
      <c r="V865" s="165"/>
      <c r="W865" s="165"/>
      <c r="X865" s="165"/>
      <c r="Y865" s="165"/>
      <c r="Z865" s="165"/>
    </row>
    <row r="866" spans="16:26" ht="10.199999999999999" customHeight="1">
      <c r="P866" s="165"/>
      <c r="Q866" s="165"/>
      <c r="R866" s="165"/>
      <c r="S866" s="165"/>
      <c r="T866" s="165"/>
      <c r="U866" s="165"/>
      <c r="V866" s="165"/>
      <c r="W866" s="165"/>
      <c r="X866" s="165"/>
      <c r="Y866" s="165"/>
      <c r="Z866" s="165"/>
    </row>
    <row r="867" spans="16:26" ht="10.199999999999999" customHeight="1">
      <c r="P867" s="165"/>
      <c r="Q867" s="165"/>
      <c r="R867" s="165"/>
      <c r="S867" s="165"/>
      <c r="T867" s="165"/>
      <c r="U867" s="165"/>
      <c r="V867" s="165"/>
      <c r="W867" s="165"/>
      <c r="X867" s="165"/>
      <c r="Y867" s="165"/>
      <c r="Z867" s="165"/>
    </row>
    <row r="868" spans="16:26" ht="10.199999999999999" customHeight="1">
      <c r="P868" s="165"/>
      <c r="Q868" s="165"/>
      <c r="R868" s="165"/>
      <c r="S868" s="165"/>
      <c r="T868" s="165"/>
      <c r="U868" s="165"/>
      <c r="V868" s="165"/>
      <c r="W868" s="165"/>
      <c r="X868" s="165"/>
      <c r="Y868" s="165"/>
      <c r="Z868" s="165"/>
    </row>
    <row r="869" spans="16:26" ht="10.199999999999999" customHeight="1">
      <c r="P869" s="165"/>
      <c r="Q869" s="165"/>
      <c r="R869" s="165"/>
      <c r="S869" s="165"/>
      <c r="T869" s="165"/>
      <c r="U869" s="165"/>
      <c r="V869" s="165"/>
      <c r="W869" s="165"/>
      <c r="X869" s="165"/>
      <c r="Y869" s="165"/>
      <c r="Z869" s="165"/>
    </row>
    <row r="870" spans="16:26" ht="10.199999999999999" customHeight="1">
      <c r="P870" s="165"/>
      <c r="Q870" s="165"/>
      <c r="R870" s="165"/>
      <c r="S870" s="165"/>
      <c r="T870" s="165"/>
      <c r="U870" s="165"/>
      <c r="V870" s="165"/>
      <c r="W870" s="165"/>
      <c r="X870" s="165"/>
      <c r="Y870" s="165"/>
      <c r="Z870" s="165"/>
    </row>
    <row r="871" spans="16:26" ht="10.199999999999999" customHeight="1">
      <c r="P871" s="165"/>
      <c r="Q871" s="165"/>
      <c r="R871" s="165"/>
      <c r="S871" s="165"/>
      <c r="T871" s="165"/>
      <c r="U871" s="165"/>
      <c r="V871" s="165"/>
      <c r="W871" s="165"/>
      <c r="X871" s="165"/>
      <c r="Y871" s="165"/>
      <c r="Z871" s="165"/>
    </row>
    <row r="872" spans="16:26" ht="10.199999999999999" customHeight="1">
      <c r="P872" s="165"/>
      <c r="Q872" s="165"/>
      <c r="R872" s="165"/>
      <c r="S872" s="165"/>
      <c r="T872" s="165"/>
      <c r="U872" s="165"/>
      <c r="V872" s="165"/>
      <c r="W872" s="165"/>
      <c r="X872" s="165"/>
      <c r="Y872" s="165"/>
      <c r="Z872" s="165"/>
    </row>
    <row r="873" spans="16:26" ht="10.199999999999999" customHeight="1">
      <c r="P873" s="165"/>
      <c r="Q873" s="165"/>
      <c r="R873" s="165"/>
      <c r="S873" s="165"/>
      <c r="T873" s="165"/>
      <c r="U873" s="165"/>
      <c r="V873" s="165"/>
      <c r="W873" s="165"/>
      <c r="X873" s="165"/>
      <c r="Y873" s="165"/>
      <c r="Z873" s="165"/>
    </row>
    <row r="874" spans="16:26" ht="10.199999999999999" customHeight="1">
      <c r="P874" s="165"/>
      <c r="Q874" s="165"/>
      <c r="R874" s="165"/>
      <c r="S874" s="165"/>
      <c r="T874" s="165"/>
      <c r="U874" s="165"/>
      <c r="V874" s="165"/>
      <c r="W874" s="165"/>
      <c r="X874" s="165"/>
      <c r="Y874" s="165"/>
      <c r="Z874" s="165"/>
    </row>
    <row r="875" spans="16:26" ht="10.199999999999999" customHeight="1">
      <c r="P875" s="165"/>
      <c r="Q875" s="165"/>
      <c r="R875" s="165"/>
      <c r="S875" s="165"/>
      <c r="T875" s="165"/>
      <c r="U875" s="165"/>
      <c r="V875" s="165"/>
      <c r="W875" s="165"/>
      <c r="X875" s="165"/>
      <c r="Y875" s="165"/>
      <c r="Z875" s="165"/>
    </row>
    <row r="876" spans="16:26" ht="10.199999999999999" customHeight="1">
      <c r="P876" s="165"/>
      <c r="Q876" s="165"/>
      <c r="R876" s="165"/>
      <c r="S876" s="165"/>
      <c r="T876" s="165"/>
      <c r="U876" s="165"/>
      <c r="V876" s="165"/>
      <c r="W876" s="165"/>
      <c r="X876" s="165"/>
      <c r="Y876" s="165"/>
      <c r="Z876" s="165"/>
    </row>
    <row r="877" spans="16:26" ht="10.199999999999999" customHeight="1">
      <c r="P877" s="165"/>
      <c r="Q877" s="165"/>
      <c r="R877" s="165"/>
      <c r="S877" s="165"/>
      <c r="T877" s="165"/>
      <c r="U877" s="165"/>
      <c r="V877" s="165"/>
      <c r="W877" s="165"/>
      <c r="X877" s="165"/>
      <c r="Y877" s="165"/>
      <c r="Z877" s="165"/>
    </row>
    <row r="878" spans="16:26" ht="10.199999999999999" customHeight="1">
      <c r="P878" s="165"/>
      <c r="Q878" s="165"/>
      <c r="R878" s="165"/>
      <c r="S878" s="165"/>
      <c r="T878" s="165"/>
      <c r="U878" s="165"/>
      <c r="V878" s="165"/>
      <c r="W878" s="165"/>
      <c r="X878" s="165"/>
      <c r="Y878" s="165"/>
      <c r="Z878" s="165"/>
    </row>
    <row r="879" spans="16:26" ht="10.199999999999999" customHeight="1">
      <c r="P879" s="165"/>
      <c r="Q879" s="165"/>
      <c r="R879" s="165"/>
      <c r="S879" s="165"/>
      <c r="T879" s="165"/>
      <c r="U879" s="165"/>
      <c r="V879" s="165"/>
      <c r="W879" s="165"/>
      <c r="X879" s="165"/>
      <c r="Y879" s="165"/>
      <c r="Z879" s="165"/>
    </row>
    <row r="880" spans="16:26" ht="10.199999999999999" customHeight="1">
      <c r="P880" s="165"/>
      <c r="Q880" s="165"/>
      <c r="R880" s="165"/>
      <c r="S880" s="165"/>
      <c r="T880" s="165"/>
      <c r="U880" s="165"/>
      <c r="V880" s="165"/>
      <c r="W880" s="165"/>
      <c r="X880" s="165"/>
      <c r="Y880" s="165"/>
      <c r="Z880" s="165"/>
    </row>
    <row r="881" spans="16:26" ht="10.199999999999999" customHeight="1">
      <c r="P881" s="165"/>
      <c r="Q881" s="165"/>
      <c r="R881" s="165"/>
      <c r="S881" s="165"/>
      <c r="T881" s="165"/>
      <c r="U881" s="165"/>
      <c r="V881" s="165"/>
      <c r="W881" s="165"/>
      <c r="X881" s="165"/>
      <c r="Y881" s="165"/>
      <c r="Z881" s="165"/>
    </row>
    <row r="882" spans="16:26" ht="10.199999999999999" customHeight="1">
      <c r="P882" s="165"/>
      <c r="Q882" s="165"/>
      <c r="R882" s="165"/>
      <c r="S882" s="165"/>
      <c r="T882" s="165"/>
      <c r="U882" s="165"/>
      <c r="V882" s="165"/>
      <c r="W882" s="165"/>
      <c r="X882" s="165"/>
      <c r="Y882" s="165"/>
      <c r="Z882" s="165"/>
    </row>
    <row r="883" spans="16:26" ht="10.199999999999999" customHeight="1">
      <c r="P883" s="165"/>
      <c r="Q883" s="165"/>
      <c r="R883" s="165"/>
      <c r="S883" s="165"/>
      <c r="T883" s="165"/>
      <c r="U883" s="165"/>
      <c r="V883" s="165"/>
      <c r="W883" s="165"/>
      <c r="X883" s="165"/>
      <c r="Y883" s="165"/>
      <c r="Z883" s="165"/>
    </row>
    <row r="884" spans="16:26" ht="10.199999999999999" customHeight="1">
      <c r="P884" s="165"/>
      <c r="Q884" s="165"/>
      <c r="R884" s="165"/>
      <c r="S884" s="165"/>
      <c r="T884" s="165"/>
      <c r="U884" s="165"/>
      <c r="V884" s="165"/>
      <c r="W884" s="165"/>
      <c r="X884" s="165"/>
      <c r="Y884" s="165"/>
      <c r="Z884" s="165"/>
    </row>
  </sheetData>
  <sheetProtection password="83B1" sheet="1" objects="1" scenarios="1" selectLockedCells="1"/>
  <pageMargins left="0.75" right="0.75" top="1" bottom="1" header="0.5" footer="0.5"/>
  <pageSetup orientation="portrait" horizontalDpi="1200" verticalDpi="1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Z884"/>
  <sheetViews>
    <sheetView workbookViewId="0">
      <selection activeCell="P1" sqref="P1"/>
    </sheetView>
  </sheetViews>
  <sheetFormatPr defaultColWidth="8" defaultRowHeight="10.199999999999999"/>
  <cols>
    <col min="1" max="15" width="8" style="98"/>
    <col min="16" max="26" width="8" style="166"/>
    <col min="27" max="16384" width="8" style="98"/>
  </cols>
  <sheetData>
    <row r="1" spans="2:26">
      <c r="B1" s="98" t="s">
        <v>144</v>
      </c>
      <c r="C1" s="98" t="s">
        <v>145</v>
      </c>
      <c r="D1" s="98" t="s">
        <v>146</v>
      </c>
      <c r="E1" s="98" t="s">
        <v>147</v>
      </c>
      <c r="F1" s="98" t="s">
        <v>148</v>
      </c>
      <c r="G1" s="98" t="s">
        <v>149</v>
      </c>
      <c r="H1" s="98" t="s">
        <v>150</v>
      </c>
      <c r="I1" s="98" t="s">
        <v>151</v>
      </c>
      <c r="J1" s="98" t="s">
        <v>152</v>
      </c>
      <c r="P1" s="165"/>
      <c r="Q1" s="165"/>
      <c r="R1" s="165"/>
      <c r="S1" s="165"/>
      <c r="T1" s="165"/>
      <c r="U1" s="165"/>
      <c r="V1" s="165"/>
      <c r="W1" s="165"/>
      <c r="X1" s="165"/>
      <c r="Y1" s="165"/>
      <c r="Z1" s="165"/>
    </row>
    <row r="2" spans="2:26">
      <c r="B2" s="98" t="s">
        <v>153</v>
      </c>
      <c r="C2" s="98" t="s">
        <v>154</v>
      </c>
      <c r="D2" s="98" t="s">
        <v>154</v>
      </c>
      <c r="E2" s="98" t="s">
        <v>155</v>
      </c>
      <c r="F2" s="98" t="s">
        <v>155</v>
      </c>
      <c r="G2" s="98" t="s">
        <v>156</v>
      </c>
      <c r="H2" s="98" t="s">
        <v>157</v>
      </c>
      <c r="I2" s="98" t="s">
        <v>158</v>
      </c>
      <c r="J2" s="98" t="s">
        <v>159</v>
      </c>
      <c r="K2" s="98" t="s">
        <v>160</v>
      </c>
      <c r="L2" s="98" t="s">
        <v>161</v>
      </c>
      <c r="P2" s="165"/>
      <c r="Q2" s="165"/>
      <c r="R2" s="165"/>
      <c r="S2" s="165"/>
      <c r="T2" s="165"/>
      <c r="U2" s="165"/>
      <c r="V2" s="165"/>
      <c r="W2" s="165"/>
      <c r="X2" s="165"/>
      <c r="Y2" s="165"/>
      <c r="Z2" s="165"/>
    </row>
    <row r="3" spans="2:26">
      <c r="P3" s="165"/>
      <c r="Q3" s="165"/>
      <c r="R3" s="165"/>
      <c r="S3" s="165"/>
      <c r="T3" s="165"/>
      <c r="U3" s="165"/>
      <c r="V3" s="165"/>
      <c r="W3" s="165"/>
      <c r="X3" s="165"/>
      <c r="Y3" s="165"/>
      <c r="Z3" s="165"/>
    </row>
    <row r="4" spans="2:26">
      <c r="B4" s="98" t="s">
        <v>162</v>
      </c>
      <c r="C4" s="95" t="str">
        <f ca="1">IF(P1="","","L"&amp;MID(INDIRECT("P"&amp;L4),6,2))</f>
        <v/>
      </c>
      <c r="D4" s="95" t="str">
        <f ca="1">IF(P1="","",MID(INDIRECT("P"&amp;L4),SEARCH("(",INDIRECT("P"&amp;L4),1)+1,3))</f>
        <v/>
      </c>
      <c r="E4" s="95" t="str">
        <f ca="1">IF(P1="","",MID(INDIRECT("P"&amp;L4),SEARCH(")",INDIRECT("P"&amp;L4),1)+2,LEN(INDIRECT("P"&amp;L4))))</f>
        <v/>
      </c>
      <c r="F4" s="95"/>
      <c r="G4" s="95"/>
      <c r="H4" s="95"/>
      <c r="I4" s="95"/>
      <c r="J4" s="95"/>
      <c r="K4" s="95"/>
      <c r="L4" s="95" t="str">
        <f>IF(P1="","",MATCH("CASE*",P1:P10,0))</f>
        <v/>
      </c>
      <c r="M4" s="99">
        <f>ROUND(COUNT(P:P)*1.6,0)</f>
        <v>0</v>
      </c>
      <c r="P4" s="165"/>
      <c r="Q4" s="165"/>
      <c r="R4" s="165"/>
      <c r="S4" s="165"/>
      <c r="T4" s="165"/>
      <c r="U4" s="165"/>
      <c r="V4" s="165"/>
      <c r="W4" s="165"/>
      <c r="X4" s="165"/>
      <c r="Y4" s="165"/>
      <c r="Z4" s="165"/>
    </row>
    <row r="5" spans="2:26">
      <c r="P5" s="165"/>
      <c r="Q5" s="165"/>
      <c r="R5" s="165"/>
      <c r="S5" s="165"/>
      <c r="T5" s="165"/>
      <c r="U5" s="165"/>
      <c r="V5" s="165"/>
      <c r="W5" s="165"/>
      <c r="X5" s="165"/>
      <c r="Y5" s="165"/>
      <c r="Z5" s="165"/>
    </row>
    <row r="6" spans="2:26">
      <c r="B6" s="97" t="str">
        <f>IF(Calculation!BE11="","",Calculation!BE11)</f>
        <v/>
      </c>
      <c r="C6" s="99" t="str">
        <f t="shared" ref="C6:L21" ca="1" si="0">IF($M$4=0,"",VLOOKUP($B6,INDIRECT("$P$1:$Z$"&amp;$M$4),COLUMN()-1,0))</f>
        <v/>
      </c>
      <c r="D6" s="99" t="str">
        <f t="shared" ca="1" si="0"/>
        <v/>
      </c>
      <c r="E6" s="99" t="str">
        <f t="shared" ca="1" si="0"/>
        <v/>
      </c>
      <c r="F6" s="99" t="str">
        <f t="shared" ca="1" si="0"/>
        <v/>
      </c>
      <c r="G6" s="99" t="str">
        <f t="shared" ca="1" si="0"/>
        <v/>
      </c>
      <c r="H6" s="99" t="str">
        <f t="shared" ca="1" si="0"/>
        <v/>
      </c>
      <c r="I6" s="99" t="str">
        <f t="shared" ca="1" si="0"/>
        <v/>
      </c>
      <c r="J6" s="99" t="str">
        <f t="shared" ca="1" si="0"/>
        <v/>
      </c>
      <c r="K6" s="99" t="str">
        <f t="shared" ca="1" si="0"/>
        <v/>
      </c>
      <c r="L6" s="99" t="str">
        <f t="shared" ca="1" si="0"/>
        <v/>
      </c>
      <c r="P6" s="165"/>
      <c r="Q6" s="165"/>
      <c r="R6" s="165"/>
      <c r="S6" s="165"/>
      <c r="T6" s="165"/>
      <c r="U6" s="165"/>
      <c r="V6" s="165"/>
      <c r="W6" s="165"/>
      <c r="X6" s="165"/>
      <c r="Y6" s="165"/>
      <c r="Z6" s="165"/>
    </row>
    <row r="7" spans="2:26">
      <c r="B7" s="97" t="str">
        <f>IF(Calculation!BE12="","",Calculation!BE12)</f>
        <v/>
      </c>
      <c r="C7" s="99" t="str">
        <f t="shared" ca="1" si="0"/>
        <v/>
      </c>
      <c r="D7" s="99" t="str">
        <f t="shared" ca="1" si="0"/>
        <v/>
      </c>
      <c r="E7" s="99" t="str">
        <f t="shared" ca="1" si="0"/>
        <v/>
      </c>
      <c r="F7" s="99" t="str">
        <f t="shared" ca="1" si="0"/>
        <v/>
      </c>
      <c r="G7" s="99" t="str">
        <f t="shared" ca="1" si="0"/>
        <v/>
      </c>
      <c r="H7" s="99" t="str">
        <f t="shared" ca="1" si="0"/>
        <v/>
      </c>
      <c r="I7" s="99" t="str">
        <f t="shared" ca="1" si="0"/>
        <v/>
      </c>
      <c r="J7" s="99" t="str">
        <f t="shared" ca="1" si="0"/>
        <v/>
      </c>
      <c r="K7" s="99" t="str">
        <f t="shared" ca="1" si="0"/>
        <v/>
      </c>
      <c r="L7" s="99" t="str">
        <f t="shared" ca="1" si="0"/>
        <v/>
      </c>
      <c r="P7" s="165"/>
      <c r="Q7" s="165"/>
      <c r="R7" s="165"/>
      <c r="S7" s="165"/>
      <c r="T7" s="165"/>
      <c r="U7" s="165"/>
      <c r="V7" s="165"/>
      <c r="W7" s="165"/>
      <c r="X7" s="165"/>
      <c r="Y7" s="165"/>
      <c r="Z7" s="165"/>
    </row>
    <row r="8" spans="2:26">
      <c r="B8" s="97" t="str">
        <f>IF(Calculation!BE13="","",Calculation!BE13)</f>
        <v/>
      </c>
      <c r="C8" s="99" t="str">
        <f t="shared" ca="1" si="0"/>
        <v/>
      </c>
      <c r="D8" s="99" t="str">
        <f t="shared" ca="1" si="0"/>
        <v/>
      </c>
      <c r="E8" s="99" t="str">
        <f t="shared" ca="1" si="0"/>
        <v/>
      </c>
      <c r="F8" s="99" t="str">
        <f t="shared" ca="1" si="0"/>
        <v/>
      </c>
      <c r="G8" s="99" t="str">
        <f t="shared" ca="1" si="0"/>
        <v/>
      </c>
      <c r="H8" s="99" t="str">
        <f t="shared" ca="1" si="0"/>
        <v/>
      </c>
      <c r="I8" s="99" t="str">
        <f t="shared" ca="1" si="0"/>
        <v/>
      </c>
      <c r="J8" s="99" t="str">
        <f t="shared" ca="1" si="0"/>
        <v/>
      </c>
      <c r="K8" s="99" t="str">
        <f t="shared" ca="1" si="0"/>
        <v/>
      </c>
      <c r="L8" s="99" t="str">
        <f t="shared" ca="1" si="0"/>
        <v/>
      </c>
      <c r="P8" s="165"/>
      <c r="Q8" s="165"/>
      <c r="R8" s="165"/>
      <c r="S8" s="165"/>
      <c r="T8" s="165"/>
      <c r="U8" s="165"/>
      <c r="V8" s="165"/>
      <c r="W8" s="165"/>
      <c r="X8" s="165"/>
      <c r="Y8" s="165"/>
      <c r="Z8" s="165"/>
    </row>
    <row r="9" spans="2:26">
      <c r="B9" s="97" t="str">
        <f>IF(Calculation!BE14="","",Calculation!BE14)</f>
        <v/>
      </c>
      <c r="C9" s="99" t="str">
        <f t="shared" ca="1" si="0"/>
        <v/>
      </c>
      <c r="D9" s="99" t="str">
        <f t="shared" ca="1" si="0"/>
        <v/>
      </c>
      <c r="E9" s="99" t="str">
        <f t="shared" ca="1" si="0"/>
        <v/>
      </c>
      <c r="F9" s="99" t="str">
        <f t="shared" ca="1" si="0"/>
        <v/>
      </c>
      <c r="G9" s="99" t="str">
        <f t="shared" ca="1" si="0"/>
        <v/>
      </c>
      <c r="H9" s="99" t="str">
        <f t="shared" ca="1" si="0"/>
        <v/>
      </c>
      <c r="I9" s="99" t="str">
        <f t="shared" ca="1" si="0"/>
        <v/>
      </c>
      <c r="J9" s="99" t="str">
        <f t="shared" ca="1" si="0"/>
        <v/>
      </c>
      <c r="K9" s="99" t="str">
        <f t="shared" ca="1" si="0"/>
        <v/>
      </c>
      <c r="L9" s="99" t="str">
        <f t="shared" ca="1" si="0"/>
        <v/>
      </c>
      <c r="P9" s="165"/>
      <c r="Q9" s="165"/>
      <c r="R9" s="165"/>
      <c r="S9" s="165"/>
      <c r="T9" s="165"/>
      <c r="U9" s="165"/>
      <c r="V9" s="165"/>
      <c r="W9" s="165"/>
      <c r="X9" s="165"/>
      <c r="Y9" s="165"/>
      <c r="Z9" s="165"/>
    </row>
    <row r="10" spans="2:26">
      <c r="B10" s="97" t="str">
        <f>IF(Calculation!BE15="","",Calculation!BE15)</f>
        <v/>
      </c>
      <c r="C10" s="99" t="str">
        <f t="shared" ca="1" si="0"/>
        <v/>
      </c>
      <c r="D10" s="99" t="str">
        <f t="shared" ca="1" si="0"/>
        <v/>
      </c>
      <c r="E10" s="99" t="str">
        <f t="shared" ca="1" si="0"/>
        <v/>
      </c>
      <c r="F10" s="99" t="str">
        <f t="shared" ca="1" si="0"/>
        <v/>
      </c>
      <c r="G10" s="99" t="str">
        <f t="shared" ca="1" si="0"/>
        <v/>
      </c>
      <c r="H10" s="99" t="str">
        <f t="shared" ca="1" si="0"/>
        <v/>
      </c>
      <c r="I10" s="99" t="str">
        <f t="shared" ca="1" si="0"/>
        <v/>
      </c>
      <c r="J10" s="99" t="str">
        <f t="shared" ca="1" si="0"/>
        <v/>
      </c>
      <c r="K10" s="99" t="str">
        <f t="shared" ca="1" si="0"/>
        <v/>
      </c>
      <c r="L10" s="99" t="str">
        <f t="shared" ca="1" si="0"/>
        <v/>
      </c>
      <c r="P10" s="165"/>
      <c r="Q10" s="165"/>
      <c r="R10" s="165"/>
      <c r="S10" s="165"/>
      <c r="T10" s="165"/>
      <c r="U10" s="165"/>
      <c r="V10" s="165"/>
      <c r="W10" s="165"/>
      <c r="X10" s="165"/>
      <c r="Y10" s="165"/>
      <c r="Z10" s="165"/>
    </row>
    <row r="11" spans="2:26">
      <c r="B11" s="97" t="str">
        <f>IF(Calculation!BE16="","",Calculation!BE16)</f>
        <v/>
      </c>
      <c r="C11" s="99" t="str">
        <f t="shared" ca="1" si="0"/>
        <v/>
      </c>
      <c r="D11" s="99" t="str">
        <f t="shared" ca="1" si="0"/>
        <v/>
      </c>
      <c r="E11" s="99" t="str">
        <f t="shared" ca="1" si="0"/>
        <v/>
      </c>
      <c r="F11" s="99" t="str">
        <f t="shared" ca="1" si="0"/>
        <v/>
      </c>
      <c r="G11" s="99" t="str">
        <f t="shared" ca="1" si="0"/>
        <v/>
      </c>
      <c r="H11" s="99" t="str">
        <f t="shared" ca="1" si="0"/>
        <v/>
      </c>
      <c r="I11" s="99" t="str">
        <f t="shared" ca="1" si="0"/>
        <v/>
      </c>
      <c r="J11" s="99" t="str">
        <f t="shared" ca="1" si="0"/>
        <v/>
      </c>
      <c r="K11" s="99" t="str">
        <f t="shared" ca="1" si="0"/>
        <v/>
      </c>
      <c r="L11" s="99" t="str">
        <f t="shared" ca="1" si="0"/>
        <v/>
      </c>
      <c r="P11" s="165"/>
      <c r="Q11" s="165"/>
      <c r="R11" s="165"/>
      <c r="S11" s="165"/>
      <c r="T11" s="165"/>
      <c r="U11" s="165"/>
      <c r="V11" s="165"/>
      <c r="W11" s="165"/>
      <c r="X11" s="165"/>
      <c r="Y11" s="165"/>
      <c r="Z11" s="165"/>
    </row>
    <row r="12" spans="2:26">
      <c r="B12" s="97" t="str">
        <f>IF(Calculation!BE17="","",Calculation!BE17)</f>
        <v/>
      </c>
      <c r="C12" s="99" t="str">
        <f t="shared" ca="1" si="0"/>
        <v/>
      </c>
      <c r="D12" s="99" t="str">
        <f t="shared" ca="1" si="0"/>
        <v/>
      </c>
      <c r="E12" s="99" t="str">
        <f t="shared" ca="1" si="0"/>
        <v/>
      </c>
      <c r="F12" s="99" t="str">
        <f t="shared" ca="1" si="0"/>
        <v/>
      </c>
      <c r="G12" s="99" t="str">
        <f t="shared" ca="1" si="0"/>
        <v/>
      </c>
      <c r="H12" s="99" t="str">
        <f t="shared" ca="1" si="0"/>
        <v/>
      </c>
      <c r="I12" s="99" t="str">
        <f t="shared" ca="1" si="0"/>
        <v/>
      </c>
      <c r="J12" s="99" t="str">
        <f t="shared" ca="1" si="0"/>
        <v/>
      </c>
      <c r="K12" s="99" t="str">
        <f t="shared" ca="1" si="0"/>
        <v/>
      </c>
      <c r="L12" s="99" t="str">
        <f t="shared" ca="1" si="0"/>
        <v/>
      </c>
      <c r="P12" s="165"/>
      <c r="Q12" s="165"/>
      <c r="R12" s="165"/>
      <c r="S12" s="165"/>
      <c r="T12" s="165"/>
      <c r="U12" s="165"/>
      <c r="V12" s="165"/>
      <c r="W12" s="165"/>
      <c r="X12" s="165"/>
      <c r="Y12" s="165"/>
      <c r="Z12" s="165"/>
    </row>
    <row r="13" spans="2:26">
      <c r="B13" s="97" t="str">
        <f>IF(Calculation!BE18="","",Calculation!BE18)</f>
        <v/>
      </c>
      <c r="C13" s="99" t="str">
        <f t="shared" ca="1" si="0"/>
        <v/>
      </c>
      <c r="D13" s="99" t="str">
        <f t="shared" ca="1" si="0"/>
        <v/>
      </c>
      <c r="E13" s="99" t="str">
        <f t="shared" ca="1" si="0"/>
        <v/>
      </c>
      <c r="F13" s="99" t="str">
        <f t="shared" ca="1" si="0"/>
        <v/>
      </c>
      <c r="G13" s="99" t="str">
        <f t="shared" ca="1" si="0"/>
        <v/>
      </c>
      <c r="H13" s="99" t="str">
        <f t="shared" ca="1" si="0"/>
        <v/>
      </c>
      <c r="I13" s="99" t="str">
        <f t="shared" ca="1" si="0"/>
        <v/>
      </c>
      <c r="J13" s="99" t="str">
        <f t="shared" ca="1" si="0"/>
        <v/>
      </c>
      <c r="K13" s="99" t="str">
        <f t="shared" ca="1" si="0"/>
        <v/>
      </c>
      <c r="L13" s="99" t="str">
        <f t="shared" ca="1" si="0"/>
        <v/>
      </c>
      <c r="P13" s="165"/>
      <c r="Q13" s="165"/>
      <c r="R13" s="165"/>
      <c r="S13" s="165"/>
      <c r="T13" s="165"/>
      <c r="U13" s="165"/>
      <c r="V13" s="165"/>
      <c r="W13" s="165"/>
      <c r="X13" s="165"/>
      <c r="Y13" s="165"/>
      <c r="Z13" s="165"/>
    </row>
    <row r="14" spans="2:26">
      <c r="B14" s="97" t="str">
        <f>IF(Calculation!BE19="","",Calculation!BE19)</f>
        <v/>
      </c>
      <c r="C14" s="99" t="str">
        <f t="shared" ca="1" si="0"/>
        <v/>
      </c>
      <c r="D14" s="99" t="str">
        <f t="shared" ca="1" si="0"/>
        <v/>
      </c>
      <c r="E14" s="99" t="str">
        <f t="shared" ca="1" si="0"/>
        <v/>
      </c>
      <c r="F14" s="99" t="str">
        <f t="shared" ca="1" si="0"/>
        <v/>
      </c>
      <c r="G14" s="99" t="str">
        <f t="shared" ca="1" si="0"/>
        <v/>
      </c>
      <c r="H14" s="99" t="str">
        <f t="shared" ca="1" si="0"/>
        <v/>
      </c>
      <c r="I14" s="99" t="str">
        <f t="shared" ca="1" si="0"/>
        <v/>
      </c>
      <c r="J14" s="99" t="str">
        <f t="shared" ca="1" si="0"/>
        <v/>
      </c>
      <c r="K14" s="99" t="str">
        <f t="shared" ca="1" si="0"/>
        <v/>
      </c>
      <c r="L14" s="99" t="str">
        <f t="shared" ca="1" si="0"/>
        <v/>
      </c>
      <c r="P14" s="165"/>
      <c r="Q14" s="165"/>
      <c r="R14" s="165"/>
      <c r="S14" s="165"/>
      <c r="T14" s="165"/>
      <c r="U14" s="165"/>
      <c r="V14" s="165"/>
      <c r="W14" s="165"/>
      <c r="X14" s="165"/>
      <c r="Y14" s="165"/>
      <c r="Z14" s="165"/>
    </row>
    <row r="15" spans="2:26">
      <c r="B15" s="97" t="str">
        <f>IF(Calculation!BE20="","",Calculation!BE20)</f>
        <v/>
      </c>
      <c r="C15" s="99" t="str">
        <f t="shared" ca="1" si="0"/>
        <v/>
      </c>
      <c r="D15" s="99" t="str">
        <f t="shared" ca="1" si="0"/>
        <v/>
      </c>
      <c r="E15" s="99" t="str">
        <f t="shared" ca="1" si="0"/>
        <v/>
      </c>
      <c r="F15" s="99" t="str">
        <f t="shared" ca="1" si="0"/>
        <v/>
      </c>
      <c r="G15" s="99" t="str">
        <f t="shared" ca="1" si="0"/>
        <v/>
      </c>
      <c r="H15" s="99" t="str">
        <f t="shared" ca="1" si="0"/>
        <v/>
      </c>
      <c r="I15" s="99" t="str">
        <f t="shared" ca="1" si="0"/>
        <v/>
      </c>
      <c r="J15" s="99" t="str">
        <f t="shared" ca="1" si="0"/>
        <v/>
      </c>
      <c r="K15" s="99" t="str">
        <f t="shared" ca="1" si="0"/>
        <v/>
      </c>
      <c r="L15" s="99" t="str">
        <f t="shared" ca="1" si="0"/>
        <v/>
      </c>
      <c r="P15" s="165"/>
      <c r="Q15" s="165"/>
      <c r="R15" s="165"/>
      <c r="S15" s="165"/>
      <c r="T15" s="165"/>
      <c r="U15" s="165"/>
      <c r="V15" s="165"/>
      <c r="W15" s="165"/>
      <c r="X15" s="165"/>
      <c r="Y15" s="165"/>
      <c r="Z15" s="165"/>
    </row>
    <row r="16" spans="2:26">
      <c r="B16" s="97" t="str">
        <f>IF(Calculation!BE21="","",Calculation!BE21)</f>
        <v/>
      </c>
      <c r="C16" s="99" t="str">
        <f t="shared" ca="1" si="0"/>
        <v/>
      </c>
      <c r="D16" s="99" t="str">
        <f t="shared" ca="1" si="0"/>
        <v/>
      </c>
      <c r="E16" s="99" t="str">
        <f t="shared" ca="1" si="0"/>
        <v/>
      </c>
      <c r="F16" s="99" t="str">
        <f t="shared" ca="1" si="0"/>
        <v/>
      </c>
      <c r="G16" s="99" t="str">
        <f t="shared" ca="1" si="0"/>
        <v/>
      </c>
      <c r="H16" s="99" t="str">
        <f t="shared" ca="1" si="0"/>
        <v/>
      </c>
      <c r="I16" s="99" t="str">
        <f t="shared" ca="1" si="0"/>
        <v/>
      </c>
      <c r="J16" s="99" t="str">
        <f t="shared" ca="1" si="0"/>
        <v/>
      </c>
      <c r="K16" s="99" t="str">
        <f t="shared" ca="1" si="0"/>
        <v/>
      </c>
      <c r="L16" s="99" t="str">
        <f t="shared" ca="1" si="0"/>
        <v/>
      </c>
      <c r="P16" s="165"/>
      <c r="Q16" s="165"/>
      <c r="R16" s="165"/>
      <c r="S16" s="165"/>
      <c r="T16" s="165"/>
      <c r="U16" s="165"/>
      <c r="V16" s="165"/>
      <c r="W16" s="165"/>
      <c r="X16" s="165"/>
      <c r="Y16" s="165"/>
      <c r="Z16" s="165"/>
    </row>
    <row r="17" spans="2:26">
      <c r="B17" s="97" t="str">
        <f>IF(Calculation!BE22="","",Calculation!BE22)</f>
        <v/>
      </c>
      <c r="C17" s="99" t="str">
        <f t="shared" ca="1" si="0"/>
        <v/>
      </c>
      <c r="D17" s="99" t="str">
        <f t="shared" ca="1" si="0"/>
        <v/>
      </c>
      <c r="E17" s="99" t="str">
        <f t="shared" ca="1" si="0"/>
        <v/>
      </c>
      <c r="F17" s="99" t="str">
        <f t="shared" ca="1" si="0"/>
        <v/>
      </c>
      <c r="G17" s="99" t="str">
        <f t="shared" ca="1" si="0"/>
        <v/>
      </c>
      <c r="H17" s="99" t="str">
        <f t="shared" ca="1" si="0"/>
        <v/>
      </c>
      <c r="I17" s="99" t="str">
        <f t="shared" ca="1" si="0"/>
        <v/>
      </c>
      <c r="J17" s="99" t="str">
        <f t="shared" ca="1" si="0"/>
        <v/>
      </c>
      <c r="K17" s="99" t="str">
        <f t="shared" ca="1" si="0"/>
        <v/>
      </c>
      <c r="L17" s="99" t="str">
        <f t="shared" ca="1" si="0"/>
        <v/>
      </c>
      <c r="P17" s="165"/>
      <c r="Q17" s="165"/>
      <c r="R17" s="165"/>
      <c r="S17" s="165"/>
      <c r="T17" s="165"/>
      <c r="U17" s="165"/>
      <c r="V17" s="165"/>
      <c r="W17" s="165"/>
      <c r="X17" s="165"/>
      <c r="Y17" s="165"/>
      <c r="Z17" s="165"/>
    </row>
    <row r="18" spans="2:26">
      <c r="B18" s="97" t="str">
        <f>IF(Calculation!BE23="","",Calculation!BE23)</f>
        <v/>
      </c>
      <c r="C18" s="99" t="str">
        <f t="shared" ca="1" si="0"/>
        <v/>
      </c>
      <c r="D18" s="99" t="str">
        <f t="shared" ca="1" si="0"/>
        <v/>
      </c>
      <c r="E18" s="99" t="str">
        <f t="shared" ca="1" si="0"/>
        <v/>
      </c>
      <c r="F18" s="99" t="str">
        <f t="shared" ca="1" si="0"/>
        <v/>
      </c>
      <c r="G18" s="99" t="str">
        <f t="shared" ca="1" si="0"/>
        <v/>
      </c>
      <c r="H18" s="99" t="str">
        <f t="shared" ca="1" si="0"/>
        <v/>
      </c>
      <c r="I18" s="99" t="str">
        <f t="shared" ca="1" si="0"/>
        <v/>
      </c>
      <c r="J18" s="99" t="str">
        <f t="shared" ca="1" si="0"/>
        <v/>
      </c>
      <c r="K18" s="99" t="str">
        <f t="shared" ca="1" si="0"/>
        <v/>
      </c>
      <c r="L18" s="99" t="str">
        <f t="shared" ca="1" si="0"/>
        <v/>
      </c>
      <c r="P18" s="165"/>
      <c r="Q18" s="165"/>
      <c r="R18" s="165"/>
      <c r="S18" s="165"/>
      <c r="T18" s="165"/>
      <c r="U18" s="165"/>
      <c r="V18" s="165"/>
      <c r="W18" s="165"/>
      <c r="X18" s="165"/>
      <c r="Y18" s="165"/>
      <c r="Z18" s="165"/>
    </row>
    <row r="19" spans="2:26">
      <c r="B19" s="97" t="str">
        <f>IF(Calculation!BE24="","",Calculation!BE24)</f>
        <v/>
      </c>
      <c r="C19" s="99" t="str">
        <f t="shared" ca="1" si="0"/>
        <v/>
      </c>
      <c r="D19" s="99" t="str">
        <f t="shared" ca="1" si="0"/>
        <v/>
      </c>
      <c r="E19" s="99" t="str">
        <f t="shared" ca="1" si="0"/>
        <v/>
      </c>
      <c r="F19" s="99" t="str">
        <f t="shared" ca="1" si="0"/>
        <v/>
      </c>
      <c r="G19" s="99" t="str">
        <f t="shared" ca="1" si="0"/>
        <v/>
      </c>
      <c r="H19" s="99" t="str">
        <f t="shared" ca="1" si="0"/>
        <v/>
      </c>
      <c r="I19" s="99" t="str">
        <f t="shared" ca="1" si="0"/>
        <v/>
      </c>
      <c r="J19" s="99" t="str">
        <f t="shared" ca="1" si="0"/>
        <v/>
      </c>
      <c r="K19" s="99" t="str">
        <f t="shared" ca="1" si="0"/>
        <v/>
      </c>
      <c r="L19" s="99" t="str">
        <f t="shared" ca="1" si="0"/>
        <v/>
      </c>
      <c r="P19" s="165"/>
      <c r="Q19" s="165"/>
      <c r="R19" s="165"/>
      <c r="S19" s="165"/>
      <c r="T19" s="165"/>
      <c r="U19" s="165"/>
      <c r="V19" s="165"/>
      <c r="W19" s="165"/>
      <c r="X19" s="165"/>
      <c r="Y19" s="165"/>
      <c r="Z19" s="165"/>
    </row>
    <row r="20" spans="2:26">
      <c r="B20" s="97" t="str">
        <f>IF(Calculation!BE25="","",Calculation!BE25)</f>
        <v/>
      </c>
      <c r="C20" s="99" t="str">
        <f t="shared" ca="1" si="0"/>
        <v/>
      </c>
      <c r="D20" s="99" t="str">
        <f t="shared" ca="1" si="0"/>
        <v/>
      </c>
      <c r="E20" s="99" t="str">
        <f t="shared" ca="1" si="0"/>
        <v/>
      </c>
      <c r="F20" s="99" t="str">
        <f t="shared" ca="1" si="0"/>
        <v/>
      </c>
      <c r="G20" s="99" t="str">
        <f t="shared" ca="1" si="0"/>
        <v/>
      </c>
      <c r="H20" s="99" t="str">
        <f t="shared" ca="1" si="0"/>
        <v/>
      </c>
      <c r="I20" s="99" t="str">
        <f t="shared" ca="1" si="0"/>
        <v/>
      </c>
      <c r="J20" s="99" t="str">
        <f t="shared" ca="1" si="0"/>
        <v/>
      </c>
      <c r="K20" s="99" t="str">
        <f t="shared" ca="1" si="0"/>
        <v/>
      </c>
      <c r="L20" s="99" t="str">
        <f t="shared" ca="1" si="0"/>
        <v/>
      </c>
      <c r="P20" s="165"/>
      <c r="Q20" s="165"/>
      <c r="R20" s="165"/>
      <c r="S20" s="165"/>
      <c r="T20" s="165"/>
      <c r="U20" s="165"/>
      <c r="V20" s="165"/>
      <c r="W20" s="165"/>
      <c r="X20" s="165"/>
      <c r="Y20" s="165"/>
      <c r="Z20" s="165"/>
    </row>
    <row r="21" spans="2:26">
      <c r="B21" s="97" t="str">
        <f>IF(Calculation!BE26="","",Calculation!BE26)</f>
        <v/>
      </c>
      <c r="C21" s="99" t="str">
        <f t="shared" ca="1" si="0"/>
        <v/>
      </c>
      <c r="D21" s="99" t="str">
        <f t="shared" ca="1" si="0"/>
        <v/>
      </c>
      <c r="E21" s="99" t="str">
        <f t="shared" ca="1" si="0"/>
        <v/>
      </c>
      <c r="F21" s="99" t="str">
        <f t="shared" ca="1" si="0"/>
        <v/>
      </c>
      <c r="G21" s="99" t="str">
        <f t="shared" ca="1" si="0"/>
        <v/>
      </c>
      <c r="H21" s="99" t="str">
        <f t="shared" ca="1" si="0"/>
        <v/>
      </c>
      <c r="I21" s="99" t="str">
        <f t="shared" ca="1" si="0"/>
        <v/>
      </c>
      <c r="J21" s="99" t="str">
        <f t="shared" ca="1" si="0"/>
        <v/>
      </c>
      <c r="K21" s="99" t="str">
        <f t="shared" ca="1" si="0"/>
        <v/>
      </c>
      <c r="L21" s="99" t="str">
        <f t="shared" ca="1" si="0"/>
        <v/>
      </c>
      <c r="P21" s="165"/>
      <c r="Q21" s="165"/>
      <c r="R21" s="165"/>
      <c r="S21" s="165"/>
      <c r="T21" s="165"/>
      <c r="U21" s="165"/>
      <c r="V21" s="165"/>
      <c r="W21" s="165"/>
      <c r="X21" s="165"/>
      <c r="Y21" s="165"/>
      <c r="Z21" s="165"/>
    </row>
    <row r="22" spans="2:26">
      <c r="B22" s="97" t="str">
        <f>IF(Calculation!BE27="","",Calculation!BE27)</f>
        <v/>
      </c>
      <c r="C22" s="99" t="str">
        <f t="shared" ref="C22:L37" ca="1" si="1">IF($M$4=0,"",VLOOKUP($B22,INDIRECT("$P$1:$Z$"&amp;$M$4),COLUMN()-1,0))</f>
        <v/>
      </c>
      <c r="D22" s="99" t="str">
        <f t="shared" ca="1" si="1"/>
        <v/>
      </c>
      <c r="E22" s="99" t="str">
        <f t="shared" ca="1" si="1"/>
        <v/>
      </c>
      <c r="F22" s="99" t="str">
        <f t="shared" ca="1" si="1"/>
        <v/>
      </c>
      <c r="G22" s="99" t="str">
        <f t="shared" ca="1" si="1"/>
        <v/>
      </c>
      <c r="H22" s="99" t="str">
        <f t="shared" ca="1" si="1"/>
        <v/>
      </c>
      <c r="I22" s="99" t="str">
        <f t="shared" ca="1" si="1"/>
        <v/>
      </c>
      <c r="J22" s="99" t="str">
        <f t="shared" ca="1" si="1"/>
        <v/>
      </c>
      <c r="K22" s="99" t="str">
        <f t="shared" ca="1" si="1"/>
        <v/>
      </c>
      <c r="L22" s="99" t="str">
        <f t="shared" ca="1" si="1"/>
        <v/>
      </c>
      <c r="P22" s="165"/>
      <c r="Q22" s="165"/>
      <c r="R22" s="165"/>
      <c r="S22" s="165"/>
      <c r="T22" s="165"/>
      <c r="U22" s="165"/>
      <c r="V22" s="165"/>
      <c r="W22" s="165"/>
      <c r="X22" s="165"/>
      <c r="Y22" s="165"/>
      <c r="Z22" s="165"/>
    </row>
    <row r="23" spans="2:26">
      <c r="B23" s="97" t="str">
        <f>IF(Calculation!BE28="","",Calculation!BE28)</f>
        <v/>
      </c>
      <c r="C23" s="99" t="str">
        <f t="shared" ca="1" si="1"/>
        <v/>
      </c>
      <c r="D23" s="99" t="str">
        <f t="shared" ca="1" si="1"/>
        <v/>
      </c>
      <c r="E23" s="99" t="str">
        <f t="shared" ca="1" si="1"/>
        <v/>
      </c>
      <c r="F23" s="99" t="str">
        <f t="shared" ca="1" si="1"/>
        <v/>
      </c>
      <c r="G23" s="99" t="str">
        <f t="shared" ca="1" si="1"/>
        <v/>
      </c>
      <c r="H23" s="99" t="str">
        <f t="shared" ca="1" si="1"/>
        <v/>
      </c>
      <c r="I23" s="99" t="str">
        <f t="shared" ca="1" si="1"/>
        <v/>
      </c>
      <c r="J23" s="99" t="str">
        <f t="shared" ca="1" si="1"/>
        <v/>
      </c>
      <c r="K23" s="99" t="str">
        <f t="shared" ca="1" si="1"/>
        <v/>
      </c>
      <c r="L23" s="99" t="str">
        <f t="shared" ca="1" si="1"/>
        <v/>
      </c>
      <c r="P23" s="165"/>
      <c r="Q23" s="165"/>
      <c r="R23" s="165"/>
      <c r="S23" s="165"/>
      <c r="T23" s="165"/>
      <c r="U23" s="165"/>
      <c r="V23" s="165"/>
      <c r="W23" s="165"/>
      <c r="X23" s="165"/>
      <c r="Y23" s="165"/>
      <c r="Z23" s="165"/>
    </row>
    <row r="24" spans="2:26">
      <c r="B24" s="97" t="str">
        <f>IF(Calculation!BE29="","",Calculation!BE29)</f>
        <v/>
      </c>
      <c r="C24" s="99" t="str">
        <f t="shared" ca="1" si="1"/>
        <v/>
      </c>
      <c r="D24" s="99" t="str">
        <f t="shared" ca="1" si="1"/>
        <v/>
      </c>
      <c r="E24" s="99" t="str">
        <f t="shared" ca="1" si="1"/>
        <v/>
      </c>
      <c r="F24" s="99" t="str">
        <f t="shared" ca="1" si="1"/>
        <v/>
      </c>
      <c r="G24" s="99" t="str">
        <f t="shared" ca="1" si="1"/>
        <v/>
      </c>
      <c r="H24" s="99" t="str">
        <f t="shared" ca="1" si="1"/>
        <v/>
      </c>
      <c r="I24" s="99" t="str">
        <f t="shared" ca="1" si="1"/>
        <v/>
      </c>
      <c r="J24" s="99" t="str">
        <f t="shared" ca="1" si="1"/>
        <v/>
      </c>
      <c r="K24" s="99" t="str">
        <f t="shared" ca="1" si="1"/>
        <v/>
      </c>
      <c r="L24" s="99" t="str">
        <f t="shared" ca="1" si="1"/>
        <v/>
      </c>
      <c r="P24" s="165"/>
      <c r="Q24" s="165"/>
      <c r="R24" s="165"/>
      <c r="S24" s="165"/>
      <c r="T24" s="165"/>
      <c r="U24" s="165"/>
      <c r="V24" s="165"/>
      <c r="W24" s="165"/>
      <c r="X24" s="165"/>
      <c r="Y24" s="165"/>
      <c r="Z24" s="165"/>
    </row>
    <row r="25" spans="2:26">
      <c r="B25" s="97" t="str">
        <f>IF(Calculation!BE30="","",Calculation!BE30)</f>
        <v/>
      </c>
      <c r="C25" s="99" t="str">
        <f t="shared" ca="1" si="1"/>
        <v/>
      </c>
      <c r="D25" s="99" t="str">
        <f t="shared" ca="1" si="1"/>
        <v/>
      </c>
      <c r="E25" s="99" t="str">
        <f t="shared" ca="1" si="1"/>
        <v/>
      </c>
      <c r="F25" s="99" t="str">
        <f t="shared" ca="1" si="1"/>
        <v/>
      </c>
      <c r="G25" s="99" t="str">
        <f t="shared" ca="1" si="1"/>
        <v/>
      </c>
      <c r="H25" s="99" t="str">
        <f t="shared" ca="1" si="1"/>
        <v/>
      </c>
      <c r="I25" s="99" t="str">
        <f t="shared" ca="1" si="1"/>
        <v/>
      </c>
      <c r="J25" s="99" t="str">
        <f t="shared" ca="1" si="1"/>
        <v/>
      </c>
      <c r="K25" s="99" t="str">
        <f t="shared" ca="1" si="1"/>
        <v/>
      </c>
      <c r="L25" s="99" t="str">
        <f t="shared" ca="1" si="1"/>
        <v/>
      </c>
      <c r="P25" s="165"/>
      <c r="Q25" s="165"/>
      <c r="R25" s="165"/>
      <c r="S25" s="165"/>
      <c r="T25" s="165"/>
      <c r="U25" s="165"/>
      <c r="V25" s="165"/>
      <c r="W25" s="165"/>
      <c r="X25" s="165"/>
      <c r="Y25" s="165"/>
      <c r="Z25" s="165"/>
    </row>
    <row r="26" spans="2:26">
      <c r="B26" s="97" t="str">
        <f>IF(Calculation!BE31="","",Calculation!BE31)</f>
        <v/>
      </c>
      <c r="C26" s="99" t="str">
        <f t="shared" ca="1" si="1"/>
        <v/>
      </c>
      <c r="D26" s="99" t="str">
        <f t="shared" ca="1" si="1"/>
        <v/>
      </c>
      <c r="E26" s="99" t="str">
        <f t="shared" ca="1" si="1"/>
        <v/>
      </c>
      <c r="F26" s="99" t="str">
        <f t="shared" ca="1" si="1"/>
        <v/>
      </c>
      <c r="G26" s="99" t="str">
        <f t="shared" ca="1" si="1"/>
        <v/>
      </c>
      <c r="H26" s="99" t="str">
        <f t="shared" ca="1" si="1"/>
        <v/>
      </c>
      <c r="I26" s="99" t="str">
        <f t="shared" ca="1" si="1"/>
        <v/>
      </c>
      <c r="J26" s="99" t="str">
        <f t="shared" ca="1" si="1"/>
        <v/>
      </c>
      <c r="K26" s="99" t="str">
        <f t="shared" ca="1" si="1"/>
        <v/>
      </c>
      <c r="L26" s="99" t="str">
        <f t="shared" ca="1" si="1"/>
        <v/>
      </c>
      <c r="P26" s="165"/>
      <c r="Q26" s="165"/>
      <c r="R26" s="165"/>
      <c r="S26" s="165"/>
      <c r="T26" s="165"/>
      <c r="U26" s="165"/>
      <c r="V26" s="165"/>
      <c r="W26" s="165"/>
      <c r="X26" s="165"/>
      <c r="Y26" s="165"/>
      <c r="Z26" s="165"/>
    </row>
    <row r="27" spans="2:26">
      <c r="B27" s="97" t="str">
        <f>IF(Calculation!BE32="","",Calculation!BE32)</f>
        <v/>
      </c>
      <c r="C27" s="99" t="str">
        <f t="shared" ca="1" si="1"/>
        <v/>
      </c>
      <c r="D27" s="99" t="str">
        <f t="shared" ca="1" si="1"/>
        <v/>
      </c>
      <c r="E27" s="99" t="str">
        <f t="shared" ca="1" si="1"/>
        <v/>
      </c>
      <c r="F27" s="99" t="str">
        <f t="shared" ca="1" si="1"/>
        <v/>
      </c>
      <c r="G27" s="99" t="str">
        <f t="shared" ca="1" si="1"/>
        <v/>
      </c>
      <c r="H27" s="99" t="str">
        <f t="shared" ca="1" si="1"/>
        <v/>
      </c>
      <c r="I27" s="99" t="str">
        <f t="shared" ca="1" si="1"/>
        <v/>
      </c>
      <c r="J27" s="99" t="str">
        <f t="shared" ca="1" si="1"/>
        <v/>
      </c>
      <c r="K27" s="99" t="str">
        <f t="shared" ca="1" si="1"/>
        <v/>
      </c>
      <c r="L27" s="99" t="str">
        <f t="shared" ca="1" si="1"/>
        <v/>
      </c>
      <c r="P27" s="165"/>
      <c r="Q27" s="165"/>
      <c r="R27" s="165"/>
      <c r="S27" s="165"/>
      <c r="T27" s="165"/>
      <c r="U27" s="165"/>
      <c r="V27" s="165"/>
      <c r="W27" s="165"/>
      <c r="X27" s="165"/>
      <c r="Y27" s="165"/>
      <c r="Z27" s="165"/>
    </row>
    <row r="28" spans="2:26">
      <c r="B28" s="97" t="str">
        <f>IF(Calculation!BE33="","",Calculation!BE33)</f>
        <v/>
      </c>
      <c r="C28" s="99" t="str">
        <f t="shared" ca="1" si="1"/>
        <v/>
      </c>
      <c r="D28" s="99" t="str">
        <f t="shared" ca="1" si="1"/>
        <v/>
      </c>
      <c r="E28" s="99" t="str">
        <f t="shared" ca="1" si="1"/>
        <v/>
      </c>
      <c r="F28" s="99" t="str">
        <f t="shared" ca="1" si="1"/>
        <v/>
      </c>
      <c r="G28" s="99" t="str">
        <f t="shared" ca="1" si="1"/>
        <v/>
      </c>
      <c r="H28" s="99" t="str">
        <f t="shared" ca="1" si="1"/>
        <v/>
      </c>
      <c r="I28" s="99" t="str">
        <f t="shared" ca="1" si="1"/>
        <v/>
      </c>
      <c r="J28" s="99" t="str">
        <f t="shared" ca="1" si="1"/>
        <v/>
      </c>
      <c r="K28" s="99" t="str">
        <f t="shared" ca="1" si="1"/>
        <v/>
      </c>
      <c r="L28" s="99" t="str">
        <f t="shared" ca="1" si="1"/>
        <v/>
      </c>
      <c r="P28" s="165"/>
      <c r="Q28" s="165"/>
      <c r="R28" s="165"/>
      <c r="S28" s="165"/>
      <c r="T28" s="165"/>
      <c r="U28" s="165"/>
      <c r="V28" s="165"/>
      <c r="W28" s="165"/>
      <c r="X28" s="165"/>
      <c r="Y28" s="165"/>
      <c r="Z28" s="165"/>
    </row>
    <row r="29" spans="2:26">
      <c r="B29" s="97" t="str">
        <f>IF(Calculation!BE34="","",Calculation!BE34)</f>
        <v/>
      </c>
      <c r="C29" s="99" t="str">
        <f t="shared" ca="1" si="1"/>
        <v/>
      </c>
      <c r="D29" s="99" t="str">
        <f t="shared" ca="1" si="1"/>
        <v/>
      </c>
      <c r="E29" s="99" t="str">
        <f t="shared" ca="1" si="1"/>
        <v/>
      </c>
      <c r="F29" s="99" t="str">
        <f t="shared" ca="1" si="1"/>
        <v/>
      </c>
      <c r="G29" s="99" t="str">
        <f t="shared" ca="1" si="1"/>
        <v/>
      </c>
      <c r="H29" s="99" t="str">
        <f t="shared" ca="1" si="1"/>
        <v/>
      </c>
      <c r="I29" s="99" t="str">
        <f t="shared" ca="1" si="1"/>
        <v/>
      </c>
      <c r="J29" s="99" t="str">
        <f t="shared" ca="1" si="1"/>
        <v/>
      </c>
      <c r="K29" s="99" t="str">
        <f t="shared" ca="1" si="1"/>
        <v/>
      </c>
      <c r="L29" s="99" t="str">
        <f t="shared" ca="1" si="1"/>
        <v/>
      </c>
      <c r="P29" s="165"/>
      <c r="Q29" s="165"/>
      <c r="R29" s="165"/>
      <c r="S29" s="165"/>
      <c r="T29" s="165"/>
      <c r="U29" s="165"/>
      <c r="V29" s="165"/>
      <c r="W29" s="165"/>
      <c r="X29" s="165"/>
      <c r="Y29" s="165"/>
      <c r="Z29" s="165"/>
    </row>
    <row r="30" spans="2:26">
      <c r="B30" s="97" t="str">
        <f>IF(Calculation!BE35="","",Calculation!BE35)</f>
        <v/>
      </c>
      <c r="C30" s="99" t="str">
        <f t="shared" ca="1" si="1"/>
        <v/>
      </c>
      <c r="D30" s="99" t="str">
        <f t="shared" ca="1" si="1"/>
        <v/>
      </c>
      <c r="E30" s="99" t="str">
        <f t="shared" ca="1" si="1"/>
        <v/>
      </c>
      <c r="F30" s="99" t="str">
        <f t="shared" ca="1" si="1"/>
        <v/>
      </c>
      <c r="G30" s="99" t="str">
        <f t="shared" ca="1" si="1"/>
        <v/>
      </c>
      <c r="H30" s="99" t="str">
        <f t="shared" ca="1" si="1"/>
        <v/>
      </c>
      <c r="I30" s="99" t="str">
        <f t="shared" ca="1" si="1"/>
        <v/>
      </c>
      <c r="J30" s="99" t="str">
        <f t="shared" ca="1" si="1"/>
        <v/>
      </c>
      <c r="K30" s="99" t="str">
        <f t="shared" ca="1" si="1"/>
        <v/>
      </c>
      <c r="L30" s="99" t="str">
        <f t="shared" ca="1" si="1"/>
        <v/>
      </c>
      <c r="P30" s="165"/>
      <c r="Q30" s="165"/>
      <c r="R30" s="165"/>
      <c r="S30" s="165"/>
      <c r="T30" s="165"/>
      <c r="U30" s="165"/>
      <c r="V30" s="165"/>
      <c r="W30" s="165"/>
      <c r="X30" s="165"/>
      <c r="Y30" s="165"/>
      <c r="Z30" s="165"/>
    </row>
    <row r="31" spans="2:26">
      <c r="B31" s="97" t="str">
        <f>IF(Calculation!BE36="","",Calculation!BE36)</f>
        <v/>
      </c>
      <c r="C31" s="99" t="str">
        <f t="shared" ca="1" si="1"/>
        <v/>
      </c>
      <c r="D31" s="99" t="str">
        <f t="shared" ca="1" si="1"/>
        <v/>
      </c>
      <c r="E31" s="99" t="str">
        <f t="shared" ca="1" si="1"/>
        <v/>
      </c>
      <c r="F31" s="99" t="str">
        <f t="shared" ca="1" si="1"/>
        <v/>
      </c>
      <c r="G31" s="99" t="str">
        <f t="shared" ca="1" si="1"/>
        <v/>
      </c>
      <c r="H31" s="99" t="str">
        <f t="shared" ca="1" si="1"/>
        <v/>
      </c>
      <c r="I31" s="99" t="str">
        <f t="shared" ca="1" si="1"/>
        <v/>
      </c>
      <c r="J31" s="99" t="str">
        <f t="shared" ca="1" si="1"/>
        <v/>
      </c>
      <c r="K31" s="99" t="str">
        <f t="shared" ca="1" si="1"/>
        <v/>
      </c>
      <c r="L31" s="99" t="str">
        <f t="shared" ca="1" si="1"/>
        <v/>
      </c>
      <c r="P31" s="165"/>
      <c r="Q31" s="165"/>
      <c r="R31" s="165"/>
      <c r="S31" s="165"/>
      <c r="T31" s="165"/>
      <c r="U31" s="165"/>
      <c r="V31" s="165"/>
      <c r="W31" s="165"/>
      <c r="X31" s="165"/>
      <c r="Y31" s="165"/>
      <c r="Z31" s="165"/>
    </row>
    <row r="32" spans="2:26">
      <c r="B32" s="97" t="str">
        <f>IF(Calculation!BE37="","",Calculation!BE37)</f>
        <v/>
      </c>
      <c r="C32" s="99" t="str">
        <f t="shared" ca="1" si="1"/>
        <v/>
      </c>
      <c r="D32" s="99" t="str">
        <f t="shared" ca="1" si="1"/>
        <v/>
      </c>
      <c r="E32" s="99" t="str">
        <f t="shared" ca="1" si="1"/>
        <v/>
      </c>
      <c r="F32" s="99" t="str">
        <f t="shared" ca="1" si="1"/>
        <v/>
      </c>
      <c r="G32" s="99" t="str">
        <f t="shared" ca="1" si="1"/>
        <v/>
      </c>
      <c r="H32" s="99" t="str">
        <f t="shared" ca="1" si="1"/>
        <v/>
      </c>
      <c r="I32" s="99" t="str">
        <f t="shared" ca="1" si="1"/>
        <v/>
      </c>
      <c r="J32" s="99" t="str">
        <f t="shared" ca="1" si="1"/>
        <v/>
      </c>
      <c r="K32" s="99" t="str">
        <f t="shared" ca="1" si="1"/>
        <v/>
      </c>
      <c r="L32" s="99" t="str">
        <f t="shared" ca="1" si="1"/>
        <v/>
      </c>
      <c r="P32" s="165"/>
      <c r="Q32" s="165"/>
      <c r="R32" s="165"/>
      <c r="S32" s="165"/>
      <c r="T32" s="165"/>
      <c r="U32" s="165"/>
      <c r="V32" s="165"/>
      <c r="W32" s="165"/>
      <c r="X32" s="165"/>
      <c r="Y32" s="165"/>
      <c r="Z32" s="165"/>
    </row>
    <row r="33" spans="2:26">
      <c r="B33" s="97" t="str">
        <f>IF(Calculation!BE38="","",Calculation!BE38)</f>
        <v/>
      </c>
      <c r="C33" s="99" t="str">
        <f t="shared" ca="1" si="1"/>
        <v/>
      </c>
      <c r="D33" s="99" t="str">
        <f t="shared" ca="1" si="1"/>
        <v/>
      </c>
      <c r="E33" s="99" t="str">
        <f t="shared" ca="1" si="1"/>
        <v/>
      </c>
      <c r="F33" s="99" t="str">
        <f t="shared" ca="1" si="1"/>
        <v/>
      </c>
      <c r="G33" s="99" t="str">
        <f t="shared" ca="1" si="1"/>
        <v/>
      </c>
      <c r="H33" s="99" t="str">
        <f t="shared" ca="1" si="1"/>
        <v/>
      </c>
      <c r="I33" s="99" t="str">
        <f t="shared" ca="1" si="1"/>
        <v/>
      </c>
      <c r="J33" s="99" t="str">
        <f t="shared" ca="1" si="1"/>
        <v/>
      </c>
      <c r="K33" s="99" t="str">
        <f t="shared" ca="1" si="1"/>
        <v/>
      </c>
      <c r="L33" s="99" t="str">
        <f t="shared" ca="1" si="1"/>
        <v/>
      </c>
      <c r="P33" s="165"/>
      <c r="Q33" s="165"/>
      <c r="R33" s="165"/>
      <c r="S33" s="165"/>
      <c r="T33" s="165"/>
      <c r="U33" s="165"/>
      <c r="V33" s="165"/>
      <c r="W33" s="165"/>
      <c r="X33" s="165"/>
      <c r="Y33" s="165"/>
      <c r="Z33" s="165"/>
    </row>
    <row r="34" spans="2:26">
      <c r="B34" s="97" t="str">
        <f>IF(Calculation!BE39="","",Calculation!BE39)</f>
        <v/>
      </c>
      <c r="C34" s="99" t="str">
        <f t="shared" ca="1" si="1"/>
        <v/>
      </c>
      <c r="D34" s="99" t="str">
        <f t="shared" ca="1" si="1"/>
        <v/>
      </c>
      <c r="E34" s="99" t="str">
        <f t="shared" ca="1" si="1"/>
        <v/>
      </c>
      <c r="F34" s="99" t="str">
        <f t="shared" ca="1" si="1"/>
        <v/>
      </c>
      <c r="G34" s="99" t="str">
        <f t="shared" ca="1" si="1"/>
        <v/>
      </c>
      <c r="H34" s="99" t="str">
        <f t="shared" ca="1" si="1"/>
        <v/>
      </c>
      <c r="I34" s="99" t="str">
        <f t="shared" ca="1" si="1"/>
        <v/>
      </c>
      <c r="J34" s="99" t="str">
        <f t="shared" ca="1" si="1"/>
        <v/>
      </c>
      <c r="K34" s="99" t="str">
        <f t="shared" ca="1" si="1"/>
        <v/>
      </c>
      <c r="L34" s="99" t="str">
        <f t="shared" ca="1" si="1"/>
        <v/>
      </c>
      <c r="P34" s="165"/>
      <c r="Q34" s="165"/>
      <c r="R34" s="165"/>
      <c r="S34" s="165"/>
      <c r="T34" s="165"/>
      <c r="U34" s="165"/>
      <c r="V34" s="165"/>
      <c r="W34" s="165"/>
      <c r="X34" s="165"/>
      <c r="Y34" s="165"/>
      <c r="Z34" s="165"/>
    </row>
    <row r="35" spans="2:26">
      <c r="B35" s="97" t="str">
        <f>IF(Calculation!BE40="","",Calculation!BE40)</f>
        <v/>
      </c>
      <c r="C35" s="99" t="str">
        <f t="shared" ca="1" si="1"/>
        <v/>
      </c>
      <c r="D35" s="99" t="str">
        <f t="shared" ca="1" si="1"/>
        <v/>
      </c>
      <c r="E35" s="99" t="str">
        <f t="shared" ca="1" si="1"/>
        <v/>
      </c>
      <c r="F35" s="99" t="str">
        <f t="shared" ca="1" si="1"/>
        <v/>
      </c>
      <c r="G35" s="99" t="str">
        <f t="shared" ca="1" si="1"/>
        <v/>
      </c>
      <c r="H35" s="99" t="str">
        <f t="shared" ca="1" si="1"/>
        <v/>
      </c>
      <c r="I35" s="99" t="str">
        <f t="shared" ca="1" si="1"/>
        <v/>
      </c>
      <c r="J35" s="99" t="str">
        <f t="shared" ca="1" si="1"/>
        <v/>
      </c>
      <c r="K35" s="99" t="str">
        <f t="shared" ca="1" si="1"/>
        <v/>
      </c>
      <c r="L35" s="99" t="str">
        <f t="shared" ca="1" si="1"/>
        <v/>
      </c>
      <c r="P35" s="165"/>
      <c r="Q35" s="165"/>
      <c r="R35" s="165"/>
      <c r="S35" s="165"/>
      <c r="T35" s="165"/>
      <c r="U35" s="165"/>
      <c r="V35" s="165"/>
      <c r="W35" s="165"/>
      <c r="X35" s="165"/>
      <c r="Y35" s="165"/>
      <c r="Z35" s="165"/>
    </row>
    <row r="36" spans="2:26">
      <c r="B36" s="97" t="str">
        <f>IF(Calculation!BE41="","",Calculation!BE41)</f>
        <v/>
      </c>
      <c r="C36" s="99" t="str">
        <f t="shared" ca="1" si="1"/>
        <v/>
      </c>
      <c r="D36" s="99" t="str">
        <f t="shared" ca="1" si="1"/>
        <v/>
      </c>
      <c r="E36" s="99" t="str">
        <f t="shared" ca="1" si="1"/>
        <v/>
      </c>
      <c r="F36" s="99" t="str">
        <f t="shared" ca="1" si="1"/>
        <v/>
      </c>
      <c r="G36" s="99" t="str">
        <f t="shared" ca="1" si="1"/>
        <v/>
      </c>
      <c r="H36" s="99" t="str">
        <f t="shared" ca="1" si="1"/>
        <v/>
      </c>
      <c r="I36" s="99" t="str">
        <f t="shared" ca="1" si="1"/>
        <v/>
      </c>
      <c r="J36" s="99" t="str">
        <f t="shared" ca="1" si="1"/>
        <v/>
      </c>
      <c r="K36" s="99" t="str">
        <f t="shared" ca="1" si="1"/>
        <v/>
      </c>
      <c r="L36" s="99" t="str">
        <f t="shared" ca="1" si="1"/>
        <v/>
      </c>
      <c r="P36" s="165"/>
      <c r="Q36" s="165"/>
      <c r="R36" s="165"/>
      <c r="S36" s="165"/>
      <c r="T36" s="165"/>
      <c r="U36" s="165"/>
      <c r="V36" s="165"/>
      <c r="W36" s="165"/>
      <c r="X36" s="165"/>
      <c r="Y36" s="165"/>
      <c r="Z36" s="165"/>
    </row>
    <row r="37" spans="2:26">
      <c r="B37" s="97" t="str">
        <f>IF(Calculation!BE42="","",Calculation!BE42)</f>
        <v/>
      </c>
      <c r="C37" s="99" t="str">
        <f t="shared" ca="1" si="1"/>
        <v/>
      </c>
      <c r="D37" s="99" t="str">
        <f t="shared" ca="1" si="1"/>
        <v/>
      </c>
      <c r="E37" s="99" t="str">
        <f t="shared" ca="1" si="1"/>
        <v/>
      </c>
      <c r="F37" s="99" t="str">
        <f t="shared" ca="1" si="1"/>
        <v/>
      </c>
      <c r="G37" s="99" t="str">
        <f t="shared" ca="1" si="1"/>
        <v/>
      </c>
      <c r="H37" s="99" t="str">
        <f t="shared" ca="1" si="1"/>
        <v/>
      </c>
      <c r="I37" s="99" t="str">
        <f t="shared" ca="1" si="1"/>
        <v/>
      </c>
      <c r="J37" s="99" t="str">
        <f t="shared" ca="1" si="1"/>
        <v/>
      </c>
      <c r="K37" s="99" t="str">
        <f t="shared" ca="1" si="1"/>
        <v/>
      </c>
      <c r="L37" s="99" t="str">
        <f t="shared" ca="1" si="1"/>
        <v/>
      </c>
      <c r="P37" s="165"/>
      <c r="Q37" s="165"/>
      <c r="R37" s="165"/>
      <c r="S37" s="165"/>
      <c r="T37" s="165"/>
      <c r="U37" s="165"/>
      <c r="V37" s="165"/>
      <c r="W37" s="165"/>
      <c r="X37" s="165"/>
      <c r="Y37" s="165"/>
      <c r="Z37" s="165"/>
    </row>
    <row r="38" spans="2:26">
      <c r="B38" s="97" t="str">
        <f>IF(Calculation!BE43="","",Calculation!BE43)</f>
        <v/>
      </c>
      <c r="C38" s="99" t="str">
        <f t="shared" ref="C38:L53" ca="1" si="2">IF($M$4=0,"",VLOOKUP($B38,INDIRECT("$P$1:$Z$"&amp;$M$4),COLUMN()-1,0))</f>
        <v/>
      </c>
      <c r="D38" s="99" t="str">
        <f t="shared" ca="1" si="2"/>
        <v/>
      </c>
      <c r="E38" s="99" t="str">
        <f t="shared" ca="1" si="2"/>
        <v/>
      </c>
      <c r="F38" s="99" t="str">
        <f t="shared" ca="1" si="2"/>
        <v/>
      </c>
      <c r="G38" s="99" t="str">
        <f t="shared" ca="1" si="2"/>
        <v/>
      </c>
      <c r="H38" s="99" t="str">
        <f t="shared" ca="1" si="2"/>
        <v/>
      </c>
      <c r="I38" s="99" t="str">
        <f t="shared" ca="1" si="2"/>
        <v/>
      </c>
      <c r="J38" s="99" t="str">
        <f t="shared" ca="1" si="2"/>
        <v/>
      </c>
      <c r="K38" s="99" t="str">
        <f t="shared" ca="1" si="2"/>
        <v/>
      </c>
      <c r="L38" s="99" t="str">
        <f t="shared" ca="1" si="2"/>
        <v/>
      </c>
      <c r="P38" s="165"/>
      <c r="Q38" s="165"/>
      <c r="R38" s="165"/>
      <c r="S38" s="165"/>
      <c r="T38" s="165"/>
      <c r="U38" s="165"/>
      <c r="V38" s="165"/>
      <c r="W38" s="165"/>
      <c r="X38" s="165"/>
      <c r="Y38" s="165"/>
      <c r="Z38" s="165"/>
    </row>
    <row r="39" spans="2:26">
      <c r="B39" s="97" t="str">
        <f>IF(Calculation!BE44="","",Calculation!BE44)</f>
        <v/>
      </c>
      <c r="C39" s="99" t="str">
        <f t="shared" ca="1" si="2"/>
        <v/>
      </c>
      <c r="D39" s="99" t="str">
        <f t="shared" ca="1" si="2"/>
        <v/>
      </c>
      <c r="E39" s="99" t="str">
        <f t="shared" ca="1" si="2"/>
        <v/>
      </c>
      <c r="F39" s="99" t="str">
        <f t="shared" ca="1" si="2"/>
        <v/>
      </c>
      <c r="G39" s="99" t="str">
        <f t="shared" ca="1" si="2"/>
        <v/>
      </c>
      <c r="H39" s="99" t="str">
        <f t="shared" ca="1" si="2"/>
        <v/>
      </c>
      <c r="I39" s="99" t="str">
        <f t="shared" ca="1" si="2"/>
        <v/>
      </c>
      <c r="J39" s="99" t="str">
        <f t="shared" ca="1" si="2"/>
        <v/>
      </c>
      <c r="K39" s="99" t="str">
        <f t="shared" ca="1" si="2"/>
        <v/>
      </c>
      <c r="L39" s="99" t="str">
        <f t="shared" ca="1" si="2"/>
        <v/>
      </c>
      <c r="P39" s="165"/>
      <c r="Q39" s="165"/>
      <c r="R39" s="165"/>
      <c r="S39" s="165"/>
      <c r="T39" s="165"/>
      <c r="U39" s="165"/>
      <c r="V39" s="165"/>
      <c r="W39" s="165"/>
      <c r="X39" s="165"/>
      <c r="Y39" s="165"/>
      <c r="Z39" s="165"/>
    </row>
    <row r="40" spans="2:26">
      <c r="B40" s="97" t="str">
        <f>IF(Calculation!BE45="","",Calculation!BE45)</f>
        <v/>
      </c>
      <c r="C40" s="99" t="str">
        <f t="shared" ca="1" si="2"/>
        <v/>
      </c>
      <c r="D40" s="99" t="str">
        <f t="shared" ca="1" si="2"/>
        <v/>
      </c>
      <c r="E40" s="99" t="str">
        <f t="shared" ca="1" si="2"/>
        <v/>
      </c>
      <c r="F40" s="99" t="str">
        <f t="shared" ca="1" si="2"/>
        <v/>
      </c>
      <c r="G40" s="99" t="str">
        <f t="shared" ca="1" si="2"/>
        <v/>
      </c>
      <c r="H40" s="99" t="str">
        <f t="shared" ca="1" si="2"/>
        <v/>
      </c>
      <c r="I40" s="99" t="str">
        <f t="shared" ca="1" si="2"/>
        <v/>
      </c>
      <c r="J40" s="99" t="str">
        <f t="shared" ca="1" si="2"/>
        <v/>
      </c>
      <c r="K40" s="99" t="str">
        <f t="shared" ca="1" si="2"/>
        <v/>
      </c>
      <c r="L40" s="99" t="str">
        <f t="shared" ca="1" si="2"/>
        <v/>
      </c>
      <c r="P40" s="165"/>
      <c r="Q40" s="165"/>
      <c r="R40" s="165"/>
      <c r="S40" s="165"/>
      <c r="T40" s="165"/>
      <c r="U40" s="165"/>
      <c r="V40" s="165"/>
      <c r="W40" s="165"/>
      <c r="X40" s="165"/>
      <c r="Y40" s="165"/>
      <c r="Z40" s="165"/>
    </row>
    <row r="41" spans="2:26">
      <c r="B41" s="97" t="str">
        <f>IF(Calculation!BE47="","",Calculation!BE47)</f>
        <v/>
      </c>
      <c r="C41" s="99" t="str">
        <f t="shared" ca="1" si="2"/>
        <v/>
      </c>
      <c r="D41" s="99" t="str">
        <f t="shared" ca="1" si="2"/>
        <v/>
      </c>
      <c r="E41" s="99" t="str">
        <f t="shared" ca="1" si="2"/>
        <v/>
      </c>
      <c r="F41" s="99" t="str">
        <f t="shared" ca="1" si="2"/>
        <v/>
      </c>
      <c r="G41" s="99" t="str">
        <f t="shared" ca="1" si="2"/>
        <v/>
      </c>
      <c r="H41" s="99" t="str">
        <f t="shared" ca="1" si="2"/>
        <v/>
      </c>
      <c r="I41" s="99" t="str">
        <f t="shared" ca="1" si="2"/>
        <v/>
      </c>
      <c r="J41" s="99" t="str">
        <f t="shared" ca="1" si="2"/>
        <v/>
      </c>
      <c r="K41" s="99" t="str">
        <f t="shared" ca="1" si="2"/>
        <v/>
      </c>
      <c r="L41" s="99" t="str">
        <f t="shared" ca="1" si="2"/>
        <v/>
      </c>
      <c r="P41" s="165"/>
      <c r="Q41" s="165"/>
      <c r="R41" s="165"/>
      <c r="S41" s="165"/>
      <c r="T41" s="165"/>
      <c r="U41" s="165"/>
      <c r="V41" s="165"/>
      <c r="W41" s="165"/>
      <c r="X41" s="165"/>
      <c r="Y41" s="165"/>
      <c r="Z41" s="165"/>
    </row>
    <row r="42" spans="2:26">
      <c r="B42" s="97" t="str">
        <f>IF(Calculation!BE48="","",Calculation!BE48)</f>
        <v/>
      </c>
      <c r="C42" s="99" t="str">
        <f t="shared" ca="1" si="2"/>
        <v/>
      </c>
      <c r="D42" s="99" t="str">
        <f t="shared" ca="1" si="2"/>
        <v/>
      </c>
      <c r="E42" s="99" t="str">
        <f t="shared" ca="1" si="2"/>
        <v/>
      </c>
      <c r="F42" s="99" t="str">
        <f t="shared" ca="1" si="2"/>
        <v/>
      </c>
      <c r="G42" s="99" t="str">
        <f t="shared" ca="1" si="2"/>
        <v/>
      </c>
      <c r="H42" s="99" t="str">
        <f t="shared" ca="1" si="2"/>
        <v/>
      </c>
      <c r="I42" s="99" t="str">
        <f t="shared" ca="1" si="2"/>
        <v/>
      </c>
      <c r="J42" s="99" t="str">
        <f t="shared" ca="1" si="2"/>
        <v/>
      </c>
      <c r="K42" s="99" t="str">
        <f t="shared" ca="1" si="2"/>
        <v/>
      </c>
      <c r="L42" s="99" t="str">
        <f t="shared" ca="1" si="2"/>
        <v/>
      </c>
      <c r="P42" s="165"/>
      <c r="Q42" s="165"/>
      <c r="R42" s="165"/>
      <c r="S42" s="165"/>
      <c r="T42" s="165"/>
      <c r="U42" s="165"/>
      <c r="V42" s="165"/>
      <c r="W42" s="165"/>
      <c r="X42" s="165"/>
      <c r="Y42" s="165"/>
      <c r="Z42" s="165"/>
    </row>
    <row r="43" spans="2:26">
      <c r="B43" s="97" t="str">
        <f>IF(Calculation!BE49="","",Calculation!BE49)</f>
        <v/>
      </c>
      <c r="C43" s="99" t="str">
        <f t="shared" ca="1" si="2"/>
        <v/>
      </c>
      <c r="D43" s="99" t="str">
        <f t="shared" ca="1" si="2"/>
        <v/>
      </c>
      <c r="E43" s="99" t="str">
        <f t="shared" ca="1" si="2"/>
        <v/>
      </c>
      <c r="F43" s="99" t="str">
        <f t="shared" ca="1" si="2"/>
        <v/>
      </c>
      <c r="G43" s="99" t="str">
        <f t="shared" ca="1" si="2"/>
        <v/>
      </c>
      <c r="H43" s="99" t="str">
        <f t="shared" ca="1" si="2"/>
        <v/>
      </c>
      <c r="I43" s="99" t="str">
        <f t="shared" ca="1" si="2"/>
        <v/>
      </c>
      <c r="J43" s="99" t="str">
        <f t="shared" ca="1" si="2"/>
        <v/>
      </c>
      <c r="K43" s="99" t="str">
        <f t="shared" ca="1" si="2"/>
        <v/>
      </c>
      <c r="L43" s="99" t="str">
        <f t="shared" ca="1" si="2"/>
        <v/>
      </c>
      <c r="P43" s="165"/>
      <c r="Q43" s="165"/>
      <c r="R43" s="165"/>
      <c r="S43" s="165"/>
      <c r="T43" s="165"/>
      <c r="U43" s="165"/>
      <c r="V43" s="165"/>
      <c r="W43" s="165"/>
      <c r="X43" s="165"/>
      <c r="Y43" s="165"/>
      <c r="Z43" s="165"/>
    </row>
    <row r="44" spans="2:26">
      <c r="B44" s="97" t="str">
        <f>IF(Calculation!BE50="","",Calculation!BE50)</f>
        <v/>
      </c>
      <c r="C44" s="99" t="str">
        <f t="shared" ca="1" si="2"/>
        <v/>
      </c>
      <c r="D44" s="99" t="str">
        <f t="shared" ca="1" si="2"/>
        <v/>
      </c>
      <c r="E44" s="99" t="str">
        <f t="shared" ca="1" si="2"/>
        <v/>
      </c>
      <c r="F44" s="99" t="str">
        <f t="shared" ca="1" si="2"/>
        <v/>
      </c>
      <c r="G44" s="99" t="str">
        <f t="shared" ca="1" si="2"/>
        <v/>
      </c>
      <c r="H44" s="99" t="str">
        <f t="shared" ca="1" si="2"/>
        <v/>
      </c>
      <c r="I44" s="99" t="str">
        <f t="shared" ca="1" si="2"/>
        <v/>
      </c>
      <c r="J44" s="99" t="str">
        <f t="shared" ca="1" si="2"/>
        <v/>
      </c>
      <c r="K44" s="99" t="str">
        <f t="shared" ca="1" si="2"/>
        <v/>
      </c>
      <c r="L44" s="99" t="str">
        <f t="shared" ca="1" si="2"/>
        <v/>
      </c>
      <c r="P44" s="165"/>
      <c r="Q44" s="165"/>
      <c r="R44" s="165"/>
      <c r="S44" s="165"/>
      <c r="T44" s="165"/>
      <c r="U44" s="165"/>
      <c r="V44" s="165"/>
      <c r="W44" s="165"/>
      <c r="X44" s="165"/>
      <c r="Y44" s="165"/>
      <c r="Z44" s="165"/>
    </row>
    <row r="45" spans="2:26">
      <c r="B45" s="97" t="str">
        <f>IF(Calculation!BE51="","",Calculation!BE51)</f>
        <v/>
      </c>
      <c r="C45" s="99" t="str">
        <f t="shared" ca="1" si="2"/>
        <v/>
      </c>
      <c r="D45" s="99" t="str">
        <f t="shared" ca="1" si="2"/>
        <v/>
      </c>
      <c r="E45" s="99" t="str">
        <f t="shared" ca="1" si="2"/>
        <v/>
      </c>
      <c r="F45" s="99" t="str">
        <f t="shared" ca="1" si="2"/>
        <v/>
      </c>
      <c r="G45" s="99" t="str">
        <f t="shared" ca="1" si="2"/>
        <v/>
      </c>
      <c r="H45" s="99" t="str">
        <f t="shared" ca="1" si="2"/>
        <v/>
      </c>
      <c r="I45" s="99" t="str">
        <f t="shared" ca="1" si="2"/>
        <v/>
      </c>
      <c r="J45" s="99" t="str">
        <f t="shared" ca="1" si="2"/>
        <v/>
      </c>
      <c r="K45" s="99" t="str">
        <f t="shared" ca="1" si="2"/>
        <v/>
      </c>
      <c r="L45" s="99" t="str">
        <f t="shared" ca="1" si="2"/>
        <v/>
      </c>
      <c r="P45" s="165"/>
      <c r="Q45" s="165"/>
      <c r="R45" s="165"/>
      <c r="S45" s="165"/>
      <c r="T45" s="165"/>
      <c r="U45" s="165"/>
      <c r="V45" s="165"/>
      <c r="W45" s="165"/>
      <c r="X45" s="165"/>
      <c r="Y45" s="165"/>
      <c r="Z45" s="165"/>
    </row>
    <row r="46" spans="2:26">
      <c r="B46" s="97" t="str">
        <f>IF(Calculation!BE52="","",Calculation!BE52)</f>
        <v/>
      </c>
      <c r="C46" s="99" t="str">
        <f t="shared" ca="1" si="2"/>
        <v/>
      </c>
      <c r="D46" s="99" t="str">
        <f t="shared" ca="1" si="2"/>
        <v/>
      </c>
      <c r="E46" s="99" t="str">
        <f t="shared" ca="1" si="2"/>
        <v/>
      </c>
      <c r="F46" s="99" t="str">
        <f t="shared" ca="1" si="2"/>
        <v/>
      </c>
      <c r="G46" s="99" t="str">
        <f t="shared" ca="1" si="2"/>
        <v/>
      </c>
      <c r="H46" s="99" t="str">
        <f t="shared" ca="1" si="2"/>
        <v/>
      </c>
      <c r="I46" s="99" t="str">
        <f t="shared" ca="1" si="2"/>
        <v/>
      </c>
      <c r="J46" s="99" t="str">
        <f t="shared" ca="1" si="2"/>
        <v/>
      </c>
      <c r="K46" s="99" t="str">
        <f t="shared" ca="1" si="2"/>
        <v/>
      </c>
      <c r="L46" s="99" t="str">
        <f t="shared" ca="1" si="2"/>
        <v/>
      </c>
      <c r="P46" s="165"/>
      <c r="Q46" s="165"/>
      <c r="R46" s="165"/>
      <c r="S46" s="165"/>
      <c r="T46" s="165"/>
      <c r="U46" s="165"/>
      <c r="V46" s="165"/>
      <c r="W46" s="165"/>
      <c r="X46" s="165"/>
      <c r="Y46" s="165"/>
      <c r="Z46" s="165"/>
    </row>
    <row r="47" spans="2:26">
      <c r="B47" s="97" t="str">
        <f>IF(Calculation!BE53="","",Calculation!BE53)</f>
        <v/>
      </c>
      <c r="C47" s="99" t="str">
        <f t="shared" ca="1" si="2"/>
        <v/>
      </c>
      <c r="D47" s="99" t="str">
        <f t="shared" ca="1" si="2"/>
        <v/>
      </c>
      <c r="E47" s="99" t="str">
        <f t="shared" ca="1" si="2"/>
        <v/>
      </c>
      <c r="F47" s="99" t="str">
        <f t="shared" ca="1" si="2"/>
        <v/>
      </c>
      <c r="G47" s="99" t="str">
        <f t="shared" ca="1" si="2"/>
        <v/>
      </c>
      <c r="H47" s="99" t="str">
        <f t="shared" ca="1" si="2"/>
        <v/>
      </c>
      <c r="I47" s="99" t="str">
        <f t="shared" ca="1" si="2"/>
        <v/>
      </c>
      <c r="J47" s="99" t="str">
        <f t="shared" ca="1" si="2"/>
        <v/>
      </c>
      <c r="K47" s="99" t="str">
        <f t="shared" ca="1" si="2"/>
        <v/>
      </c>
      <c r="L47" s="99" t="str">
        <f t="shared" ca="1" si="2"/>
        <v/>
      </c>
      <c r="P47" s="165"/>
      <c r="Q47" s="165"/>
      <c r="R47" s="165"/>
      <c r="S47" s="165"/>
      <c r="T47" s="165"/>
      <c r="U47" s="165"/>
      <c r="V47" s="165"/>
      <c r="W47" s="165"/>
      <c r="X47" s="165"/>
      <c r="Y47" s="165"/>
      <c r="Z47" s="165"/>
    </row>
    <row r="48" spans="2:26">
      <c r="B48" s="97" t="str">
        <f>IF(Calculation!BE54="","",Calculation!BE54)</f>
        <v/>
      </c>
      <c r="C48" s="99" t="str">
        <f t="shared" ca="1" si="2"/>
        <v/>
      </c>
      <c r="D48" s="99" t="str">
        <f t="shared" ca="1" si="2"/>
        <v/>
      </c>
      <c r="E48" s="99" t="str">
        <f t="shared" ca="1" si="2"/>
        <v/>
      </c>
      <c r="F48" s="99" t="str">
        <f t="shared" ca="1" si="2"/>
        <v/>
      </c>
      <c r="G48" s="99" t="str">
        <f t="shared" ca="1" si="2"/>
        <v/>
      </c>
      <c r="H48" s="99" t="str">
        <f t="shared" ca="1" si="2"/>
        <v/>
      </c>
      <c r="I48" s="99" t="str">
        <f t="shared" ca="1" si="2"/>
        <v/>
      </c>
      <c r="J48" s="99" t="str">
        <f t="shared" ca="1" si="2"/>
        <v/>
      </c>
      <c r="K48" s="99" t="str">
        <f t="shared" ca="1" si="2"/>
        <v/>
      </c>
      <c r="L48" s="99" t="str">
        <f t="shared" ca="1" si="2"/>
        <v/>
      </c>
      <c r="P48" s="165"/>
      <c r="Q48" s="165"/>
      <c r="R48" s="165"/>
      <c r="S48" s="165"/>
      <c r="T48" s="165"/>
      <c r="U48" s="165"/>
      <c r="V48" s="165"/>
      <c r="W48" s="165"/>
      <c r="X48" s="165"/>
      <c r="Y48" s="165"/>
      <c r="Z48" s="165"/>
    </row>
    <row r="49" spans="2:26">
      <c r="B49" s="97" t="str">
        <f>IF(Calculation!BE55="","",Calculation!BE55)</f>
        <v/>
      </c>
      <c r="C49" s="99" t="str">
        <f t="shared" ca="1" si="2"/>
        <v/>
      </c>
      <c r="D49" s="99" t="str">
        <f t="shared" ca="1" si="2"/>
        <v/>
      </c>
      <c r="E49" s="99" t="str">
        <f t="shared" ca="1" si="2"/>
        <v/>
      </c>
      <c r="F49" s="99" t="str">
        <f t="shared" ca="1" si="2"/>
        <v/>
      </c>
      <c r="G49" s="99" t="str">
        <f t="shared" ca="1" si="2"/>
        <v/>
      </c>
      <c r="H49" s="99" t="str">
        <f t="shared" ca="1" si="2"/>
        <v/>
      </c>
      <c r="I49" s="99" t="str">
        <f t="shared" ca="1" si="2"/>
        <v/>
      </c>
      <c r="J49" s="99" t="str">
        <f t="shared" ca="1" si="2"/>
        <v/>
      </c>
      <c r="K49" s="99" t="str">
        <f t="shared" ca="1" si="2"/>
        <v/>
      </c>
      <c r="L49" s="99" t="str">
        <f t="shared" ca="1" si="2"/>
        <v/>
      </c>
      <c r="P49" s="165"/>
      <c r="Q49" s="165"/>
      <c r="R49" s="165"/>
      <c r="S49" s="165"/>
      <c r="T49" s="165"/>
      <c r="U49" s="165"/>
      <c r="V49" s="165"/>
      <c r="W49" s="165"/>
      <c r="X49" s="165"/>
      <c r="Y49" s="165"/>
      <c r="Z49" s="165"/>
    </row>
    <row r="50" spans="2:26">
      <c r="B50" s="97" t="str">
        <f>IF(Calculation!BE56="","",Calculation!BE56)</f>
        <v/>
      </c>
      <c r="C50" s="99" t="str">
        <f t="shared" ca="1" si="2"/>
        <v/>
      </c>
      <c r="D50" s="99" t="str">
        <f t="shared" ca="1" si="2"/>
        <v/>
      </c>
      <c r="E50" s="99" t="str">
        <f t="shared" ca="1" si="2"/>
        <v/>
      </c>
      <c r="F50" s="99" t="str">
        <f t="shared" ca="1" si="2"/>
        <v/>
      </c>
      <c r="G50" s="99" t="str">
        <f t="shared" ca="1" si="2"/>
        <v/>
      </c>
      <c r="H50" s="99" t="str">
        <f t="shared" ca="1" si="2"/>
        <v/>
      </c>
      <c r="I50" s="99" t="str">
        <f t="shared" ca="1" si="2"/>
        <v/>
      </c>
      <c r="J50" s="99" t="str">
        <f t="shared" ca="1" si="2"/>
        <v/>
      </c>
      <c r="K50" s="99" t="str">
        <f t="shared" ca="1" si="2"/>
        <v/>
      </c>
      <c r="L50" s="99" t="str">
        <f t="shared" ca="1" si="2"/>
        <v/>
      </c>
      <c r="P50" s="165"/>
      <c r="Q50" s="165"/>
      <c r="R50" s="165"/>
      <c r="S50" s="165"/>
      <c r="T50" s="165"/>
      <c r="U50" s="165"/>
      <c r="V50" s="165"/>
      <c r="W50" s="165"/>
      <c r="X50" s="165"/>
      <c r="Y50" s="165"/>
      <c r="Z50" s="165"/>
    </row>
    <row r="51" spans="2:26">
      <c r="B51" s="97" t="str">
        <f>IF(Calculation!BE57="","",Calculation!BE57)</f>
        <v/>
      </c>
      <c r="C51" s="99" t="str">
        <f t="shared" ca="1" si="2"/>
        <v/>
      </c>
      <c r="D51" s="99" t="str">
        <f t="shared" ca="1" si="2"/>
        <v/>
      </c>
      <c r="E51" s="99" t="str">
        <f t="shared" ca="1" si="2"/>
        <v/>
      </c>
      <c r="F51" s="99" t="str">
        <f t="shared" ca="1" si="2"/>
        <v/>
      </c>
      <c r="G51" s="99" t="str">
        <f t="shared" ca="1" si="2"/>
        <v/>
      </c>
      <c r="H51" s="99" t="str">
        <f t="shared" ca="1" si="2"/>
        <v/>
      </c>
      <c r="I51" s="99" t="str">
        <f t="shared" ca="1" si="2"/>
        <v/>
      </c>
      <c r="J51" s="99" t="str">
        <f t="shared" ca="1" si="2"/>
        <v/>
      </c>
      <c r="K51" s="99" t="str">
        <f t="shared" ca="1" si="2"/>
        <v/>
      </c>
      <c r="L51" s="99" t="str">
        <f t="shared" ca="1" si="2"/>
        <v/>
      </c>
      <c r="P51" s="165"/>
      <c r="Q51" s="165"/>
      <c r="R51" s="165"/>
      <c r="S51" s="165"/>
      <c r="T51" s="165"/>
      <c r="U51" s="165"/>
      <c r="V51" s="165"/>
      <c r="W51" s="165"/>
      <c r="X51" s="165"/>
      <c r="Y51" s="165"/>
      <c r="Z51" s="165"/>
    </row>
    <row r="52" spans="2:26">
      <c r="B52" s="97" t="str">
        <f>IF(Calculation!BE58="","",Calculation!BE58)</f>
        <v/>
      </c>
      <c r="C52" s="99" t="str">
        <f t="shared" ca="1" si="2"/>
        <v/>
      </c>
      <c r="D52" s="99" t="str">
        <f t="shared" ca="1" si="2"/>
        <v/>
      </c>
      <c r="E52" s="99" t="str">
        <f t="shared" ca="1" si="2"/>
        <v/>
      </c>
      <c r="F52" s="99" t="str">
        <f t="shared" ca="1" si="2"/>
        <v/>
      </c>
      <c r="G52" s="99" t="str">
        <f t="shared" ca="1" si="2"/>
        <v/>
      </c>
      <c r="H52" s="99" t="str">
        <f t="shared" ca="1" si="2"/>
        <v/>
      </c>
      <c r="I52" s="99" t="str">
        <f t="shared" ca="1" si="2"/>
        <v/>
      </c>
      <c r="J52" s="99" t="str">
        <f t="shared" ca="1" si="2"/>
        <v/>
      </c>
      <c r="K52" s="99" t="str">
        <f t="shared" ca="1" si="2"/>
        <v/>
      </c>
      <c r="L52" s="99" t="str">
        <f t="shared" ca="1" si="2"/>
        <v/>
      </c>
      <c r="P52" s="165"/>
      <c r="Q52" s="165"/>
      <c r="R52" s="165"/>
      <c r="S52" s="165"/>
      <c r="T52" s="165"/>
      <c r="U52" s="165"/>
      <c r="V52" s="165"/>
      <c r="W52" s="165"/>
      <c r="X52" s="165"/>
      <c r="Y52" s="165"/>
      <c r="Z52" s="165"/>
    </row>
    <row r="53" spans="2:26">
      <c r="B53" s="97" t="str">
        <f>IF(Calculation!BE59="","",Calculation!BE59)</f>
        <v/>
      </c>
      <c r="C53" s="99" t="str">
        <f t="shared" ca="1" si="2"/>
        <v/>
      </c>
      <c r="D53" s="99" t="str">
        <f t="shared" ca="1" si="2"/>
        <v/>
      </c>
      <c r="E53" s="99" t="str">
        <f t="shared" ca="1" si="2"/>
        <v/>
      </c>
      <c r="F53" s="99" t="str">
        <f t="shared" ca="1" si="2"/>
        <v/>
      </c>
      <c r="G53" s="99" t="str">
        <f t="shared" ca="1" si="2"/>
        <v/>
      </c>
      <c r="H53" s="99" t="str">
        <f t="shared" ca="1" si="2"/>
        <v/>
      </c>
      <c r="I53" s="99" t="str">
        <f t="shared" ca="1" si="2"/>
        <v/>
      </c>
      <c r="J53" s="99" t="str">
        <f t="shared" ca="1" si="2"/>
        <v/>
      </c>
      <c r="K53" s="99" t="str">
        <f t="shared" ca="1" si="2"/>
        <v/>
      </c>
      <c r="L53" s="99" t="str">
        <f t="shared" ca="1" si="2"/>
        <v/>
      </c>
      <c r="P53" s="165"/>
      <c r="Q53" s="165"/>
      <c r="R53" s="165"/>
      <c r="S53" s="165"/>
      <c r="T53" s="165"/>
      <c r="U53" s="165"/>
      <c r="V53" s="165"/>
      <c r="W53" s="165"/>
      <c r="X53" s="165"/>
      <c r="Y53" s="165"/>
      <c r="Z53" s="165"/>
    </row>
    <row r="54" spans="2:26">
      <c r="B54" s="97" t="str">
        <f>IF(Calculation!BE60="","",Calculation!BE60)</f>
        <v/>
      </c>
      <c r="C54" s="99" t="str">
        <f t="shared" ref="C54:L55" ca="1" si="3">IF($M$4=0,"",VLOOKUP($B54,INDIRECT("$P$1:$Z$"&amp;$M$4),COLUMN()-1,0))</f>
        <v/>
      </c>
      <c r="D54" s="99" t="str">
        <f t="shared" ca="1" si="3"/>
        <v/>
      </c>
      <c r="E54" s="99" t="str">
        <f t="shared" ca="1" si="3"/>
        <v/>
      </c>
      <c r="F54" s="99" t="str">
        <f t="shared" ca="1" si="3"/>
        <v/>
      </c>
      <c r="G54" s="99" t="str">
        <f t="shared" ca="1" si="3"/>
        <v/>
      </c>
      <c r="H54" s="99" t="str">
        <f t="shared" ca="1" si="3"/>
        <v/>
      </c>
      <c r="I54" s="99" t="str">
        <f t="shared" ca="1" si="3"/>
        <v/>
      </c>
      <c r="J54" s="99" t="str">
        <f t="shared" ca="1" si="3"/>
        <v/>
      </c>
      <c r="K54" s="99" t="str">
        <f t="shared" ca="1" si="3"/>
        <v/>
      </c>
      <c r="L54" s="99" t="str">
        <f t="shared" ca="1" si="3"/>
        <v/>
      </c>
      <c r="P54" s="165"/>
      <c r="Q54" s="165"/>
      <c r="R54" s="165"/>
      <c r="S54" s="165"/>
      <c r="T54" s="165"/>
      <c r="U54" s="165"/>
      <c r="V54" s="165"/>
      <c r="W54" s="165"/>
      <c r="X54" s="165"/>
      <c r="Y54" s="165"/>
      <c r="Z54" s="165"/>
    </row>
    <row r="55" spans="2:26">
      <c r="B55" s="97" t="str">
        <f>IF(Calculation!BE61="","",Calculation!BE61)</f>
        <v/>
      </c>
      <c r="C55" s="99" t="str">
        <f t="shared" ca="1" si="3"/>
        <v/>
      </c>
      <c r="D55" s="99" t="str">
        <f t="shared" ca="1" si="3"/>
        <v/>
      </c>
      <c r="E55" s="99" t="str">
        <f t="shared" ca="1" si="3"/>
        <v/>
      </c>
      <c r="F55" s="99" t="str">
        <f t="shared" ca="1" si="3"/>
        <v/>
      </c>
      <c r="G55" s="99" t="str">
        <f t="shared" ca="1" si="3"/>
        <v/>
      </c>
      <c r="H55" s="99" t="str">
        <f t="shared" ca="1" si="3"/>
        <v/>
      </c>
      <c r="I55" s="99" t="str">
        <f t="shared" ca="1" si="3"/>
        <v/>
      </c>
      <c r="J55" s="99" t="str">
        <f t="shared" ca="1" si="3"/>
        <v/>
      </c>
      <c r="K55" s="99" t="str">
        <f t="shared" ca="1" si="3"/>
        <v/>
      </c>
      <c r="L55" s="99" t="str">
        <f t="shared" ca="1" si="3"/>
        <v/>
      </c>
      <c r="P55" s="165"/>
      <c r="Q55" s="165"/>
      <c r="R55" s="165"/>
      <c r="S55" s="165"/>
      <c r="T55" s="165"/>
      <c r="U55" s="165"/>
      <c r="V55" s="165"/>
      <c r="W55" s="165"/>
      <c r="X55" s="165"/>
      <c r="Y55" s="165"/>
      <c r="Z55" s="165"/>
    </row>
    <row r="56" spans="2:26">
      <c r="P56" s="165"/>
      <c r="Q56" s="165"/>
      <c r="R56" s="165"/>
      <c r="S56" s="165"/>
      <c r="T56" s="165"/>
      <c r="U56" s="165"/>
      <c r="V56" s="165"/>
      <c r="W56" s="165"/>
      <c r="X56" s="165"/>
      <c r="Y56" s="165"/>
      <c r="Z56" s="165"/>
    </row>
    <row r="57" spans="2:26">
      <c r="P57" s="165"/>
      <c r="Q57" s="165"/>
      <c r="R57" s="165"/>
      <c r="S57" s="165"/>
      <c r="T57" s="165"/>
      <c r="U57" s="165"/>
      <c r="V57" s="165"/>
      <c r="W57" s="165"/>
      <c r="X57" s="165"/>
      <c r="Y57" s="165"/>
      <c r="Z57" s="165"/>
    </row>
    <row r="58" spans="2:26">
      <c r="P58" s="165"/>
      <c r="Q58" s="165"/>
      <c r="R58" s="165"/>
      <c r="S58" s="165"/>
      <c r="T58" s="165"/>
      <c r="U58" s="165"/>
      <c r="V58" s="165"/>
      <c r="W58" s="165"/>
      <c r="X58" s="165"/>
      <c r="Y58" s="165"/>
      <c r="Z58" s="165"/>
    </row>
    <row r="59" spans="2:26">
      <c r="P59" s="165"/>
      <c r="Q59" s="165"/>
      <c r="R59" s="165"/>
      <c r="S59" s="165"/>
      <c r="T59" s="165"/>
      <c r="U59" s="165"/>
      <c r="V59" s="165"/>
      <c r="W59" s="165"/>
      <c r="X59" s="165"/>
      <c r="Y59" s="165"/>
      <c r="Z59" s="165"/>
    </row>
    <row r="60" spans="2:26">
      <c r="P60" s="165"/>
      <c r="Q60" s="165"/>
      <c r="R60" s="165"/>
      <c r="S60" s="165"/>
      <c r="T60" s="165"/>
      <c r="U60" s="165"/>
      <c r="V60" s="165"/>
      <c r="W60" s="165"/>
      <c r="X60" s="165"/>
      <c r="Y60" s="165"/>
      <c r="Z60" s="165"/>
    </row>
    <row r="61" spans="2:26">
      <c r="P61" s="165"/>
      <c r="Q61" s="165"/>
      <c r="R61" s="165"/>
      <c r="S61" s="165"/>
      <c r="T61" s="165"/>
      <c r="U61" s="165"/>
      <c r="V61" s="165"/>
      <c r="W61" s="165"/>
      <c r="X61" s="165"/>
      <c r="Y61" s="165"/>
      <c r="Z61" s="165"/>
    </row>
    <row r="62" spans="2:26">
      <c r="P62" s="165"/>
      <c r="Q62" s="165"/>
      <c r="R62" s="165"/>
      <c r="S62" s="165"/>
      <c r="T62" s="165"/>
      <c r="U62" s="165"/>
      <c r="V62" s="165"/>
      <c r="W62" s="165"/>
      <c r="X62" s="165"/>
      <c r="Y62" s="165"/>
      <c r="Z62" s="165"/>
    </row>
    <row r="63" spans="2:26">
      <c r="P63" s="165"/>
      <c r="Q63" s="165"/>
      <c r="R63" s="165"/>
      <c r="S63" s="165"/>
      <c r="T63" s="165"/>
      <c r="U63" s="165"/>
      <c r="V63" s="165"/>
      <c r="W63" s="165"/>
      <c r="X63" s="165"/>
      <c r="Y63" s="165"/>
      <c r="Z63" s="165"/>
    </row>
    <row r="64" spans="2:26">
      <c r="P64" s="165"/>
      <c r="Q64" s="165"/>
      <c r="R64" s="165"/>
      <c r="S64" s="165"/>
      <c r="T64" s="165"/>
      <c r="U64" s="165"/>
      <c r="V64" s="165"/>
      <c r="W64" s="165"/>
      <c r="X64" s="165"/>
      <c r="Y64" s="165"/>
      <c r="Z64" s="165"/>
    </row>
    <row r="65" spans="16:26">
      <c r="P65" s="165"/>
      <c r="Q65" s="165"/>
      <c r="R65" s="165"/>
      <c r="S65" s="165"/>
      <c r="T65" s="165"/>
      <c r="U65" s="165"/>
      <c r="V65" s="165"/>
      <c r="W65" s="165"/>
      <c r="X65" s="165"/>
      <c r="Y65" s="165"/>
      <c r="Z65" s="165"/>
    </row>
    <row r="66" spans="16:26">
      <c r="P66" s="165"/>
      <c r="Q66" s="165"/>
      <c r="R66" s="165"/>
      <c r="S66" s="165"/>
      <c r="T66" s="165"/>
      <c r="U66" s="165"/>
      <c r="V66" s="165"/>
      <c r="W66" s="165"/>
      <c r="X66" s="165"/>
      <c r="Y66" s="165"/>
      <c r="Z66" s="165"/>
    </row>
    <row r="67" spans="16:26">
      <c r="P67" s="165"/>
      <c r="Q67" s="165"/>
      <c r="R67" s="165"/>
      <c r="S67" s="165"/>
      <c r="T67" s="165"/>
      <c r="U67" s="165"/>
      <c r="V67" s="165"/>
      <c r="W67" s="165"/>
      <c r="X67" s="165"/>
      <c r="Y67" s="165"/>
      <c r="Z67" s="165"/>
    </row>
    <row r="68" spans="16:26">
      <c r="P68" s="165"/>
      <c r="Q68" s="165"/>
      <c r="R68" s="165"/>
      <c r="S68" s="165"/>
      <c r="T68" s="165"/>
      <c r="U68" s="165"/>
      <c r="V68" s="165"/>
      <c r="W68" s="165"/>
      <c r="X68" s="165"/>
      <c r="Y68" s="165"/>
      <c r="Z68" s="165"/>
    </row>
    <row r="69" spans="16:26">
      <c r="P69" s="165"/>
      <c r="Q69" s="165"/>
      <c r="R69" s="165"/>
      <c r="S69" s="165"/>
      <c r="T69" s="165"/>
      <c r="U69" s="165"/>
      <c r="V69" s="165"/>
      <c r="W69" s="165"/>
      <c r="X69" s="165"/>
      <c r="Y69" s="165"/>
      <c r="Z69" s="165"/>
    </row>
    <row r="70" spans="16:26">
      <c r="P70" s="165"/>
      <c r="Q70" s="165"/>
      <c r="R70" s="165"/>
      <c r="S70" s="165"/>
      <c r="T70" s="165"/>
      <c r="U70" s="165"/>
      <c r="V70" s="165"/>
      <c r="W70" s="165"/>
      <c r="X70" s="165"/>
      <c r="Y70" s="165"/>
      <c r="Z70" s="165"/>
    </row>
    <row r="71" spans="16:26">
      <c r="P71" s="165"/>
      <c r="Q71" s="165"/>
      <c r="R71" s="165"/>
      <c r="S71" s="165"/>
      <c r="T71" s="165"/>
      <c r="U71" s="165"/>
      <c r="V71" s="165"/>
      <c r="W71" s="165"/>
      <c r="X71" s="165"/>
      <c r="Y71" s="165"/>
      <c r="Z71" s="165"/>
    </row>
    <row r="72" spans="16:26">
      <c r="P72" s="165"/>
      <c r="Q72" s="165"/>
      <c r="R72" s="165"/>
      <c r="S72" s="165"/>
      <c r="T72" s="165"/>
      <c r="U72" s="165"/>
      <c r="V72" s="165"/>
      <c r="W72" s="165"/>
      <c r="X72" s="165"/>
      <c r="Y72" s="165"/>
      <c r="Z72" s="165"/>
    </row>
    <row r="73" spans="16:26">
      <c r="P73" s="165"/>
      <c r="Q73" s="165"/>
      <c r="R73" s="165"/>
      <c r="S73" s="165"/>
      <c r="T73" s="165"/>
      <c r="U73" s="165"/>
      <c r="V73" s="165"/>
      <c r="W73" s="165"/>
      <c r="X73" s="165"/>
      <c r="Y73" s="165"/>
      <c r="Z73" s="165"/>
    </row>
    <row r="74" spans="16:26">
      <c r="P74" s="165"/>
      <c r="Q74" s="165"/>
      <c r="R74" s="165"/>
      <c r="S74" s="165"/>
      <c r="T74" s="165"/>
      <c r="U74" s="165"/>
      <c r="V74" s="165"/>
      <c r="W74" s="165"/>
      <c r="X74" s="165"/>
      <c r="Y74" s="165"/>
      <c r="Z74" s="165"/>
    </row>
    <row r="75" spans="16:26">
      <c r="P75" s="165"/>
      <c r="Q75" s="165"/>
      <c r="R75" s="165"/>
      <c r="S75" s="165"/>
      <c r="T75" s="165"/>
      <c r="U75" s="165"/>
      <c r="V75" s="165"/>
      <c r="W75" s="165"/>
      <c r="X75" s="165"/>
      <c r="Y75" s="165"/>
      <c r="Z75" s="165"/>
    </row>
    <row r="76" spans="16:26">
      <c r="P76" s="165"/>
      <c r="Q76" s="165"/>
      <c r="R76" s="165"/>
      <c r="S76" s="165"/>
      <c r="T76" s="165"/>
      <c r="U76" s="165"/>
      <c r="V76" s="165"/>
      <c r="W76" s="165"/>
      <c r="X76" s="165"/>
      <c r="Y76" s="165"/>
      <c r="Z76" s="165"/>
    </row>
    <row r="77" spans="16:26">
      <c r="P77" s="165"/>
      <c r="Q77" s="165"/>
      <c r="R77" s="165"/>
      <c r="S77" s="165"/>
      <c r="T77" s="165"/>
      <c r="U77" s="165"/>
      <c r="V77" s="165"/>
      <c r="W77" s="165"/>
      <c r="X77" s="165"/>
      <c r="Y77" s="165"/>
      <c r="Z77" s="165"/>
    </row>
    <row r="78" spans="16:26">
      <c r="P78" s="165"/>
      <c r="Q78" s="165"/>
      <c r="R78" s="165"/>
      <c r="S78" s="165"/>
      <c r="T78" s="165"/>
      <c r="U78" s="165"/>
      <c r="V78" s="165"/>
      <c r="W78" s="165"/>
      <c r="X78" s="165"/>
      <c r="Y78" s="165"/>
      <c r="Z78" s="165"/>
    </row>
    <row r="79" spans="16:26">
      <c r="P79" s="165"/>
      <c r="Q79" s="165"/>
      <c r="R79" s="165"/>
      <c r="S79" s="165"/>
      <c r="T79" s="165"/>
      <c r="U79" s="165"/>
      <c r="V79" s="165"/>
      <c r="W79" s="165"/>
      <c r="X79" s="165"/>
      <c r="Y79" s="165"/>
      <c r="Z79" s="165"/>
    </row>
    <row r="80" spans="16:26">
      <c r="P80" s="165"/>
      <c r="Q80" s="165"/>
      <c r="R80" s="165"/>
      <c r="S80" s="165"/>
      <c r="T80" s="165"/>
      <c r="U80" s="165"/>
      <c r="V80" s="165"/>
      <c r="W80" s="165"/>
      <c r="X80" s="165"/>
      <c r="Y80" s="165"/>
      <c r="Z80" s="165"/>
    </row>
    <row r="81" spans="16:26">
      <c r="P81" s="165"/>
      <c r="Q81" s="165"/>
      <c r="R81" s="165"/>
      <c r="S81" s="165"/>
      <c r="T81" s="165"/>
      <c r="U81" s="165"/>
      <c r="V81" s="165"/>
      <c r="W81" s="165"/>
      <c r="X81" s="165"/>
      <c r="Y81" s="165"/>
      <c r="Z81" s="165"/>
    </row>
    <row r="82" spans="16:26">
      <c r="P82" s="165"/>
      <c r="Q82" s="165"/>
      <c r="R82" s="165"/>
      <c r="S82" s="165"/>
      <c r="T82" s="165"/>
      <c r="U82" s="165"/>
      <c r="V82" s="165"/>
      <c r="W82" s="165"/>
      <c r="X82" s="165"/>
      <c r="Y82" s="165"/>
      <c r="Z82" s="165"/>
    </row>
    <row r="83" spans="16:26">
      <c r="P83" s="165"/>
      <c r="Q83" s="165"/>
      <c r="R83" s="165"/>
      <c r="S83" s="165"/>
      <c r="T83" s="165"/>
      <c r="U83" s="165"/>
      <c r="V83" s="165"/>
      <c r="W83" s="165"/>
      <c r="X83" s="165"/>
      <c r="Y83" s="165"/>
      <c r="Z83" s="165"/>
    </row>
    <row r="84" spans="16:26">
      <c r="P84" s="165"/>
      <c r="Q84" s="165"/>
      <c r="R84" s="165"/>
      <c r="S84" s="165"/>
      <c r="T84" s="165"/>
      <c r="U84" s="165"/>
      <c r="V84" s="165"/>
      <c r="W84" s="165"/>
      <c r="X84" s="165"/>
      <c r="Y84" s="165"/>
      <c r="Z84" s="165"/>
    </row>
    <row r="85" spans="16:26">
      <c r="P85" s="165"/>
      <c r="Q85" s="165"/>
      <c r="R85" s="165"/>
      <c r="S85" s="165"/>
      <c r="T85" s="165"/>
      <c r="U85" s="165"/>
      <c r="V85" s="165"/>
      <c r="W85" s="165"/>
      <c r="X85" s="165"/>
      <c r="Y85" s="165"/>
      <c r="Z85" s="165"/>
    </row>
    <row r="86" spans="16:26">
      <c r="P86" s="165"/>
      <c r="Q86" s="165"/>
      <c r="R86" s="165"/>
      <c r="S86" s="165"/>
      <c r="T86" s="165"/>
      <c r="U86" s="165"/>
      <c r="V86" s="165"/>
      <c r="W86" s="165"/>
      <c r="X86" s="165"/>
      <c r="Y86" s="165"/>
      <c r="Z86" s="165"/>
    </row>
    <row r="87" spans="16:26">
      <c r="P87" s="165"/>
      <c r="Q87" s="165"/>
      <c r="R87" s="165"/>
      <c r="S87" s="165"/>
      <c r="T87" s="165"/>
      <c r="U87" s="165"/>
      <c r="V87" s="165"/>
      <c r="W87" s="165"/>
      <c r="X87" s="165"/>
      <c r="Y87" s="165"/>
      <c r="Z87" s="165"/>
    </row>
    <row r="88" spans="16:26">
      <c r="P88" s="165"/>
      <c r="Q88" s="165"/>
      <c r="R88" s="165"/>
      <c r="S88" s="165"/>
      <c r="T88" s="165"/>
      <c r="U88" s="165"/>
      <c r="V88" s="165"/>
      <c r="W88" s="165"/>
      <c r="X88" s="165"/>
      <c r="Y88" s="165"/>
      <c r="Z88" s="165"/>
    </row>
    <row r="89" spans="16:26">
      <c r="P89" s="165"/>
      <c r="Q89" s="165"/>
      <c r="R89" s="165"/>
      <c r="S89" s="165"/>
      <c r="T89" s="165"/>
      <c r="U89" s="165"/>
      <c r="V89" s="165"/>
      <c r="W89" s="165"/>
      <c r="X89" s="165"/>
      <c r="Y89" s="165"/>
      <c r="Z89" s="165"/>
    </row>
    <row r="90" spans="16:26">
      <c r="P90" s="165"/>
      <c r="Q90" s="165"/>
      <c r="R90" s="165"/>
      <c r="S90" s="165"/>
      <c r="T90" s="165"/>
      <c r="U90" s="165"/>
      <c r="V90" s="165"/>
      <c r="W90" s="165"/>
      <c r="X90" s="165"/>
      <c r="Y90" s="165"/>
      <c r="Z90" s="165"/>
    </row>
    <row r="91" spans="16:26">
      <c r="P91" s="165"/>
      <c r="Q91" s="165"/>
      <c r="R91" s="165"/>
      <c r="S91" s="165"/>
      <c r="T91" s="165"/>
      <c r="U91" s="165"/>
      <c r="V91" s="165"/>
      <c r="W91" s="165"/>
      <c r="X91" s="165"/>
      <c r="Y91" s="165"/>
      <c r="Z91" s="165"/>
    </row>
    <row r="92" spans="16:26">
      <c r="P92" s="165"/>
      <c r="Q92" s="165"/>
      <c r="R92" s="165"/>
      <c r="S92" s="165"/>
      <c r="T92" s="165"/>
      <c r="U92" s="165"/>
      <c r="V92" s="165"/>
      <c r="W92" s="165"/>
      <c r="X92" s="165"/>
      <c r="Y92" s="165"/>
      <c r="Z92" s="165"/>
    </row>
    <row r="93" spans="16:26">
      <c r="P93" s="165"/>
      <c r="Q93" s="165"/>
      <c r="R93" s="165"/>
      <c r="S93" s="165"/>
      <c r="T93" s="165"/>
      <c r="U93" s="165"/>
      <c r="V93" s="165"/>
      <c r="W93" s="165"/>
      <c r="X93" s="165"/>
      <c r="Y93" s="165"/>
      <c r="Z93" s="165"/>
    </row>
    <row r="94" spans="16:26">
      <c r="P94" s="165"/>
      <c r="Q94" s="165"/>
      <c r="R94" s="165"/>
      <c r="S94" s="165"/>
      <c r="T94" s="165"/>
      <c r="U94" s="165"/>
      <c r="V94" s="165"/>
      <c r="W94" s="165"/>
      <c r="X94" s="165"/>
      <c r="Y94" s="165"/>
      <c r="Z94" s="165"/>
    </row>
    <row r="95" spans="16:26">
      <c r="P95" s="165"/>
      <c r="Q95" s="165"/>
      <c r="R95" s="165"/>
      <c r="S95" s="165"/>
      <c r="T95" s="165"/>
      <c r="U95" s="165"/>
      <c r="V95" s="165"/>
      <c r="W95" s="165"/>
      <c r="X95" s="165"/>
      <c r="Y95" s="165"/>
      <c r="Z95" s="165"/>
    </row>
    <row r="96" spans="16:26">
      <c r="P96" s="165"/>
      <c r="Q96" s="165"/>
      <c r="R96" s="165"/>
      <c r="S96" s="165"/>
      <c r="T96" s="165"/>
      <c r="U96" s="165"/>
      <c r="V96" s="165"/>
      <c r="W96" s="165"/>
      <c r="X96" s="165"/>
      <c r="Y96" s="165"/>
      <c r="Z96" s="165"/>
    </row>
    <row r="97" spans="16:26">
      <c r="P97" s="165"/>
      <c r="Q97" s="165"/>
      <c r="R97" s="165"/>
      <c r="S97" s="165"/>
      <c r="T97" s="165"/>
      <c r="U97" s="165"/>
      <c r="V97" s="165"/>
      <c r="W97" s="165"/>
      <c r="X97" s="165"/>
      <c r="Y97" s="165"/>
      <c r="Z97" s="165"/>
    </row>
    <row r="98" spans="16:26">
      <c r="P98" s="165"/>
      <c r="Q98" s="165"/>
      <c r="R98" s="165"/>
      <c r="S98" s="165"/>
      <c r="T98" s="165"/>
      <c r="U98" s="165"/>
      <c r="V98" s="165"/>
      <c r="W98" s="165"/>
      <c r="X98" s="165"/>
      <c r="Y98" s="165"/>
      <c r="Z98" s="165"/>
    </row>
    <row r="99" spans="16:26">
      <c r="P99" s="165"/>
      <c r="Q99" s="165"/>
      <c r="R99" s="165"/>
      <c r="S99" s="165"/>
      <c r="T99" s="165"/>
      <c r="U99" s="165"/>
      <c r="V99" s="165"/>
      <c r="W99" s="165"/>
      <c r="X99" s="165"/>
      <c r="Y99" s="165"/>
      <c r="Z99" s="165"/>
    </row>
    <row r="100" spans="16:26">
      <c r="P100" s="165"/>
      <c r="Q100" s="165"/>
      <c r="R100" s="165"/>
      <c r="S100" s="165"/>
      <c r="T100" s="165"/>
      <c r="U100" s="165"/>
      <c r="V100" s="165"/>
      <c r="W100" s="165"/>
      <c r="X100" s="165"/>
      <c r="Y100" s="165"/>
      <c r="Z100" s="165"/>
    </row>
    <row r="101" spans="16:26">
      <c r="P101" s="165"/>
      <c r="Q101" s="165"/>
      <c r="R101" s="165"/>
      <c r="S101" s="165"/>
      <c r="T101" s="165"/>
      <c r="U101" s="165"/>
      <c r="V101" s="165"/>
      <c r="W101" s="165"/>
      <c r="X101" s="165"/>
      <c r="Y101" s="165"/>
      <c r="Z101" s="165"/>
    </row>
    <row r="102" spans="16:26">
      <c r="P102" s="165"/>
      <c r="Q102" s="165"/>
      <c r="R102" s="165"/>
      <c r="S102" s="165"/>
      <c r="T102" s="165"/>
      <c r="U102" s="165"/>
      <c r="V102" s="165"/>
      <c r="W102" s="165"/>
      <c r="X102" s="165"/>
      <c r="Y102" s="165"/>
      <c r="Z102" s="165"/>
    </row>
    <row r="103" spans="16:26">
      <c r="P103" s="165"/>
      <c r="Q103" s="165"/>
      <c r="R103" s="165"/>
      <c r="S103" s="165"/>
      <c r="T103" s="165"/>
      <c r="U103" s="165"/>
      <c r="V103" s="165"/>
      <c r="W103" s="165"/>
      <c r="X103" s="165"/>
      <c r="Y103" s="165"/>
      <c r="Z103" s="165"/>
    </row>
    <row r="104" spans="16:26">
      <c r="P104" s="165"/>
      <c r="Q104" s="165"/>
      <c r="R104" s="165"/>
      <c r="S104" s="165"/>
      <c r="T104" s="165"/>
      <c r="U104" s="165"/>
      <c r="V104" s="165"/>
      <c r="W104" s="165"/>
      <c r="X104" s="165"/>
      <c r="Y104" s="165"/>
      <c r="Z104" s="165"/>
    </row>
    <row r="105" spans="16:26">
      <c r="P105" s="165"/>
      <c r="Q105" s="165"/>
      <c r="R105" s="165"/>
      <c r="S105" s="165"/>
      <c r="T105" s="165"/>
      <c r="U105" s="165"/>
      <c r="V105" s="165"/>
      <c r="W105" s="165"/>
      <c r="X105" s="165"/>
      <c r="Y105" s="165"/>
      <c r="Z105" s="165"/>
    </row>
    <row r="106" spans="16:26">
      <c r="P106" s="165"/>
      <c r="Q106" s="165"/>
      <c r="R106" s="165"/>
      <c r="S106" s="165"/>
      <c r="T106" s="165"/>
      <c r="U106" s="165"/>
      <c r="V106" s="165"/>
      <c r="W106" s="165"/>
      <c r="X106" s="165"/>
      <c r="Y106" s="165"/>
      <c r="Z106" s="165"/>
    </row>
    <row r="107" spans="16:26">
      <c r="P107" s="165"/>
      <c r="Q107" s="165"/>
      <c r="R107" s="165"/>
      <c r="S107" s="165"/>
      <c r="T107" s="165"/>
      <c r="U107" s="165"/>
      <c r="V107" s="165"/>
      <c r="W107" s="165"/>
      <c r="X107" s="165"/>
      <c r="Y107" s="165"/>
      <c r="Z107" s="165"/>
    </row>
    <row r="108" spans="16:26">
      <c r="P108" s="165"/>
      <c r="Q108" s="165"/>
      <c r="R108" s="165"/>
      <c r="S108" s="165"/>
      <c r="T108" s="165"/>
      <c r="U108" s="165"/>
      <c r="V108" s="165"/>
      <c r="W108" s="165"/>
      <c r="X108" s="165"/>
      <c r="Y108" s="165"/>
      <c r="Z108" s="165"/>
    </row>
    <row r="109" spans="16:26">
      <c r="P109" s="165"/>
      <c r="Q109" s="165"/>
      <c r="R109" s="165"/>
      <c r="S109" s="165"/>
      <c r="T109" s="165"/>
      <c r="U109" s="165"/>
      <c r="V109" s="165"/>
      <c r="W109" s="165"/>
      <c r="X109" s="165"/>
      <c r="Y109" s="165"/>
      <c r="Z109" s="165"/>
    </row>
    <row r="110" spans="16:26">
      <c r="P110" s="165"/>
      <c r="Q110" s="165"/>
      <c r="R110" s="165"/>
      <c r="S110" s="165"/>
      <c r="T110" s="165"/>
      <c r="U110" s="165"/>
      <c r="V110" s="165"/>
      <c r="W110" s="165"/>
      <c r="X110" s="165"/>
      <c r="Y110" s="165"/>
      <c r="Z110" s="165"/>
    </row>
    <row r="111" spans="16:26">
      <c r="P111" s="165"/>
      <c r="Q111" s="165"/>
      <c r="R111" s="165"/>
      <c r="S111" s="165"/>
      <c r="T111" s="165"/>
      <c r="U111" s="165"/>
      <c r="V111" s="165"/>
      <c r="W111" s="165"/>
      <c r="X111" s="165"/>
      <c r="Y111" s="165"/>
      <c r="Z111" s="165"/>
    </row>
    <row r="112" spans="16:26">
      <c r="P112" s="165"/>
      <c r="Q112" s="165"/>
      <c r="R112" s="165"/>
      <c r="S112" s="165"/>
      <c r="T112" s="165"/>
      <c r="U112" s="165"/>
      <c r="V112" s="165"/>
      <c r="W112" s="165"/>
      <c r="X112" s="165"/>
      <c r="Y112" s="165"/>
      <c r="Z112" s="165"/>
    </row>
    <row r="113" spans="16:26">
      <c r="P113" s="165"/>
      <c r="Q113" s="165"/>
      <c r="R113" s="165"/>
      <c r="S113" s="165"/>
      <c r="T113" s="165"/>
      <c r="U113" s="165"/>
      <c r="V113" s="165"/>
      <c r="W113" s="165"/>
      <c r="X113" s="165"/>
      <c r="Y113" s="165"/>
      <c r="Z113" s="165"/>
    </row>
    <row r="114" spans="16:26">
      <c r="P114" s="165"/>
      <c r="Q114" s="165"/>
      <c r="R114" s="165"/>
      <c r="S114" s="165"/>
      <c r="T114" s="165"/>
      <c r="U114" s="165"/>
      <c r="V114" s="165"/>
      <c r="W114" s="165"/>
      <c r="X114" s="165"/>
      <c r="Y114" s="165"/>
      <c r="Z114" s="165"/>
    </row>
    <row r="115" spans="16:26">
      <c r="P115" s="165"/>
      <c r="Q115" s="165"/>
      <c r="R115" s="165"/>
      <c r="S115" s="165"/>
      <c r="T115" s="165"/>
      <c r="U115" s="165"/>
      <c r="V115" s="165"/>
      <c r="W115" s="165"/>
      <c r="X115" s="165"/>
      <c r="Y115" s="165"/>
      <c r="Z115" s="165"/>
    </row>
    <row r="116" spans="16:26">
      <c r="P116" s="165"/>
      <c r="Q116" s="165"/>
      <c r="R116" s="165"/>
      <c r="S116" s="165"/>
      <c r="T116" s="165"/>
      <c r="U116" s="165"/>
      <c r="V116" s="165"/>
      <c r="W116" s="165"/>
      <c r="X116" s="165"/>
      <c r="Y116" s="165"/>
      <c r="Z116" s="165"/>
    </row>
    <row r="117" spans="16:26">
      <c r="P117" s="165"/>
      <c r="Q117" s="165"/>
      <c r="R117" s="165"/>
      <c r="S117" s="165"/>
      <c r="T117" s="165"/>
      <c r="U117" s="165"/>
      <c r="V117" s="165"/>
      <c r="W117" s="165"/>
      <c r="X117" s="165"/>
      <c r="Y117" s="165"/>
      <c r="Z117" s="165"/>
    </row>
    <row r="118" spans="16:26">
      <c r="P118" s="165"/>
      <c r="Q118" s="165"/>
      <c r="R118" s="165"/>
      <c r="S118" s="165"/>
      <c r="T118" s="165"/>
      <c r="U118" s="165"/>
      <c r="V118" s="165"/>
      <c r="W118" s="165"/>
      <c r="X118" s="165"/>
      <c r="Y118" s="165"/>
      <c r="Z118" s="165"/>
    </row>
    <row r="119" spans="16:26">
      <c r="P119" s="165"/>
      <c r="Q119" s="165"/>
      <c r="R119" s="165"/>
      <c r="S119" s="165"/>
      <c r="T119" s="165"/>
      <c r="U119" s="165"/>
      <c r="V119" s="165"/>
      <c r="W119" s="165"/>
      <c r="X119" s="165"/>
      <c r="Y119" s="165"/>
      <c r="Z119" s="165"/>
    </row>
    <row r="120" spans="16:26">
      <c r="P120" s="165"/>
      <c r="Q120" s="165"/>
      <c r="R120" s="165"/>
      <c r="S120" s="165"/>
      <c r="T120" s="165"/>
      <c r="U120" s="165"/>
      <c r="V120" s="165"/>
      <c r="W120" s="165"/>
      <c r="X120" s="165"/>
      <c r="Y120" s="165"/>
      <c r="Z120" s="165"/>
    </row>
    <row r="121" spans="16:26">
      <c r="P121" s="165"/>
      <c r="Q121" s="165"/>
      <c r="R121" s="165"/>
      <c r="S121" s="165"/>
      <c r="T121" s="165"/>
      <c r="U121" s="165"/>
      <c r="V121" s="165"/>
      <c r="W121" s="165"/>
      <c r="X121" s="165"/>
      <c r="Y121" s="165"/>
      <c r="Z121" s="165"/>
    </row>
    <row r="122" spans="16:26">
      <c r="P122" s="165"/>
      <c r="Q122" s="165"/>
      <c r="R122" s="165"/>
      <c r="S122" s="165"/>
      <c r="T122" s="165"/>
      <c r="U122" s="165"/>
      <c r="V122" s="165"/>
      <c r="W122" s="165"/>
      <c r="X122" s="165"/>
      <c r="Y122" s="165"/>
      <c r="Z122" s="165"/>
    </row>
    <row r="123" spans="16:26">
      <c r="P123" s="165"/>
      <c r="Q123" s="165"/>
      <c r="R123" s="165"/>
      <c r="S123" s="165"/>
      <c r="T123" s="165"/>
      <c r="U123" s="165"/>
      <c r="V123" s="165"/>
      <c r="W123" s="165"/>
      <c r="X123" s="165"/>
      <c r="Y123" s="165"/>
      <c r="Z123" s="165"/>
    </row>
    <row r="124" spans="16:26">
      <c r="P124" s="165"/>
      <c r="Q124" s="165"/>
      <c r="R124" s="165"/>
      <c r="S124" s="165"/>
      <c r="T124" s="165"/>
      <c r="U124" s="165"/>
      <c r="V124" s="165"/>
      <c r="W124" s="165"/>
      <c r="X124" s="165"/>
      <c r="Y124" s="165"/>
      <c r="Z124" s="165"/>
    </row>
    <row r="125" spans="16:26">
      <c r="P125" s="165"/>
      <c r="Q125" s="165"/>
      <c r="R125" s="165"/>
      <c r="S125" s="165"/>
      <c r="T125" s="165"/>
      <c r="U125" s="165"/>
      <c r="V125" s="165"/>
      <c r="W125" s="165"/>
      <c r="X125" s="165"/>
      <c r="Y125" s="165"/>
      <c r="Z125" s="165"/>
    </row>
    <row r="126" spans="16:26">
      <c r="P126" s="165"/>
      <c r="Q126" s="165"/>
      <c r="R126" s="165"/>
      <c r="S126" s="165"/>
      <c r="T126" s="165"/>
      <c r="U126" s="165"/>
      <c r="V126" s="165"/>
      <c r="W126" s="165"/>
      <c r="X126" s="165"/>
      <c r="Y126" s="165"/>
      <c r="Z126" s="165"/>
    </row>
    <row r="127" spans="16:26">
      <c r="P127" s="165"/>
      <c r="Q127" s="165"/>
      <c r="R127" s="165"/>
      <c r="S127" s="165"/>
      <c r="T127" s="165"/>
      <c r="U127" s="165"/>
      <c r="V127" s="165"/>
      <c r="W127" s="165"/>
      <c r="X127" s="165"/>
      <c r="Y127" s="165"/>
      <c r="Z127" s="165"/>
    </row>
    <row r="128" spans="16:26">
      <c r="P128" s="165"/>
      <c r="Q128" s="165"/>
      <c r="R128" s="165"/>
      <c r="S128" s="165"/>
      <c r="T128" s="165"/>
      <c r="U128" s="165"/>
      <c r="V128" s="165"/>
      <c r="W128" s="165"/>
      <c r="X128" s="165"/>
      <c r="Y128" s="165"/>
      <c r="Z128" s="165"/>
    </row>
    <row r="129" spans="16:26">
      <c r="P129" s="165"/>
      <c r="Q129" s="165"/>
      <c r="R129" s="165"/>
      <c r="S129" s="165"/>
      <c r="T129" s="165"/>
      <c r="U129" s="165"/>
      <c r="V129" s="165"/>
      <c r="W129" s="165"/>
      <c r="X129" s="165"/>
      <c r="Y129" s="165"/>
      <c r="Z129" s="165"/>
    </row>
    <row r="130" spans="16:26">
      <c r="P130" s="165"/>
      <c r="Q130" s="165"/>
      <c r="R130" s="165"/>
      <c r="S130" s="165"/>
      <c r="T130" s="165"/>
      <c r="U130" s="165"/>
      <c r="V130" s="165"/>
      <c r="W130" s="165"/>
      <c r="X130" s="165"/>
      <c r="Y130" s="165"/>
      <c r="Z130" s="165"/>
    </row>
    <row r="131" spans="16:26">
      <c r="P131" s="165"/>
      <c r="Q131" s="165"/>
      <c r="R131" s="165"/>
      <c r="S131" s="165"/>
      <c r="T131" s="165"/>
      <c r="U131" s="165"/>
      <c r="V131" s="165"/>
      <c r="W131" s="165"/>
      <c r="X131" s="165"/>
      <c r="Y131" s="165"/>
      <c r="Z131" s="165"/>
    </row>
    <row r="132" spans="16:26">
      <c r="P132" s="165"/>
      <c r="Q132" s="165"/>
      <c r="R132" s="165"/>
      <c r="S132" s="165"/>
      <c r="T132" s="165"/>
      <c r="U132" s="165"/>
      <c r="V132" s="165"/>
      <c r="W132" s="165"/>
      <c r="X132" s="165"/>
      <c r="Y132" s="165"/>
      <c r="Z132" s="165"/>
    </row>
    <row r="133" spans="16:26">
      <c r="P133" s="165"/>
      <c r="Q133" s="165"/>
      <c r="R133" s="165"/>
      <c r="S133" s="165"/>
      <c r="T133" s="165"/>
      <c r="U133" s="165"/>
      <c r="V133" s="165"/>
      <c r="W133" s="165"/>
      <c r="X133" s="165"/>
      <c r="Y133" s="165"/>
      <c r="Z133" s="165"/>
    </row>
    <row r="134" spans="16:26">
      <c r="P134" s="165"/>
      <c r="Q134" s="165"/>
      <c r="R134" s="165"/>
      <c r="S134" s="165"/>
      <c r="T134" s="165"/>
      <c r="U134" s="165"/>
      <c r="V134" s="165"/>
      <c r="W134" s="165"/>
      <c r="X134" s="165"/>
      <c r="Y134" s="165"/>
      <c r="Z134" s="165"/>
    </row>
    <row r="135" spans="16:26">
      <c r="P135" s="165"/>
      <c r="Q135" s="165"/>
      <c r="R135" s="165"/>
      <c r="S135" s="165"/>
      <c r="T135" s="165"/>
      <c r="U135" s="165"/>
      <c r="V135" s="165"/>
      <c r="W135" s="165"/>
      <c r="X135" s="165"/>
      <c r="Y135" s="165"/>
      <c r="Z135" s="165"/>
    </row>
    <row r="136" spans="16:26">
      <c r="P136" s="165"/>
      <c r="Q136" s="165"/>
      <c r="R136" s="165"/>
      <c r="S136" s="165"/>
      <c r="T136" s="165"/>
      <c r="U136" s="165"/>
      <c r="V136" s="165"/>
      <c r="W136" s="165"/>
      <c r="X136" s="165"/>
      <c r="Y136" s="165"/>
      <c r="Z136" s="165"/>
    </row>
    <row r="137" spans="16:26">
      <c r="P137" s="165"/>
      <c r="Q137" s="165"/>
      <c r="R137" s="165"/>
      <c r="S137" s="165"/>
      <c r="T137" s="165"/>
      <c r="U137" s="165"/>
      <c r="V137" s="165"/>
      <c r="W137" s="165"/>
      <c r="X137" s="165"/>
      <c r="Y137" s="165"/>
      <c r="Z137" s="165"/>
    </row>
    <row r="138" spans="16:26">
      <c r="P138" s="165"/>
      <c r="Q138" s="165"/>
      <c r="R138" s="165"/>
      <c r="S138" s="165"/>
      <c r="T138" s="165"/>
      <c r="U138" s="165"/>
      <c r="V138" s="165"/>
      <c r="W138" s="165"/>
      <c r="X138" s="165"/>
      <c r="Y138" s="165"/>
      <c r="Z138" s="165"/>
    </row>
    <row r="139" spans="16:26">
      <c r="P139" s="165"/>
      <c r="Q139" s="165"/>
      <c r="R139" s="165"/>
      <c r="S139" s="165"/>
      <c r="T139" s="165"/>
      <c r="U139" s="165"/>
      <c r="V139" s="165"/>
      <c r="W139" s="165"/>
      <c r="X139" s="165"/>
      <c r="Y139" s="165"/>
      <c r="Z139" s="165"/>
    </row>
    <row r="140" spans="16:26">
      <c r="P140" s="165"/>
      <c r="Q140" s="165"/>
      <c r="R140" s="165"/>
      <c r="S140" s="165"/>
      <c r="T140" s="165"/>
      <c r="U140" s="165"/>
      <c r="V140" s="165"/>
      <c r="W140" s="165"/>
      <c r="X140" s="165"/>
      <c r="Y140" s="165"/>
      <c r="Z140" s="165"/>
    </row>
    <row r="141" spans="16:26">
      <c r="P141" s="165"/>
      <c r="Q141" s="165"/>
      <c r="R141" s="165"/>
      <c r="S141" s="165"/>
      <c r="T141" s="165"/>
      <c r="U141" s="165"/>
      <c r="V141" s="165"/>
      <c r="W141" s="165"/>
      <c r="X141" s="165"/>
      <c r="Y141" s="165"/>
      <c r="Z141" s="165"/>
    </row>
    <row r="142" spans="16:26">
      <c r="P142" s="165"/>
      <c r="Q142" s="165"/>
      <c r="R142" s="165"/>
      <c r="S142" s="165"/>
      <c r="T142" s="165"/>
      <c r="U142" s="165"/>
      <c r="V142" s="165"/>
      <c r="W142" s="165"/>
      <c r="X142" s="165"/>
      <c r="Y142" s="165"/>
      <c r="Z142" s="165"/>
    </row>
    <row r="143" spans="16:26">
      <c r="P143" s="165"/>
      <c r="Q143" s="165"/>
      <c r="R143" s="165"/>
      <c r="S143" s="165"/>
      <c r="T143" s="165"/>
      <c r="U143" s="165"/>
      <c r="V143" s="165"/>
      <c r="W143" s="165"/>
      <c r="X143" s="165"/>
      <c r="Y143" s="165"/>
      <c r="Z143" s="165"/>
    </row>
    <row r="144" spans="16:26">
      <c r="P144" s="165"/>
      <c r="Q144" s="165"/>
      <c r="R144" s="165"/>
      <c r="S144" s="165"/>
      <c r="T144" s="165"/>
      <c r="U144" s="165"/>
      <c r="V144" s="165"/>
      <c r="W144" s="165"/>
      <c r="X144" s="165"/>
      <c r="Y144" s="165"/>
      <c r="Z144" s="165"/>
    </row>
    <row r="145" spans="16:26">
      <c r="P145" s="165"/>
      <c r="Q145" s="165"/>
      <c r="R145" s="165"/>
      <c r="S145" s="165"/>
      <c r="T145" s="165"/>
      <c r="U145" s="165"/>
      <c r="V145" s="165"/>
      <c r="W145" s="165"/>
      <c r="X145" s="165"/>
      <c r="Y145" s="165"/>
      <c r="Z145" s="165"/>
    </row>
    <row r="146" spans="16:26">
      <c r="P146" s="165"/>
      <c r="Q146" s="165"/>
      <c r="R146" s="165"/>
      <c r="S146" s="165"/>
      <c r="T146" s="165"/>
      <c r="U146" s="165"/>
      <c r="V146" s="165"/>
      <c r="W146" s="165"/>
      <c r="X146" s="165"/>
      <c r="Y146" s="165"/>
      <c r="Z146" s="165"/>
    </row>
    <row r="147" spans="16:26">
      <c r="P147" s="165"/>
      <c r="Q147" s="165"/>
      <c r="R147" s="165"/>
      <c r="S147" s="165"/>
      <c r="T147" s="165"/>
      <c r="U147" s="165"/>
      <c r="V147" s="165"/>
      <c r="W147" s="165"/>
      <c r="X147" s="165"/>
      <c r="Y147" s="165"/>
      <c r="Z147" s="165"/>
    </row>
    <row r="148" spans="16:26">
      <c r="P148" s="165"/>
      <c r="Q148" s="165"/>
      <c r="R148" s="165"/>
      <c r="S148" s="165"/>
      <c r="T148" s="165"/>
      <c r="U148" s="165"/>
      <c r="V148" s="165"/>
      <c r="W148" s="165"/>
      <c r="X148" s="165"/>
      <c r="Y148" s="165"/>
      <c r="Z148" s="165"/>
    </row>
    <row r="149" spans="16:26">
      <c r="P149" s="165"/>
      <c r="Q149" s="165"/>
      <c r="R149" s="165"/>
      <c r="S149" s="165"/>
      <c r="T149" s="165"/>
      <c r="U149" s="165"/>
      <c r="V149" s="165"/>
      <c r="W149" s="165"/>
      <c r="X149" s="165"/>
      <c r="Y149" s="165"/>
      <c r="Z149" s="165"/>
    </row>
    <row r="150" spans="16:26">
      <c r="P150" s="165"/>
      <c r="Q150" s="165"/>
      <c r="R150" s="165"/>
      <c r="S150" s="165"/>
      <c r="T150" s="165"/>
      <c r="U150" s="165"/>
      <c r="V150" s="165"/>
      <c r="W150" s="165"/>
      <c r="X150" s="165"/>
      <c r="Y150" s="165"/>
      <c r="Z150" s="165"/>
    </row>
    <row r="151" spans="16:26">
      <c r="P151" s="165"/>
      <c r="Q151" s="165"/>
      <c r="R151" s="165"/>
      <c r="S151" s="165"/>
      <c r="T151" s="165"/>
      <c r="U151" s="165"/>
      <c r="V151" s="165"/>
      <c r="W151" s="165"/>
      <c r="X151" s="165"/>
      <c r="Y151" s="165"/>
      <c r="Z151" s="165"/>
    </row>
    <row r="152" spans="16:26">
      <c r="P152" s="165"/>
      <c r="Q152" s="165"/>
      <c r="R152" s="165"/>
      <c r="S152" s="165"/>
      <c r="T152" s="165"/>
      <c r="U152" s="165"/>
      <c r="V152" s="165"/>
      <c r="W152" s="165"/>
      <c r="X152" s="165"/>
      <c r="Y152" s="165"/>
      <c r="Z152" s="165"/>
    </row>
    <row r="153" spans="16:26">
      <c r="P153" s="165"/>
      <c r="Q153" s="165"/>
      <c r="R153" s="165"/>
      <c r="S153" s="165"/>
      <c r="T153" s="165"/>
      <c r="U153" s="165"/>
      <c r="V153" s="165"/>
      <c r="W153" s="165"/>
      <c r="X153" s="165"/>
      <c r="Y153" s="165"/>
      <c r="Z153" s="165"/>
    </row>
    <row r="154" spans="16:26">
      <c r="P154" s="165"/>
      <c r="Q154" s="165"/>
      <c r="R154" s="165"/>
      <c r="S154" s="165"/>
      <c r="T154" s="165"/>
      <c r="U154" s="165"/>
      <c r="V154" s="165"/>
      <c r="W154" s="165"/>
      <c r="X154" s="165"/>
      <c r="Y154" s="165"/>
      <c r="Z154" s="165"/>
    </row>
    <row r="155" spans="16:26">
      <c r="P155" s="165"/>
      <c r="Q155" s="165"/>
      <c r="R155" s="165"/>
      <c r="S155" s="165"/>
      <c r="T155" s="165"/>
      <c r="U155" s="165"/>
      <c r="V155" s="165"/>
      <c r="W155" s="165"/>
      <c r="X155" s="165"/>
      <c r="Y155" s="165"/>
      <c r="Z155" s="165"/>
    </row>
    <row r="156" spans="16:26">
      <c r="P156" s="165"/>
      <c r="Q156" s="165"/>
      <c r="R156" s="165"/>
      <c r="S156" s="165"/>
      <c r="T156" s="165"/>
      <c r="U156" s="165"/>
      <c r="V156" s="165"/>
      <c r="W156" s="165"/>
      <c r="X156" s="165"/>
      <c r="Y156" s="165"/>
      <c r="Z156" s="165"/>
    </row>
    <row r="157" spans="16:26">
      <c r="P157" s="165"/>
      <c r="Q157" s="165"/>
      <c r="R157" s="165"/>
      <c r="S157" s="165"/>
      <c r="T157" s="165"/>
      <c r="U157" s="165"/>
      <c r="V157" s="165"/>
      <c r="W157" s="165"/>
      <c r="X157" s="165"/>
      <c r="Y157" s="165"/>
      <c r="Z157" s="165"/>
    </row>
    <row r="158" spans="16:26">
      <c r="P158" s="165"/>
      <c r="Q158" s="165"/>
      <c r="R158" s="165"/>
      <c r="S158" s="165"/>
      <c r="T158" s="165"/>
      <c r="U158" s="165"/>
      <c r="V158" s="165"/>
      <c r="W158" s="165"/>
      <c r="X158" s="165"/>
      <c r="Y158" s="165"/>
      <c r="Z158" s="165"/>
    </row>
    <row r="159" spans="16:26">
      <c r="P159" s="165"/>
      <c r="Q159" s="165"/>
      <c r="R159" s="165"/>
      <c r="S159" s="165"/>
      <c r="T159" s="165"/>
      <c r="U159" s="165"/>
      <c r="V159" s="165"/>
      <c r="W159" s="165"/>
      <c r="X159" s="165"/>
      <c r="Y159" s="165"/>
      <c r="Z159" s="165"/>
    </row>
    <row r="160" spans="16:26">
      <c r="P160" s="165"/>
      <c r="Q160" s="165"/>
      <c r="R160" s="165"/>
      <c r="S160" s="165"/>
      <c r="T160" s="165"/>
      <c r="U160" s="165"/>
      <c r="V160" s="165"/>
      <c r="W160" s="165"/>
      <c r="X160" s="165"/>
      <c r="Y160" s="165"/>
      <c r="Z160" s="165"/>
    </row>
    <row r="161" spans="16:26">
      <c r="P161" s="165"/>
      <c r="Q161" s="165"/>
      <c r="R161" s="165"/>
      <c r="S161" s="165"/>
      <c r="T161" s="165"/>
      <c r="U161" s="165"/>
      <c r="V161" s="165"/>
      <c r="W161" s="165"/>
      <c r="X161" s="165"/>
      <c r="Y161" s="165"/>
      <c r="Z161" s="165"/>
    </row>
    <row r="162" spans="16:26">
      <c r="P162" s="165"/>
      <c r="Q162" s="165"/>
      <c r="R162" s="165"/>
      <c r="S162" s="165"/>
      <c r="T162" s="165"/>
      <c r="U162" s="165"/>
      <c r="V162" s="165"/>
      <c r="W162" s="165"/>
      <c r="X162" s="165"/>
      <c r="Y162" s="165"/>
      <c r="Z162" s="165"/>
    </row>
    <row r="163" spans="16:26">
      <c r="P163" s="165"/>
      <c r="Q163" s="165"/>
      <c r="R163" s="165"/>
      <c r="S163" s="165"/>
      <c r="T163" s="165"/>
      <c r="U163" s="165"/>
      <c r="V163" s="165"/>
      <c r="W163" s="165"/>
      <c r="X163" s="165"/>
      <c r="Y163" s="165"/>
      <c r="Z163" s="165"/>
    </row>
    <row r="164" spans="16:26">
      <c r="P164" s="165"/>
      <c r="Q164" s="165"/>
      <c r="R164" s="165"/>
      <c r="S164" s="165"/>
      <c r="T164" s="165"/>
      <c r="U164" s="165"/>
      <c r="V164" s="165"/>
      <c r="W164" s="165"/>
      <c r="X164" s="165"/>
      <c r="Y164" s="165"/>
      <c r="Z164" s="165"/>
    </row>
    <row r="165" spans="16:26">
      <c r="P165" s="165"/>
      <c r="Q165" s="165"/>
      <c r="R165" s="165"/>
      <c r="S165" s="165"/>
      <c r="T165" s="165"/>
      <c r="U165" s="165"/>
      <c r="V165" s="165"/>
      <c r="W165" s="165"/>
      <c r="X165" s="165"/>
      <c r="Y165" s="165"/>
      <c r="Z165" s="165"/>
    </row>
    <row r="166" spans="16:26">
      <c r="P166" s="165"/>
      <c r="Q166" s="165"/>
      <c r="R166" s="165"/>
      <c r="S166" s="165"/>
      <c r="T166" s="165"/>
      <c r="U166" s="165"/>
      <c r="V166" s="165"/>
      <c r="W166" s="165"/>
      <c r="X166" s="165"/>
      <c r="Y166" s="165"/>
      <c r="Z166" s="165"/>
    </row>
    <row r="167" spans="16:26">
      <c r="P167" s="165"/>
      <c r="Q167" s="165"/>
      <c r="R167" s="165"/>
      <c r="S167" s="165"/>
      <c r="T167" s="165"/>
      <c r="U167" s="165"/>
      <c r="V167" s="165"/>
      <c r="W167" s="165"/>
      <c r="X167" s="165"/>
      <c r="Y167" s="165"/>
      <c r="Z167" s="165"/>
    </row>
    <row r="168" spans="16:26">
      <c r="P168" s="165"/>
      <c r="Q168" s="165"/>
      <c r="R168" s="165"/>
      <c r="S168" s="165"/>
      <c r="T168" s="165"/>
      <c r="U168" s="165"/>
      <c r="V168" s="165"/>
      <c r="W168" s="165"/>
      <c r="X168" s="165"/>
      <c r="Y168" s="165"/>
      <c r="Z168" s="165"/>
    </row>
    <row r="169" spans="16:26">
      <c r="P169" s="165"/>
      <c r="Q169" s="165"/>
      <c r="R169" s="165"/>
      <c r="S169" s="165"/>
      <c r="T169" s="165"/>
      <c r="U169" s="165"/>
      <c r="V169" s="165"/>
      <c r="W169" s="165"/>
      <c r="X169" s="165"/>
      <c r="Y169" s="165"/>
      <c r="Z169" s="165"/>
    </row>
    <row r="170" spans="16:26">
      <c r="P170" s="165"/>
      <c r="Q170" s="165"/>
      <c r="R170" s="165"/>
      <c r="S170" s="165"/>
      <c r="T170" s="165"/>
      <c r="U170" s="165"/>
      <c r="V170" s="165"/>
      <c r="W170" s="165"/>
      <c r="X170" s="165"/>
      <c r="Y170" s="165"/>
      <c r="Z170" s="165"/>
    </row>
    <row r="171" spans="16:26">
      <c r="P171" s="165"/>
      <c r="Q171" s="165"/>
      <c r="R171" s="165"/>
      <c r="S171" s="165"/>
      <c r="T171" s="165"/>
      <c r="U171" s="165"/>
      <c r="V171" s="165"/>
      <c r="W171" s="165"/>
      <c r="X171" s="165"/>
      <c r="Y171" s="165"/>
      <c r="Z171" s="165"/>
    </row>
    <row r="172" spans="16:26">
      <c r="P172" s="165"/>
      <c r="Q172" s="165"/>
      <c r="R172" s="165"/>
      <c r="S172" s="165"/>
      <c r="T172" s="165"/>
      <c r="U172" s="165"/>
      <c r="V172" s="165"/>
      <c r="W172" s="165"/>
      <c r="X172" s="165"/>
      <c r="Y172" s="165"/>
      <c r="Z172" s="165"/>
    </row>
    <row r="173" spans="16:26">
      <c r="P173" s="165"/>
      <c r="Q173" s="165"/>
      <c r="R173" s="165"/>
      <c r="S173" s="165"/>
      <c r="T173" s="165"/>
      <c r="U173" s="165"/>
      <c r="V173" s="165"/>
      <c r="W173" s="165"/>
      <c r="X173" s="165"/>
      <c r="Y173" s="165"/>
      <c r="Z173" s="165"/>
    </row>
    <row r="174" spans="16:26">
      <c r="P174" s="165"/>
      <c r="Q174" s="165"/>
      <c r="R174" s="165"/>
      <c r="S174" s="165"/>
      <c r="T174" s="165"/>
      <c r="U174" s="165"/>
      <c r="V174" s="165"/>
      <c r="W174" s="165"/>
      <c r="X174" s="165"/>
      <c r="Y174" s="165"/>
      <c r="Z174" s="165"/>
    </row>
    <row r="175" spans="16:26">
      <c r="P175" s="165"/>
      <c r="Q175" s="165"/>
      <c r="R175" s="165"/>
      <c r="S175" s="165"/>
      <c r="T175" s="165"/>
      <c r="U175" s="165"/>
      <c r="V175" s="165"/>
      <c r="W175" s="165"/>
      <c r="X175" s="165"/>
      <c r="Y175" s="165"/>
      <c r="Z175" s="165"/>
    </row>
    <row r="176" spans="16:26">
      <c r="P176" s="165"/>
      <c r="Q176" s="165"/>
      <c r="R176" s="165"/>
      <c r="S176" s="165"/>
      <c r="T176" s="165"/>
      <c r="U176" s="165"/>
      <c r="V176" s="165"/>
      <c r="W176" s="165"/>
      <c r="X176" s="165"/>
      <c r="Y176" s="165"/>
      <c r="Z176" s="165"/>
    </row>
    <row r="177" spans="16:26">
      <c r="P177" s="165"/>
      <c r="Q177" s="165"/>
      <c r="R177" s="165"/>
      <c r="S177" s="165"/>
      <c r="T177" s="165"/>
      <c r="U177" s="165"/>
      <c r="V177" s="165"/>
      <c r="W177" s="165"/>
      <c r="X177" s="165"/>
      <c r="Y177" s="165"/>
      <c r="Z177" s="165"/>
    </row>
    <row r="178" spans="16:26">
      <c r="P178" s="165"/>
      <c r="Q178" s="165"/>
      <c r="R178" s="165"/>
      <c r="S178" s="165"/>
      <c r="T178" s="165"/>
      <c r="U178" s="165"/>
      <c r="V178" s="165"/>
      <c r="W178" s="165"/>
      <c r="X178" s="165"/>
      <c r="Y178" s="165"/>
      <c r="Z178" s="165"/>
    </row>
    <row r="179" spans="16:26">
      <c r="P179" s="165"/>
      <c r="Q179" s="165"/>
      <c r="R179" s="165"/>
      <c r="S179" s="165"/>
      <c r="T179" s="165"/>
      <c r="U179" s="165"/>
      <c r="V179" s="165"/>
      <c r="W179" s="165"/>
      <c r="X179" s="165"/>
      <c r="Y179" s="165"/>
      <c r="Z179" s="165"/>
    </row>
    <row r="180" spans="16:26">
      <c r="P180" s="165"/>
      <c r="Q180" s="165"/>
      <c r="R180" s="165"/>
      <c r="S180" s="165"/>
      <c r="T180" s="165"/>
      <c r="U180" s="165"/>
      <c r="V180" s="165"/>
      <c r="W180" s="165"/>
      <c r="X180" s="165"/>
      <c r="Y180" s="165"/>
      <c r="Z180" s="165"/>
    </row>
    <row r="181" spans="16:26">
      <c r="P181" s="165"/>
      <c r="Q181" s="165"/>
      <c r="R181" s="165"/>
      <c r="S181" s="165"/>
      <c r="T181" s="165"/>
      <c r="U181" s="165"/>
      <c r="V181" s="165"/>
      <c r="W181" s="165"/>
      <c r="X181" s="165"/>
      <c r="Y181" s="165"/>
      <c r="Z181" s="165"/>
    </row>
    <row r="182" spans="16:26">
      <c r="P182" s="165"/>
      <c r="Q182" s="165"/>
      <c r="R182" s="165"/>
      <c r="S182" s="165"/>
      <c r="T182" s="165"/>
      <c r="U182" s="165"/>
      <c r="V182" s="165"/>
      <c r="W182" s="165"/>
      <c r="X182" s="165"/>
      <c r="Y182" s="165"/>
      <c r="Z182" s="165"/>
    </row>
    <row r="183" spans="16:26">
      <c r="P183" s="165"/>
      <c r="Q183" s="165"/>
      <c r="R183" s="165"/>
      <c r="S183" s="165"/>
      <c r="T183" s="165"/>
      <c r="U183" s="165"/>
      <c r="V183" s="165"/>
      <c r="W183" s="165"/>
      <c r="X183" s="165"/>
      <c r="Y183" s="165"/>
      <c r="Z183" s="165"/>
    </row>
    <row r="184" spans="16:26">
      <c r="P184" s="165"/>
      <c r="Q184" s="165"/>
      <c r="R184" s="165"/>
      <c r="S184" s="165"/>
      <c r="T184" s="165"/>
      <c r="U184" s="165"/>
      <c r="V184" s="165"/>
      <c r="W184" s="165"/>
      <c r="X184" s="165"/>
      <c r="Y184" s="165"/>
      <c r="Z184" s="165"/>
    </row>
    <row r="185" spans="16:26">
      <c r="P185" s="165"/>
      <c r="Q185" s="165"/>
      <c r="R185" s="165"/>
      <c r="S185" s="165"/>
      <c r="T185" s="165"/>
      <c r="U185" s="165"/>
      <c r="V185" s="165"/>
      <c r="W185" s="165"/>
      <c r="X185" s="165"/>
      <c r="Y185" s="165"/>
      <c r="Z185" s="165"/>
    </row>
    <row r="186" spans="16:26">
      <c r="P186" s="165"/>
      <c r="Q186" s="165"/>
      <c r="R186" s="165"/>
      <c r="S186" s="165"/>
      <c r="T186" s="165"/>
      <c r="U186" s="165"/>
      <c r="V186" s="165"/>
      <c r="W186" s="165"/>
      <c r="X186" s="165"/>
      <c r="Y186" s="165"/>
      <c r="Z186" s="165"/>
    </row>
    <row r="187" spans="16:26">
      <c r="P187" s="165"/>
      <c r="Q187" s="165"/>
      <c r="R187" s="165"/>
      <c r="S187" s="165"/>
      <c r="T187" s="165"/>
      <c r="U187" s="165"/>
      <c r="V187" s="165"/>
      <c r="W187" s="165"/>
      <c r="X187" s="165"/>
      <c r="Y187" s="165"/>
      <c r="Z187" s="165"/>
    </row>
    <row r="188" spans="16:26">
      <c r="P188" s="165"/>
      <c r="Q188" s="165"/>
      <c r="R188" s="165"/>
      <c r="S188" s="165"/>
      <c r="T188" s="165"/>
      <c r="U188" s="165"/>
      <c r="V188" s="165"/>
      <c r="W188" s="165"/>
      <c r="X188" s="165"/>
      <c r="Y188" s="165"/>
      <c r="Z188" s="165"/>
    </row>
    <row r="189" spans="16:26">
      <c r="P189" s="165"/>
      <c r="Q189" s="165"/>
      <c r="R189" s="165"/>
      <c r="S189" s="165"/>
      <c r="T189" s="165"/>
      <c r="U189" s="165"/>
      <c r="V189" s="165"/>
      <c r="W189" s="165"/>
      <c r="X189" s="165"/>
      <c r="Y189" s="165"/>
      <c r="Z189" s="165"/>
    </row>
    <row r="190" spans="16:26">
      <c r="P190" s="165"/>
      <c r="Q190" s="165"/>
      <c r="R190" s="165"/>
      <c r="S190" s="165"/>
      <c r="T190" s="165"/>
      <c r="U190" s="165"/>
      <c r="V190" s="165"/>
      <c r="W190" s="165"/>
      <c r="X190" s="165"/>
      <c r="Y190" s="165"/>
      <c r="Z190" s="165"/>
    </row>
    <row r="191" spans="16:26">
      <c r="P191" s="165"/>
      <c r="Q191" s="165"/>
      <c r="R191" s="165"/>
      <c r="S191" s="165"/>
      <c r="T191" s="165"/>
      <c r="U191" s="165"/>
      <c r="V191" s="165"/>
      <c r="W191" s="165"/>
      <c r="X191" s="165"/>
      <c r="Y191" s="165"/>
      <c r="Z191" s="165"/>
    </row>
    <row r="192" spans="16:26">
      <c r="P192" s="165"/>
      <c r="Q192" s="165"/>
      <c r="R192" s="165"/>
      <c r="S192" s="165"/>
      <c r="T192" s="165"/>
      <c r="U192" s="165"/>
      <c r="V192" s="165"/>
      <c r="W192" s="165"/>
      <c r="X192" s="165"/>
      <c r="Y192" s="165"/>
      <c r="Z192" s="165"/>
    </row>
    <row r="193" spans="16:26">
      <c r="P193" s="165"/>
      <c r="Q193" s="165"/>
      <c r="R193" s="165"/>
      <c r="S193" s="165"/>
      <c r="T193" s="165"/>
      <c r="U193" s="165"/>
      <c r="V193" s="165"/>
      <c r="W193" s="165"/>
      <c r="X193" s="165"/>
      <c r="Y193" s="165"/>
      <c r="Z193" s="165"/>
    </row>
    <row r="194" spans="16:26">
      <c r="P194" s="165"/>
      <c r="Q194" s="165"/>
      <c r="R194" s="165"/>
      <c r="S194" s="165"/>
      <c r="T194" s="165"/>
      <c r="U194" s="165"/>
      <c r="V194" s="165"/>
      <c r="W194" s="165"/>
      <c r="X194" s="165"/>
      <c r="Y194" s="165"/>
      <c r="Z194" s="165"/>
    </row>
    <row r="195" spans="16:26">
      <c r="P195" s="165"/>
      <c r="Q195" s="165"/>
      <c r="R195" s="165"/>
      <c r="S195" s="165"/>
      <c r="T195" s="165"/>
      <c r="U195" s="165"/>
      <c r="V195" s="165"/>
      <c r="W195" s="165"/>
      <c r="X195" s="165"/>
      <c r="Y195" s="165"/>
      <c r="Z195" s="165"/>
    </row>
    <row r="196" spans="16:26">
      <c r="P196" s="165"/>
      <c r="Q196" s="165"/>
      <c r="R196" s="165"/>
      <c r="S196" s="165"/>
      <c r="T196" s="165"/>
      <c r="U196" s="165"/>
      <c r="V196" s="165"/>
      <c r="W196" s="165"/>
      <c r="X196" s="165"/>
      <c r="Y196" s="165"/>
      <c r="Z196" s="165"/>
    </row>
    <row r="197" spans="16:26">
      <c r="P197" s="165"/>
      <c r="Q197" s="165"/>
      <c r="R197" s="165"/>
      <c r="S197" s="165"/>
      <c r="T197" s="165"/>
      <c r="U197" s="165"/>
      <c r="V197" s="165"/>
      <c r="W197" s="165"/>
      <c r="X197" s="165"/>
      <c r="Y197" s="165"/>
      <c r="Z197" s="165"/>
    </row>
    <row r="198" spans="16:26">
      <c r="P198" s="165"/>
      <c r="Q198" s="165"/>
      <c r="R198" s="165"/>
      <c r="S198" s="165"/>
      <c r="T198" s="165"/>
      <c r="U198" s="165"/>
      <c r="V198" s="165"/>
      <c r="W198" s="165"/>
      <c r="X198" s="165"/>
      <c r="Y198" s="165"/>
      <c r="Z198" s="165"/>
    </row>
    <row r="199" spans="16:26">
      <c r="P199" s="165"/>
      <c r="Q199" s="165"/>
      <c r="R199" s="165"/>
      <c r="S199" s="165"/>
      <c r="T199" s="165"/>
      <c r="U199" s="165"/>
      <c r="V199" s="165"/>
      <c r="W199" s="165"/>
      <c r="X199" s="165"/>
      <c r="Y199" s="165"/>
      <c r="Z199" s="165"/>
    </row>
    <row r="200" spans="16:26">
      <c r="P200" s="165"/>
      <c r="Q200" s="165"/>
      <c r="R200" s="165"/>
      <c r="S200" s="165"/>
      <c r="T200" s="165"/>
      <c r="U200" s="165"/>
      <c r="V200" s="165"/>
      <c r="W200" s="165"/>
      <c r="X200" s="165"/>
      <c r="Y200" s="165"/>
      <c r="Z200" s="165"/>
    </row>
    <row r="201" spans="16:26">
      <c r="P201" s="165"/>
      <c r="Q201" s="165"/>
      <c r="R201" s="165"/>
      <c r="S201" s="165"/>
      <c r="T201" s="165"/>
      <c r="U201" s="165"/>
      <c r="V201" s="165"/>
      <c r="W201" s="165"/>
      <c r="X201" s="165"/>
      <c r="Y201" s="165"/>
      <c r="Z201" s="165"/>
    </row>
    <row r="202" spans="16:26">
      <c r="P202" s="165"/>
      <c r="Q202" s="165"/>
      <c r="R202" s="165"/>
      <c r="S202" s="165"/>
      <c r="T202" s="165"/>
      <c r="U202" s="165"/>
      <c r="V202" s="165"/>
      <c r="W202" s="165"/>
      <c r="X202" s="165"/>
      <c r="Y202" s="165"/>
      <c r="Z202" s="165"/>
    </row>
    <row r="203" spans="16:26">
      <c r="P203" s="165"/>
      <c r="Q203" s="165"/>
      <c r="R203" s="165"/>
      <c r="S203" s="165"/>
      <c r="T203" s="165"/>
      <c r="U203" s="165"/>
      <c r="V203" s="165"/>
      <c r="W203" s="165"/>
      <c r="X203" s="165"/>
      <c r="Y203" s="165"/>
      <c r="Z203" s="165"/>
    </row>
    <row r="204" spans="16:26">
      <c r="P204" s="165"/>
      <c r="Q204" s="165"/>
      <c r="R204" s="165"/>
      <c r="S204" s="165"/>
      <c r="T204" s="165"/>
      <c r="U204" s="165"/>
      <c r="V204" s="165"/>
      <c r="W204" s="165"/>
      <c r="X204" s="165"/>
      <c r="Y204" s="165"/>
      <c r="Z204" s="165"/>
    </row>
    <row r="205" spans="16:26">
      <c r="P205" s="165"/>
      <c r="Q205" s="165"/>
      <c r="R205" s="165"/>
      <c r="S205" s="165"/>
      <c r="T205" s="165"/>
      <c r="U205" s="165"/>
      <c r="V205" s="165"/>
      <c r="W205" s="165"/>
      <c r="X205" s="165"/>
      <c r="Y205" s="165"/>
      <c r="Z205" s="165"/>
    </row>
    <row r="206" spans="16:26">
      <c r="P206" s="165"/>
      <c r="Q206" s="165"/>
      <c r="R206" s="165"/>
      <c r="S206" s="165"/>
      <c r="T206" s="165"/>
      <c r="U206" s="165"/>
      <c r="V206" s="165"/>
      <c r="W206" s="165"/>
      <c r="X206" s="165"/>
      <c r="Y206" s="165"/>
      <c r="Z206" s="165"/>
    </row>
    <row r="207" spans="16:26">
      <c r="P207" s="165"/>
      <c r="Q207" s="165"/>
      <c r="R207" s="165"/>
      <c r="S207" s="165"/>
      <c r="T207" s="165"/>
      <c r="U207" s="165"/>
      <c r="V207" s="165"/>
      <c r="W207" s="165"/>
      <c r="X207" s="165"/>
      <c r="Y207" s="165"/>
      <c r="Z207" s="165"/>
    </row>
    <row r="208" spans="16:26">
      <c r="P208" s="165"/>
      <c r="Q208" s="165"/>
      <c r="R208" s="165"/>
      <c r="S208" s="165"/>
      <c r="T208" s="165"/>
      <c r="U208" s="165"/>
      <c r="V208" s="165"/>
      <c r="W208" s="165"/>
      <c r="X208" s="165"/>
      <c r="Y208" s="165"/>
      <c r="Z208" s="165"/>
    </row>
    <row r="209" spans="16:26">
      <c r="P209" s="165"/>
      <c r="Q209" s="165"/>
      <c r="R209" s="165"/>
      <c r="S209" s="165"/>
      <c r="T209" s="165"/>
      <c r="U209" s="165"/>
      <c r="V209" s="165"/>
      <c r="W209" s="165"/>
      <c r="X209" s="165"/>
      <c r="Y209" s="165"/>
      <c r="Z209" s="165"/>
    </row>
    <row r="210" spans="16:26">
      <c r="P210" s="165"/>
      <c r="Q210" s="165"/>
      <c r="R210" s="165"/>
      <c r="S210" s="165"/>
      <c r="T210" s="165"/>
      <c r="U210" s="165"/>
      <c r="V210" s="165"/>
      <c r="W210" s="165"/>
      <c r="X210" s="165"/>
      <c r="Y210" s="165"/>
      <c r="Z210" s="165"/>
    </row>
    <row r="211" spans="16:26">
      <c r="P211" s="165"/>
      <c r="Q211" s="165"/>
      <c r="R211" s="165"/>
      <c r="S211" s="165"/>
      <c r="T211" s="165"/>
      <c r="U211" s="165"/>
      <c r="V211" s="165"/>
      <c r="W211" s="165"/>
      <c r="X211" s="165"/>
      <c r="Y211" s="165"/>
      <c r="Z211" s="165"/>
    </row>
    <row r="212" spans="16:26">
      <c r="P212" s="165"/>
      <c r="Q212" s="165"/>
      <c r="R212" s="165"/>
      <c r="S212" s="165"/>
      <c r="T212" s="165"/>
      <c r="U212" s="165"/>
      <c r="V212" s="165"/>
      <c r="W212" s="165"/>
      <c r="X212" s="165"/>
      <c r="Y212" s="165"/>
      <c r="Z212" s="165"/>
    </row>
    <row r="213" spans="16:26">
      <c r="P213" s="165"/>
      <c r="Q213" s="165"/>
      <c r="R213" s="165"/>
      <c r="S213" s="165"/>
      <c r="T213" s="165"/>
      <c r="U213" s="165"/>
      <c r="V213" s="165"/>
      <c r="W213" s="165"/>
      <c r="X213" s="165"/>
      <c r="Y213" s="165"/>
      <c r="Z213" s="165"/>
    </row>
    <row r="214" spans="16:26">
      <c r="P214" s="165"/>
      <c r="Q214" s="165"/>
      <c r="R214" s="165"/>
      <c r="S214" s="165"/>
      <c r="T214" s="165"/>
      <c r="U214" s="165"/>
      <c r="V214" s="165"/>
      <c r="W214" s="165"/>
      <c r="X214" s="165"/>
      <c r="Y214" s="165"/>
      <c r="Z214" s="165"/>
    </row>
    <row r="215" spans="16:26">
      <c r="P215" s="165"/>
      <c r="Q215" s="165"/>
      <c r="R215" s="165"/>
      <c r="S215" s="165"/>
      <c r="T215" s="165"/>
      <c r="U215" s="165"/>
      <c r="V215" s="165"/>
      <c r="W215" s="165"/>
      <c r="X215" s="165"/>
      <c r="Y215" s="165"/>
      <c r="Z215" s="165"/>
    </row>
    <row r="216" spans="16:26">
      <c r="P216" s="165"/>
      <c r="Q216" s="165"/>
      <c r="R216" s="165"/>
      <c r="S216" s="165"/>
      <c r="T216" s="165"/>
      <c r="U216" s="165"/>
      <c r="V216" s="165"/>
      <c r="W216" s="165"/>
      <c r="X216" s="165"/>
      <c r="Y216" s="165"/>
      <c r="Z216" s="165"/>
    </row>
    <row r="217" spans="16:26">
      <c r="P217" s="165"/>
      <c r="Q217" s="165"/>
      <c r="R217" s="165"/>
      <c r="S217" s="165"/>
      <c r="T217" s="165"/>
      <c r="U217" s="165"/>
      <c r="V217" s="165"/>
      <c r="W217" s="165"/>
      <c r="X217" s="165"/>
      <c r="Y217" s="165"/>
      <c r="Z217" s="165"/>
    </row>
    <row r="218" spans="16:26">
      <c r="P218" s="165"/>
      <c r="Q218" s="165"/>
      <c r="R218" s="165"/>
      <c r="S218" s="165"/>
      <c r="T218" s="165"/>
      <c r="U218" s="165"/>
      <c r="V218" s="165"/>
      <c r="W218" s="165"/>
      <c r="X218" s="165"/>
      <c r="Y218" s="165"/>
      <c r="Z218" s="165"/>
    </row>
    <row r="219" spans="16:26">
      <c r="P219" s="165"/>
      <c r="Q219" s="165"/>
      <c r="R219" s="165"/>
      <c r="S219" s="165"/>
      <c r="T219" s="165"/>
      <c r="U219" s="165"/>
      <c r="V219" s="165"/>
      <c r="W219" s="165"/>
      <c r="X219" s="165"/>
      <c r="Y219" s="165"/>
      <c r="Z219" s="165"/>
    </row>
    <row r="220" spans="16:26">
      <c r="P220" s="165"/>
      <c r="Q220" s="165"/>
      <c r="R220" s="165"/>
      <c r="S220" s="165"/>
      <c r="T220" s="165"/>
      <c r="U220" s="165"/>
      <c r="V220" s="165"/>
      <c r="W220" s="165"/>
      <c r="X220" s="165"/>
      <c r="Y220" s="165"/>
      <c r="Z220" s="165"/>
    </row>
    <row r="221" spans="16:26">
      <c r="P221" s="165"/>
      <c r="Q221" s="165"/>
      <c r="R221" s="165"/>
      <c r="S221" s="165"/>
      <c r="T221" s="165"/>
      <c r="U221" s="165"/>
      <c r="V221" s="165"/>
      <c r="W221" s="165"/>
      <c r="X221" s="165"/>
      <c r="Y221" s="165"/>
      <c r="Z221" s="165"/>
    </row>
    <row r="222" spans="16:26">
      <c r="P222" s="165"/>
      <c r="Q222" s="165"/>
      <c r="R222" s="165"/>
      <c r="S222" s="165"/>
      <c r="T222" s="165"/>
      <c r="U222" s="165"/>
      <c r="V222" s="165"/>
      <c r="W222" s="165"/>
      <c r="X222" s="165"/>
      <c r="Y222" s="165"/>
      <c r="Z222" s="165"/>
    </row>
    <row r="223" spans="16:26">
      <c r="P223" s="165"/>
      <c r="Q223" s="165"/>
      <c r="R223" s="165"/>
      <c r="S223" s="165"/>
      <c r="T223" s="165"/>
      <c r="U223" s="165"/>
      <c r="V223" s="165"/>
      <c r="W223" s="165"/>
      <c r="X223" s="165"/>
      <c r="Y223" s="165"/>
      <c r="Z223" s="165"/>
    </row>
    <row r="224" spans="16:26">
      <c r="P224" s="165"/>
      <c r="Q224" s="165"/>
      <c r="R224" s="165"/>
      <c r="S224" s="165"/>
      <c r="T224" s="165"/>
      <c r="U224" s="165"/>
      <c r="V224" s="165"/>
      <c r="W224" s="165"/>
      <c r="X224" s="165"/>
      <c r="Y224" s="165"/>
      <c r="Z224" s="165"/>
    </row>
    <row r="225" spans="16:26">
      <c r="P225" s="165"/>
      <c r="Q225" s="165"/>
      <c r="R225" s="165"/>
      <c r="S225" s="165"/>
      <c r="T225" s="165"/>
      <c r="U225" s="165"/>
      <c r="V225" s="165"/>
      <c r="W225" s="165"/>
      <c r="X225" s="165"/>
      <c r="Y225" s="165"/>
      <c r="Z225" s="165"/>
    </row>
    <row r="226" spans="16:26">
      <c r="P226" s="165"/>
      <c r="Q226" s="165"/>
      <c r="R226" s="165"/>
      <c r="S226" s="165"/>
      <c r="T226" s="165"/>
      <c r="U226" s="165"/>
      <c r="V226" s="165"/>
      <c r="W226" s="165"/>
      <c r="X226" s="165"/>
      <c r="Y226" s="165"/>
      <c r="Z226" s="165"/>
    </row>
    <row r="227" spans="16:26">
      <c r="P227" s="165"/>
      <c r="Q227" s="165"/>
      <c r="R227" s="165"/>
      <c r="S227" s="165"/>
      <c r="T227" s="165"/>
      <c r="U227" s="165"/>
      <c r="V227" s="165"/>
      <c r="W227" s="165"/>
      <c r="X227" s="165"/>
      <c r="Y227" s="165"/>
      <c r="Z227" s="165"/>
    </row>
    <row r="228" spans="16:26">
      <c r="P228" s="165"/>
      <c r="Q228" s="165"/>
      <c r="R228" s="165"/>
      <c r="S228" s="165"/>
      <c r="T228" s="165"/>
      <c r="U228" s="165"/>
      <c r="V228" s="165"/>
      <c r="W228" s="165"/>
      <c r="X228" s="165"/>
      <c r="Y228" s="165"/>
      <c r="Z228" s="165"/>
    </row>
    <row r="229" spans="16:26">
      <c r="P229" s="165"/>
      <c r="Q229" s="165"/>
      <c r="R229" s="165"/>
      <c r="S229" s="165"/>
      <c r="T229" s="165"/>
      <c r="U229" s="165"/>
      <c r="V229" s="165"/>
      <c r="W229" s="165"/>
      <c r="X229" s="165"/>
      <c r="Y229" s="165"/>
      <c r="Z229" s="165"/>
    </row>
    <row r="230" spans="16:26">
      <c r="P230" s="165"/>
      <c r="Q230" s="165"/>
      <c r="R230" s="165"/>
      <c r="S230" s="165"/>
      <c r="T230" s="165"/>
      <c r="U230" s="165"/>
      <c r="V230" s="165"/>
      <c r="W230" s="165"/>
      <c r="X230" s="165"/>
      <c r="Y230" s="165"/>
      <c r="Z230" s="165"/>
    </row>
    <row r="231" spans="16:26">
      <c r="P231" s="165"/>
      <c r="Q231" s="165"/>
      <c r="R231" s="165"/>
      <c r="S231" s="165"/>
      <c r="T231" s="165"/>
      <c r="U231" s="165"/>
      <c r="V231" s="165"/>
      <c r="W231" s="165"/>
      <c r="X231" s="165"/>
      <c r="Y231" s="165"/>
      <c r="Z231" s="165"/>
    </row>
    <row r="232" spans="16:26">
      <c r="P232" s="165"/>
      <c r="Q232" s="165"/>
      <c r="R232" s="165"/>
      <c r="S232" s="165"/>
      <c r="T232" s="165"/>
      <c r="U232" s="165"/>
      <c r="V232" s="165"/>
      <c r="W232" s="165"/>
      <c r="X232" s="165"/>
      <c r="Y232" s="165"/>
      <c r="Z232" s="165"/>
    </row>
    <row r="233" spans="16:26">
      <c r="P233" s="165"/>
      <c r="Q233" s="165"/>
      <c r="R233" s="165"/>
      <c r="S233" s="165"/>
      <c r="T233" s="165"/>
      <c r="U233" s="165"/>
      <c r="V233" s="165"/>
      <c r="W233" s="165"/>
      <c r="X233" s="165"/>
      <c r="Y233" s="165"/>
      <c r="Z233" s="165"/>
    </row>
    <row r="234" spans="16:26">
      <c r="P234" s="165"/>
      <c r="Q234" s="165"/>
      <c r="R234" s="165"/>
      <c r="S234" s="165"/>
      <c r="T234" s="165"/>
      <c r="U234" s="165"/>
      <c r="V234" s="165"/>
      <c r="W234" s="165"/>
      <c r="X234" s="165"/>
      <c r="Y234" s="165"/>
      <c r="Z234" s="165"/>
    </row>
    <row r="235" spans="16:26">
      <c r="P235" s="165"/>
      <c r="Q235" s="165"/>
      <c r="R235" s="165"/>
      <c r="S235" s="165"/>
      <c r="T235" s="165"/>
      <c r="U235" s="165"/>
      <c r="V235" s="165"/>
      <c r="W235" s="165"/>
      <c r="X235" s="165"/>
      <c r="Y235" s="165"/>
      <c r="Z235" s="165"/>
    </row>
    <row r="236" spans="16:26">
      <c r="P236" s="165"/>
      <c r="Q236" s="165"/>
      <c r="R236" s="165"/>
      <c r="S236" s="165"/>
      <c r="T236" s="165"/>
      <c r="U236" s="165"/>
      <c r="V236" s="165"/>
      <c r="W236" s="165"/>
      <c r="X236" s="165"/>
      <c r="Y236" s="165"/>
      <c r="Z236" s="165"/>
    </row>
    <row r="237" spans="16:26">
      <c r="P237" s="165"/>
      <c r="Q237" s="165"/>
      <c r="R237" s="165"/>
      <c r="S237" s="165"/>
      <c r="T237" s="165"/>
      <c r="U237" s="165"/>
      <c r="V237" s="165"/>
      <c r="W237" s="165"/>
      <c r="X237" s="165"/>
      <c r="Y237" s="165"/>
      <c r="Z237" s="165"/>
    </row>
    <row r="238" spans="16:26">
      <c r="P238" s="165"/>
      <c r="Q238" s="165"/>
      <c r="R238" s="165"/>
      <c r="S238" s="165"/>
      <c r="T238" s="165"/>
      <c r="U238" s="165"/>
      <c r="V238" s="165"/>
      <c r="W238" s="165"/>
      <c r="X238" s="165"/>
      <c r="Y238" s="165"/>
      <c r="Z238" s="165"/>
    </row>
    <row r="239" spans="16:26">
      <c r="P239" s="165"/>
      <c r="Q239" s="165"/>
      <c r="R239" s="165"/>
      <c r="S239" s="165"/>
      <c r="T239" s="165"/>
      <c r="U239" s="165"/>
      <c r="V239" s="165"/>
      <c r="W239" s="165"/>
      <c r="X239" s="165"/>
      <c r="Y239" s="165"/>
      <c r="Z239" s="165"/>
    </row>
    <row r="240" spans="16:26">
      <c r="P240" s="165"/>
      <c r="Q240" s="165"/>
      <c r="R240" s="165"/>
      <c r="S240" s="165"/>
      <c r="T240" s="165"/>
      <c r="U240" s="165"/>
      <c r="V240" s="165"/>
      <c r="W240" s="165"/>
      <c r="X240" s="165"/>
      <c r="Y240" s="165"/>
      <c r="Z240" s="165"/>
    </row>
    <row r="241" spans="16:26">
      <c r="P241" s="165"/>
      <c r="Q241" s="165"/>
      <c r="R241" s="165"/>
      <c r="S241" s="165"/>
      <c r="T241" s="165"/>
      <c r="U241" s="165"/>
      <c r="V241" s="165"/>
      <c r="W241" s="165"/>
      <c r="X241" s="165"/>
      <c r="Y241" s="165"/>
      <c r="Z241" s="165"/>
    </row>
    <row r="242" spans="16:26">
      <c r="P242" s="165"/>
      <c r="Q242" s="165"/>
      <c r="R242" s="165"/>
      <c r="S242" s="165"/>
      <c r="T242" s="165"/>
      <c r="U242" s="165"/>
      <c r="V242" s="165"/>
      <c r="W242" s="165"/>
      <c r="X242" s="165"/>
      <c r="Y242" s="165"/>
      <c r="Z242" s="165"/>
    </row>
    <row r="243" spans="16:26">
      <c r="P243" s="165"/>
      <c r="Q243" s="165"/>
      <c r="R243" s="165"/>
      <c r="S243" s="165"/>
      <c r="T243" s="165"/>
      <c r="U243" s="165"/>
      <c r="V243" s="165"/>
      <c r="W243" s="165"/>
      <c r="X243" s="165"/>
      <c r="Y243" s="165"/>
      <c r="Z243" s="165"/>
    </row>
    <row r="244" spans="16:26">
      <c r="P244" s="165"/>
      <c r="Q244" s="165"/>
      <c r="R244" s="165"/>
      <c r="S244" s="165"/>
      <c r="T244" s="165"/>
      <c r="U244" s="165"/>
      <c r="V244" s="165"/>
      <c r="W244" s="165"/>
      <c r="X244" s="165"/>
      <c r="Y244" s="165"/>
      <c r="Z244" s="165"/>
    </row>
    <row r="245" spans="16:26">
      <c r="P245" s="165"/>
      <c r="Q245" s="165"/>
      <c r="R245" s="165"/>
      <c r="S245" s="165"/>
      <c r="T245" s="165"/>
      <c r="U245" s="165"/>
      <c r="V245" s="165"/>
      <c r="W245" s="165"/>
      <c r="X245" s="165"/>
      <c r="Y245" s="165"/>
      <c r="Z245" s="165"/>
    </row>
    <row r="246" spans="16:26">
      <c r="P246" s="165"/>
      <c r="Q246" s="165"/>
      <c r="R246" s="165"/>
      <c r="S246" s="165"/>
      <c r="T246" s="165"/>
      <c r="U246" s="165"/>
      <c r="V246" s="165"/>
      <c r="W246" s="165"/>
      <c r="X246" s="165"/>
      <c r="Y246" s="165"/>
      <c r="Z246" s="165"/>
    </row>
    <row r="247" spans="16:26">
      <c r="P247" s="165"/>
      <c r="Q247" s="165"/>
      <c r="R247" s="165"/>
      <c r="S247" s="165"/>
      <c r="T247" s="165"/>
      <c r="U247" s="165"/>
      <c r="V247" s="165"/>
      <c r="W247" s="165"/>
      <c r="X247" s="165"/>
      <c r="Y247" s="165"/>
      <c r="Z247" s="165"/>
    </row>
    <row r="248" spans="16:26">
      <c r="P248" s="165"/>
      <c r="Q248" s="165"/>
      <c r="R248" s="165"/>
      <c r="S248" s="165"/>
      <c r="T248" s="165"/>
      <c r="U248" s="165"/>
      <c r="V248" s="165"/>
      <c r="W248" s="165"/>
      <c r="X248" s="165"/>
      <c r="Y248" s="165"/>
      <c r="Z248" s="165"/>
    </row>
    <row r="249" spans="16:26">
      <c r="P249" s="165"/>
      <c r="Q249" s="165"/>
      <c r="R249" s="165"/>
      <c r="S249" s="165"/>
      <c r="T249" s="165"/>
      <c r="U249" s="165"/>
      <c r="V249" s="165"/>
      <c r="W249" s="165"/>
      <c r="X249" s="165"/>
      <c r="Y249" s="165"/>
      <c r="Z249" s="165"/>
    </row>
    <row r="250" spans="16:26">
      <c r="P250" s="165"/>
      <c r="Q250" s="165"/>
      <c r="R250" s="165"/>
      <c r="S250" s="165"/>
      <c r="T250" s="165"/>
      <c r="U250" s="165"/>
      <c r="V250" s="165"/>
      <c r="W250" s="165"/>
      <c r="X250" s="165"/>
      <c r="Y250" s="165"/>
      <c r="Z250" s="165"/>
    </row>
    <row r="251" spans="16:26">
      <c r="P251" s="165"/>
      <c r="Q251" s="165"/>
      <c r="R251" s="165"/>
      <c r="S251" s="165"/>
      <c r="T251" s="165"/>
      <c r="U251" s="165"/>
      <c r="V251" s="165"/>
      <c r="W251" s="165"/>
      <c r="X251" s="165"/>
      <c r="Y251" s="165"/>
      <c r="Z251" s="165"/>
    </row>
    <row r="252" spans="16:26">
      <c r="P252" s="165"/>
      <c r="Q252" s="165"/>
      <c r="R252" s="165"/>
      <c r="S252" s="165"/>
      <c r="T252" s="165"/>
      <c r="U252" s="165"/>
      <c r="V252" s="165"/>
      <c r="W252" s="165"/>
      <c r="X252" s="165"/>
      <c r="Y252" s="165"/>
      <c r="Z252" s="165"/>
    </row>
    <row r="253" spans="16:26">
      <c r="P253" s="165"/>
      <c r="Q253" s="165"/>
      <c r="R253" s="165"/>
      <c r="S253" s="165"/>
      <c r="T253" s="165"/>
      <c r="U253" s="165"/>
      <c r="V253" s="165"/>
      <c r="W253" s="165"/>
      <c r="X253" s="165"/>
      <c r="Y253" s="165"/>
      <c r="Z253" s="165"/>
    </row>
    <row r="254" spans="16:26">
      <c r="P254" s="165"/>
      <c r="Q254" s="165"/>
      <c r="R254" s="165"/>
      <c r="S254" s="165"/>
      <c r="T254" s="165"/>
      <c r="U254" s="165"/>
      <c r="V254" s="165"/>
      <c r="W254" s="165"/>
      <c r="X254" s="165"/>
      <c r="Y254" s="165"/>
      <c r="Z254" s="165"/>
    </row>
    <row r="255" spans="16:26">
      <c r="P255" s="165"/>
      <c r="Q255" s="165"/>
      <c r="R255" s="165"/>
      <c r="S255" s="165"/>
      <c r="T255" s="165"/>
      <c r="U255" s="165"/>
      <c r="V255" s="165"/>
      <c r="W255" s="165"/>
      <c r="X255" s="165"/>
      <c r="Y255" s="165"/>
      <c r="Z255" s="165"/>
    </row>
    <row r="256" spans="16:26">
      <c r="P256" s="165"/>
      <c r="Q256" s="165"/>
      <c r="R256" s="165"/>
      <c r="S256" s="165"/>
      <c r="T256" s="165"/>
      <c r="U256" s="165"/>
      <c r="V256" s="165"/>
      <c r="W256" s="165"/>
      <c r="X256" s="165"/>
      <c r="Y256" s="165"/>
      <c r="Z256" s="165"/>
    </row>
    <row r="257" spans="16:26">
      <c r="P257" s="165"/>
      <c r="Q257" s="165"/>
      <c r="R257" s="165"/>
      <c r="S257" s="165"/>
      <c r="T257" s="165"/>
      <c r="U257" s="165"/>
      <c r="V257" s="165"/>
      <c r="W257" s="165"/>
      <c r="X257" s="165"/>
      <c r="Y257" s="165"/>
      <c r="Z257" s="165"/>
    </row>
    <row r="258" spans="16:26">
      <c r="P258" s="165"/>
      <c r="Q258" s="165"/>
      <c r="R258" s="165"/>
      <c r="S258" s="165"/>
      <c r="T258" s="165"/>
      <c r="U258" s="165"/>
      <c r="V258" s="165"/>
      <c r="W258" s="165"/>
      <c r="X258" s="165"/>
      <c r="Y258" s="165"/>
      <c r="Z258" s="165"/>
    </row>
    <row r="259" spans="16:26">
      <c r="P259" s="165"/>
      <c r="Q259" s="165"/>
      <c r="R259" s="165"/>
      <c r="S259" s="165"/>
      <c r="T259" s="165"/>
      <c r="U259" s="165"/>
      <c r="V259" s="165"/>
      <c r="W259" s="165"/>
      <c r="X259" s="165"/>
      <c r="Y259" s="165"/>
      <c r="Z259" s="165"/>
    </row>
    <row r="260" spans="16:26">
      <c r="P260" s="165"/>
      <c r="Q260" s="165"/>
      <c r="R260" s="165"/>
      <c r="S260" s="165"/>
      <c r="T260" s="165"/>
      <c r="U260" s="165"/>
      <c r="V260" s="165"/>
      <c r="W260" s="165"/>
      <c r="X260" s="165"/>
      <c r="Y260" s="165"/>
      <c r="Z260" s="165"/>
    </row>
    <row r="261" spans="16:26">
      <c r="P261" s="165"/>
      <c r="Q261" s="165"/>
      <c r="R261" s="165"/>
      <c r="S261" s="165"/>
      <c r="T261" s="165"/>
      <c r="U261" s="165"/>
      <c r="V261" s="165"/>
      <c r="W261" s="165"/>
      <c r="X261" s="165"/>
      <c r="Y261" s="165"/>
      <c r="Z261" s="165"/>
    </row>
    <row r="262" spans="16:26">
      <c r="P262" s="165"/>
      <c r="Q262" s="165"/>
      <c r="R262" s="165"/>
      <c r="S262" s="165"/>
      <c r="T262" s="165"/>
      <c r="U262" s="165"/>
      <c r="V262" s="165"/>
      <c r="W262" s="165"/>
      <c r="X262" s="165"/>
      <c r="Y262" s="165"/>
      <c r="Z262" s="165"/>
    </row>
    <row r="263" spans="16:26">
      <c r="P263" s="165"/>
      <c r="Q263" s="165"/>
      <c r="R263" s="165"/>
      <c r="S263" s="165"/>
      <c r="T263" s="165"/>
      <c r="U263" s="165"/>
      <c r="V263" s="165"/>
      <c r="W263" s="165"/>
      <c r="X263" s="165"/>
      <c r="Y263" s="165"/>
      <c r="Z263" s="165"/>
    </row>
    <row r="264" spans="16:26">
      <c r="P264" s="165"/>
      <c r="Q264" s="165"/>
      <c r="R264" s="165"/>
      <c r="S264" s="165"/>
      <c r="T264" s="165"/>
      <c r="U264" s="165"/>
      <c r="V264" s="165"/>
      <c r="W264" s="165"/>
      <c r="X264" s="165"/>
      <c r="Y264" s="165"/>
      <c r="Z264" s="165"/>
    </row>
    <row r="265" spans="16:26">
      <c r="P265" s="165"/>
      <c r="Q265" s="165"/>
      <c r="R265" s="165"/>
      <c r="S265" s="165"/>
      <c r="T265" s="165"/>
      <c r="U265" s="165"/>
      <c r="V265" s="165"/>
      <c r="W265" s="165"/>
      <c r="X265" s="165"/>
      <c r="Y265" s="165"/>
      <c r="Z265" s="165"/>
    </row>
    <row r="266" spans="16:26">
      <c r="P266" s="165"/>
      <c r="Q266" s="165"/>
      <c r="R266" s="165"/>
      <c r="S266" s="165"/>
      <c r="T266" s="165"/>
      <c r="U266" s="165"/>
      <c r="V266" s="165"/>
      <c r="W266" s="165"/>
      <c r="X266" s="165"/>
      <c r="Y266" s="165"/>
      <c r="Z266" s="165"/>
    </row>
    <row r="267" spans="16:26">
      <c r="P267" s="165"/>
      <c r="Q267" s="165"/>
      <c r="R267" s="165"/>
      <c r="S267" s="165"/>
      <c r="T267" s="165"/>
      <c r="U267" s="165"/>
      <c r="V267" s="165"/>
      <c r="W267" s="165"/>
      <c r="X267" s="165"/>
      <c r="Y267" s="165"/>
      <c r="Z267" s="165"/>
    </row>
    <row r="268" spans="16:26">
      <c r="P268" s="165"/>
      <c r="Q268" s="165"/>
      <c r="R268" s="165"/>
      <c r="S268" s="165"/>
      <c r="T268" s="165"/>
      <c r="U268" s="165"/>
      <c r="V268" s="165"/>
      <c r="W268" s="165"/>
      <c r="X268" s="165"/>
      <c r="Y268" s="165"/>
      <c r="Z268" s="165"/>
    </row>
    <row r="269" spans="16:26">
      <c r="P269" s="165"/>
      <c r="Q269" s="165"/>
      <c r="R269" s="165"/>
      <c r="S269" s="165"/>
      <c r="T269" s="165"/>
      <c r="U269" s="165"/>
      <c r="V269" s="165"/>
      <c r="W269" s="165"/>
      <c r="X269" s="165"/>
      <c r="Y269" s="165"/>
      <c r="Z269" s="165"/>
    </row>
    <row r="270" spans="16:26">
      <c r="P270" s="165"/>
      <c r="Q270" s="165"/>
      <c r="R270" s="165"/>
      <c r="S270" s="165"/>
      <c r="T270" s="165"/>
      <c r="U270" s="165"/>
      <c r="V270" s="165"/>
      <c r="W270" s="165"/>
      <c r="X270" s="165"/>
      <c r="Y270" s="165"/>
      <c r="Z270" s="165"/>
    </row>
    <row r="271" spans="16:26">
      <c r="P271" s="165"/>
      <c r="Q271" s="165"/>
      <c r="R271" s="165"/>
      <c r="S271" s="165"/>
      <c r="T271" s="165"/>
      <c r="U271" s="165"/>
      <c r="V271" s="165"/>
      <c r="W271" s="165"/>
      <c r="X271" s="165"/>
      <c r="Y271" s="165"/>
      <c r="Z271" s="165"/>
    </row>
    <row r="272" spans="16:26">
      <c r="P272" s="165"/>
      <c r="Q272" s="165"/>
      <c r="R272" s="165"/>
      <c r="S272" s="165"/>
      <c r="T272" s="165"/>
      <c r="U272" s="165"/>
      <c r="V272" s="165"/>
      <c r="W272" s="165"/>
      <c r="X272" s="165"/>
      <c r="Y272" s="165"/>
      <c r="Z272" s="165"/>
    </row>
    <row r="273" spans="16:26">
      <c r="P273" s="165"/>
      <c r="Q273" s="165"/>
      <c r="R273" s="165"/>
      <c r="S273" s="165"/>
      <c r="T273" s="165"/>
      <c r="U273" s="165"/>
      <c r="V273" s="165"/>
      <c r="W273" s="165"/>
      <c r="X273" s="165"/>
      <c r="Y273" s="165"/>
      <c r="Z273" s="165"/>
    </row>
    <row r="274" spans="16:26">
      <c r="P274" s="165"/>
      <c r="Q274" s="165"/>
      <c r="R274" s="165"/>
      <c r="S274" s="165"/>
      <c r="T274" s="165"/>
      <c r="U274" s="165"/>
      <c r="V274" s="165"/>
      <c r="W274" s="165"/>
      <c r="X274" s="165"/>
      <c r="Y274" s="165"/>
      <c r="Z274" s="165"/>
    </row>
    <row r="275" spans="16:26">
      <c r="P275" s="165"/>
      <c r="Q275" s="165"/>
      <c r="R275" s="165"/>
      <c r="S275" s="165"/>
      <c r="T275" s="165"/>
      <c r="U275" s="165"/>
      <c r="V275" s="165"/>
      <c r="W275" s="165"/>
      <c r="X275" s="165"/>
      <c r="Y275" s="165"/>
      <c r="Z275" s="165"/>
    </row>
    <row r="276" spans="16:26">
      <c r="P276" s="165"/>
      <c r="Q276" s="165"/>
      <c r="R276" s="165"/>
      <c r="S276" s="165"/>
      <c r="T276" s="165"/>
      <c r="U276" s="165"/>
      <c r="V276" s="165"/>
      <c r="W276" s="165"/>
      <c r="X276" s="165"/>
      <c r="Y276" s="165"/>
      <c r="Z276" s="165"/>
    </row>
    <row r="277" spans="16:26">
      <c r="P277" s="165"/>
      <c r="Q277" s="165"/>
      <c r="R277" s="165"/>
      <c r="S277" s="165"/>
      <c r="T277" s="165"/>
      <c r="U277" s="165"/>
      <c r="V277" s="165"/>
      <c r="W277" s="165"/>
      <c r="X277" s="165"/>
      <c r="Y277" s="165"/>
      <c r="Z277" s="165"/>
    </row>
    <row r="278" spans="16:26">
      <c r="P278" s="165"/>
      <c r="Q278" s="165"/>
      <c r="R278" s="165"/>
      <c r="S278" s="165"/>
      <c r="T278" s="165"/>
      <c r="U278" s="165"/>
      <c r="V278" s="165"/>
      <c r="W278" s="165"/>
      <c r="X278" s="165"/>
      <c r="Y278" s="165"/>
      <c r="Z278" s="165"/>
    </row>
    <row r="279" spans="16:26">
      <c r="P279" s="165"/>
      <c r="Q279" s="165"/>
      <c r="R279" s="165"/>
      <c r="S279" s="165"/>
      <c r="T279" s="165"/>
      <c r="U279" s="165"/>
      <c r="V279" s="165"/>
      <c r="W279" s="165"/>
      <c r="X279" s="165"/>
      <c r="Y279" s="165"/>
      <c r="Z279" s="165"/>
    </row>
    <row r="280" spans="16:26">
      <c r="P280" s="165"/>
      <c r="Q280" s="165"/>
      <c r="R280" s="165"/>
      <c r="S280" s="165"/>
      <c r="T280" s="165"/>
      <c r="U280" s="165"/>
      <c r="V280" s="165"/>
      <c r="W280" s="165"/>
      <c r="X280" s="165"/>
      <c r="Y280" s="165"/>
      <c r="Z280" s="165"/>
    </row>
    <row r="281" spans="16:26">
      <c r="P281" s="165"/>
      <c r="Q281" s="165"/>
      <c r="R281" s="165"/>
      <c r="S281" s="165"/>
      <c r="T281" s="165"/>
      <c r="U281" s="165"/>
      <c r="V281" s="165"/>
      <c r="W281" s="165"/>
      <c r="X281" s="165"/>
      <c r="Y281" s="165"/>
      <c r="Z281" s="165"/>
    </row>
    <row r="282" spans="16:26">
      <c r="P282" s="165"/>
      <c r="Q282" s="165"/>
      <c r="R282" s="165"/>
      <c r="S282" s="165"/>
      <c r="T282" s="165"/>
      <c r="U282" s="165"/>
      <c r="V282" s="165"/>
      <c r="W282" s="165"/>
      <c r="X282" s="165"/>
      <c r="Y282" s="165"/>
      <c r="Z282" s="165"/>
    </row>
    <row r="283" spans="16:26">
      <c r="P283" s="165"/>
      <c r="Q283" s="165"/>
      <c r="R283" s="165"/>
      <c r="S283" s="165"/>
      <c r="T283" s="165"/>
      <c r="U283" s="165"/>
      <c r="V283" s="165"/>
      <c r="W283" s="165"/>
      <c r="X283" s="165"/>
      <c r="Y283" s="165"/>
      <c r="Z283" s="165"/>
    </row>
    <row r="284" spans="16:26">
      <c r="P284" s="165"/>
      <c r="Q284" s="165"/>
      <c r="R284" s="165"/>
      <c r="S284" s="165"/>
      <c r="T284" s="165"/>
      <c r="U284" s="165"/>
      <c r="V284" s="165"/>
      <c r="W284" s="165"/>
      <c r="X284" s="165"/>
      <c r="Y284" s="165"/>
      <c r="Z284" s="165"/>
    </row>
    <row r="285" spans="16:26">
      <c r="P285" s="165"/>
      <c r="Q285" s="165"/>
      <c r="R285" s="165"/>
      <c r="S285" s="165"/>
      <c r="T285" s="165"/>
      <c r="U285" s="165"/>
      <c r="V285" s="165"/>
      <c r="W285" s="165"/>
      <c r="X285" s="165"/>
      <c r="Y285" s="165"/>
      <c r="Z285" s="165"/>
    </row>
    <row r="286" spans="16:26">
      <c r="P286" s="165"/>
      <c r="Q286" s="165"/>
      <c r="R286" s="165"/>
      <c r="S286" s="165"/>
      <c r="T286" s="165"/>
      <c r="U286" s="165"/>
      <c r="V286" s="165"/>
      <c r="W286" s="165"/>
      <c r="X286" s="165"/>
      <c r="Y286" s="165"/>
      <c r="Z286" s="165"/>
    </row>
    <row r="287" spans="16:26">
      <c r="P287" s="165"/>
      <c r="Q287" s="165"/>
      <c r="R287" s="165"/>
      <c r="S287" s="165"/>
      <c r="T287" s="165"/>
      <c r="U287" s="165"/>
      <c r="V287" s="165"/>
      <c r="W287" s="165"/>
      <c r="X287" s="165"/>
      <c r="Y287" s="165"/>
      <c r="Z287" s="165"/>
    </row>
    <row r="288" spans="16:26">
      <c r="P288" s="165"/>
      <c r="Q288" s="165"/>
      <c r="R288" s="165"/>
      <c r="S288" s="165"/>
      <c r="T288" s="165"/>
      <c r="U288" s="165"/>
      <c r="V288" s="165"/>
      <c r="W288" s="165"/>
      <c r="X288" s="165"/>
      <c r="Y288" s="165"/>
      <c r="Z288" s="165"/>
    </row>
    <row r="289" spans="16:26">
      <c r="P289" s="165"/>
      <c r="Q289" s="165"/>
      <c r="R289" s="165"/>
      <c r="S289" s="165"/>
      <c r="T289" s="165"/>
      <c r="U289" s="165"/>
      <c r="V289" s="165"/>
      <c r="W289" s="165"/>
      <c r="X289" s="165"/>
      <c r="Y289" s="165"/>
      <c r="Z289" s="165"/>
    </row>
    <row r="290" spans="16:26">
      <c r="P290" s="165"/>
      <c r="Q290" s="165"/>
      <c r="R290" s="165"/>
      <c r="S290" s="165"/>
      <c r="T290" s="165"/>
      <c r="U290" s="165"/>
      <c r="V290" s="165"/>
      <c r="W290" s="165"/>
      <c r="X290" s="165"/>
      <c r="Y290" s="165"/>
      <c r="Z290" s="165"/>
    </row>
    <row r="291" spans="16:26">
      <c r="P291" s="165"/>
      <c r="Q291" s="165"/>
      <c r="R291" s="165"/>
      <c r="S291" s="165"/>
      <c r="T291" s="165"/>
      <c r="U291" s="165"/>
      <c r="V291" s="165"/>
      <c r="W291" s="165"/>
      <c r="X291" s="165"/>
      <c r="Y291" s="165"/>
      <c r="Z291" s="165"/>
    </row>
    <row r="292" spans="16:26">
      <c r="P292" s="165"/>
      <c r="Q292" s="165"/>
      <c r="R292" s="165"/>
      <c r="S292" s="165"/>
      <c r="T292" s="165"/>
      <c r="U292" s="165"/>
      <c r="V292" s="165"/>
      <c r="W292" s="165"/>
      <c r="X292" s="165"/>
      <c r="Y292" s="165"/>
      <c r="Z292" s="165"/>
    </row>
    <row r="293" spans="16:26">
      <c r="P293" s="165"/>
      <c r="Q293" s="165"/>
      <c r="R293" s="165"/>
      <c r="S293" s="165"/>
      <c r="T293" s="165"/>
      <c r="U293" s="165"/>
      <c r="V293" s="165"/>
      <c r="W293" s="165"/>
      <c r="X293" s="165"/>
      <c r="Y293" s="165"/>
      <c r="Z293" s="165"/>
    </row>
    <row r="294" spans="16:26">
      <c r="P294" s="165"/>
      <c r="Q294" s="165"/>
      <c r="R294" s="165"/>
      <c r="S294" s="165"/>
      <c r="T294" s="165"/>
      <c r="U294" s="165"/>
      <c r="V294" s="165"/>
      <c r="W294" s="165"/>
      <c r="X294" s="165"/>
      <c r="Y294" s="165"/>
      <c r="Z294" s="165"/>
    </row>
    <row r="295" spans="16:26">
      <c r="P295" s="165"/>
      <c r="Q295" s="165"/>
      <c r="R295" s="165"/>
      <c r="S295" s="165"/>
      <c r="T295" s="165"/>
      <c r="U295" s="165"/>
      <c r="V295" s="165"/>
      <c r="W295" s="165"/>
      <c r="X295" s="165"/>
      <c r="Y295" s="165"/>
      <c r="Z295" s="165"/>
    </row>
    <row r="296" spans="16:26">
      <c r="P296" s="165"/>
      <c r="Q296" s="165"/>
      <c r="R296" s="165"/>
      <c r="S296" s="165"/>
      <c r="T296" s="165"/>
      <c r="U296" s="165"/>
      <c r="V296" s="165"/>
      <c r="W296" s="165"/>
      <c r="X296" s="165"/>
      <c r="Y296" s="165"/>
      <c r="Z296" s="165"/>
    </row>
    <row r="297" spans="16:26">
      <c r="P297" s="165"/>
      <c r="Q297" s="165"/>
      <c r="R297" s="165"/>
      <c r="S297" s="165"/>
      <c r="T297" s="165"/>
      <c r="U297" s="165"/>
      <c r="V297" s="165"/>
      <c r="W297" s="165"/>
      <c r="X297" s="165"/>
      <c r="Y297" s="165"/>
      <c r="Z297" s="165"/>
    </row>
    <row r="298" spans="16:26">
      <c r="P298" s="165"/>
      <c r="Q298" s="165"/>
      <c r="R298" s="165"/>
      <c r="S298" s="165"/>
      <c r="T298" s="165"/>
      <c r="U298" s="165"/>
      <c r="V298" s="165"/>
      <c r="W298" s="165"/>
      <c r="X298" s="165"/>
      <c r="Y298" s="165"/>
      <c r="Z298" s="165"/>
    </row>
    <row r="299" spans="16:26">
      <c r="P299" s="165"/>
      <c r="Q299" s="165"/>
      <c r="R299" s="165"/>
      <c r="S299" s="165"/>
      <c r="T299" s="165"/>
      <c r="U299" s="165"/>
      <c r="V299" s="165"/>
      <c r="W299" s="165"/>
      <c r="X299" s="165"/>
      <c r="Y299" s="165"/>
      <c r="Z299" s="165"/>
    </row>
    <row r="300" spans="16:26">
      <c r="P300" s="165"/>
      <c r="Q300" s="165"/>
      <c r="R300" s="165"/>
      <c r="S300" s="165"/>
      <c r="T300" s="165"/>
      <c r="U300" s="165"/>
      <c r="V300" s="165"/>
      <c r="W300" s="165"/>
      <c r="X300" s="165"/>
      <c r="Y300" s="165"/>
      <c r="Z300" s="165"/>
    </row>
    <row r="301" spans="16:26">
      <c r="P301" s="165"/>
      <c r="Q301" s="165"/>
      <c r="R301" s="165"/>
      <c r="S301" s="165"/>
      <c r="T301" s="165"/>
      <c r="U301" s="165"/>
      <c r="V301" s="165"/>
      <c r="W301" s="165"/>
      <c r="X301" s="165"/>
      <c r="Y301" s="165"/>
      <c r="Z301" s="165"/>
    </row>
    <row r="302" spans="16:26">
      <c r="P302" s="165"/>
      <c r="Q302" s="165"/>
      <c r="R302" s="165"/>
      <c r="S302" s="165"/>
      <c r="T302" s="165"/>
      <c r="U302" s="165"/>
      <c r="V302" s="165"/>
      <c r="W302" s="165"/>
      <c r="X302" s="165"/>
      <c r="Y302" s="165"/>
      <c r="Z302" s="165"/>
    </row>
    <row r="303" spans="16:26">
      <c r="P303" s="165"/>
      <c r="Q303" s="165"/>
      <c r="R303" s="165"/>
      <c r="S303" s="165"/>
      <c r="T303" s="165"/>
      <c r="U303" s="165"/>
      <c r="V303" s="165"/>
      <c r="W303" s="165"/>
      <c r="X303" s="165"/>
      <c r="Y303" s="165"/>
      <c r="Z303" s="165"/>
    </row>
    <row r="304" spans="16:26">
      <c r="P304" s="165"/>
      <c r="Q304" s="165"/>
      <c r="R304" s="165"/>
      <c r="S304" s="165"/>
      <c r="T304" s="165"/>
      <c r="U304" s="165"/>
      <c r="V304" s="165"/>
      <c r="W304" s="165"/>
      <c r="X304" s="165"/>
      <c r="Y304" s="165"/>
      <c r="Z304" s="165"/>
    </row>
    <row r="305" spans="16:26">
      <c r="P305" s="165"/>
      <c r="Q305" s="165"/>
      <c r="R305" s="165"/>
      <c r="S305" s="165"/>
      <c r="T305" s="165"/>
      <c r="U305" s="165"/>
      <c r="V305" s="165"/>
      <c r="W305" s="165"/>
      <c r="X305" s="165"/>
      <c r="Y305" s="165"/>
      <c r="Z305" s="165"/>
    </row>
    <row r="306" spans="16:26">
      <c r="P306" s="165"/>
      <c r="Q306" s="165"/>
      <c r="R306" s="165"/>
      <c r="S306" s="165"/>
      <c r="T306" s="165"/>
      <c r="U306" s="165"/>
      <c r="V306" s="165"/>
      <c r="W306" s="165"/>
      <c r="X306" s="165"/>
      <c r="Y306" s="165"/>
      <c r="Z306" s="165"/>
    </row>
    <row r="307" spans="16:26">
      <c r="P307" s="165"/>
      <c r="Q307" s="165"/>
      <c r="R307" s="165"/>
      <c r="S307" s="165"/>
      <c r="T307" s="165"/>
      <c r="U307" s="165"/>
      <c r="V307" s="165"/>
      <c r="W307" s="165"/>
      <c r="X307" s="165"/>
      <c r="Y307" s="165"/>
      <c r="Z307" s="165"/>
    </row>
    <row r="308" spans="16:26">
      <c r="P308" s="165"/>
      <c r="Q308" s="165"/>
      <c r="R308" s="165"/>
      <c r="S308" s="165"/>
      <c r="T308" s="165"/>
      <c r="U308" s="165"/>
      <c r="V308" s="165"/>
      <c r="W308" s="165"/>
      <c r="X308" s="165"/>
      <c r="Y308" s="165"/>
      <c r="Z308" s="165"/>
    </row>
    <row r="309" spans="16:26">
      <c r="P309" s="165"/>
      <c r="Q309" s="165"/>
      <c r="R309" s="165"/>
      <c r="S309" s="165"/>
      <c r="T309" s="165"/>
      <c r="U309" s="165"/>
      <c r="V309" s="165"/>
      <c r="W309" s="165"/>
      <c r="X309" s="165"/>
      <c r="Y309" s="165"/>
      <c r="Z309" s="165"/>
    </row>
    <row r="310" spans="16:26">
      <c r="P310" s="165"/>
      <c r="Q310" s="165"/>
      <c r="R310" s="165"/>
      <c r="S310" s="165"/>
      <c r="T310" s="165"/>
      <c r="U310" s="165"/>
      <c r="V310" s="165"/>
      <c r="W310" s="165"/>
      <c r="X310" s="165"/>
      <c r="Y310" s="165"/>
      <c r="Z310" s="165"/>
    </row>
    <row r="311" spans="16:26">
      <c r="P311" s="165"/>
      <c r="Q311" s="165"/>
      <c r="R311" s="165"/>
      <c r="S311" s="165"/>
      <c r="T311" s="165"/>
      <c r="U311" s="165"/>
      <c r="V311" s="165"/>
      <c r="W311" s="165"/>
      <c r="X311" s="165"/>
      <c r="Y311" s="165"/>
      <c r="Z311" s="165"/>
    </row>
    <row r="312" spans="16:26">
      <c r="P312" s="165"/>
      <c r="Q312" s="165"/>
      <c r="R312" s="165"/>
      <c r="S312" s="165"/>
      <c r="T312" s="165"/>
      <c r="U312" s="165"/>
      <c r="V312" s="165"/>
      <c r="W312" s="165"/>
      <c r="X312" s="165"/>
      <c r="Y312" s="165"/>
      <c r="Z312" s="165"/>
    </row>
    <row r="313" spans="16:26">
      <c r="P313" s="165"/>
      <c r="Q313" s="165"/>
      <c r="R313" s="165"/>
      <c r="S313" s="165"/>
      <c r="T313" s="165"/>
      <c r="U313" s="165"/>
      <c r="V313" s="165"/>
      <c r="W313" s="165"/>
      <c r="X313" s="165"/>
      <c r="Y313" s="165"/>
      <c r="Z313" s="165"/>
    </row>
    <row r="314" spans="16:26">
      <c r="P314" s="165"/>
      <c r="Q314" s="165"/>
      <c r="R314" s="165"/>
      <c r="S314" s="165"/>
      <c r="T314" s="165"/>
      <c r="U314" s="165"/>
      <c r="V314" s="165"/>
      <c r="W314" s="165"/>
      <c r="X314" s="165"/>
      <c r="Y314" s="165"/>
      <c r="Z314" s="165"/>
    </row>
    <row r="315" spans="16:26">
      <c r="P315" s="165"/>
      <c r="Q315" s="165"/>
      <c r="R315" s="165"/>
      <c r="S315" s="165"/>
      <c r="T315" s="165"/>
      <c r="U315" s="165"/>
      <c r="V315" s="165"/>
      <c r="W315" s="165"/>
      <c r="X315" s="165"/>
      <c r="Y315" s="165"/>
      <c r="Z315" s="165"/>
    </row>
    <row r="316" spans="16:26">
      <c r="P316" s="165"/>
      <c r="Q316" s="165"/>
      <c r="R316" s="165"/>
      <c r="S316" s="165"/>
      <c r="T316" s="165"/>
      <c r="U316" s="165"/>
      <c r="V316" s="165"/>
      <c r="W316" s="165"/>
      <c r="X316" s="165"/>
      <c r="Y316" s="165"/>
      <c r="Z316" s="165"/>
    </row>
    <row r="317" spans="16:26">
      <c r="P317" s="165"/>
      <c r="Q317" s="165"/>
      <c r="R317" s="165"/>
      <c r="S317" s="165"/>
      <c r="T317" s="165"/>
      <c r="U317" s="165"/>
      <c r="V317" s="165"/>
      <c r="W317" s="165"/>
      <c r="X317" s="165"/>
      <c r="Y317" s="165"/>
      <c r="Z317" s="165"/>
    </row>
    <row r="318" spans="16:26">
      <c r="P318" s="165"/>
      <c r="Q318" s="165"/>
      <c r="R318" s="165"/>
      <c r="S318" s="165"/>
      <c r="T318" s="165"/>
      <c r="U318" s="165"/>
      <c r="V318" s="165"/>
      <c r="W318" s="165"/>
      <c r="X318" s="165"/>
      <c r="Y318" s="165"/>
      <c r="Z318" s="165"/>
    </row>
    <row r="319" spans="16:26">
      <c r="P319" s="165"/>
      <c r="Q319" s="165"/>
      <c r="R319" s="165"/>
      <c r="S319" s="165"/>
      <c r="T319" s="165"/>
      <c r="U319" s="165"/>
      <c r="V319" s="165"/>
      <c r="W319" s="165"/>
      <c r="X319" s="165"/>
      <c r="Y319" s="165"/>
      <c r="Z319" s="165"/>
    </row>
    <row r="320" spans="16:26">
      <c r="P320" s="165"/>
      <c r="Q320" s="165"/>
      <c r="R320" s="165"/>
      <c r="S320" s="165"/>
      <c r="T320" s="165"/>
      <c r="U320" s="165"/>
      <c r="V320" s="165"/>
      <c r="W320" s="165"/>
      <c r="X320" s="165"/>
      <c r="Y320" s="165"/>
      <c r="Z320" s="165"/>
    </row>
    <row r="321" spans="16:26">
      <c r="P321" s="165"/>
      <c r="Q321" s="165"/>
      <c r="R321" s="165"/>
      <c r="S321" s="165"/>
      <c r="T321" s="165"/>
      <c r="U321" s="165"/>
      <c r="V321" s="165"/>
      <c r="W321" s="165"/>
      <c r="X321" s="165"/>
      <c r="Y321" s="165"/>
      <c r="Z321" s="165"/>
    </row>
    <row r="322" spans="16:26">
      <c r="P322" s="165"/>
      <c r="Q322" s="165"/>
      <c r="R322" s="165"/>
      <c r="S322" s="165"/>
      <c r="T322" s="165"/>
      <c r="U322" s="165"/>
      <c r="V322" s="165"/>
      <c r="W322" s="165"/>
      <c r="X322" s="165"/>
      <c r="Y322" s="165"/>
      <c r="Z322" s="165"/>
    </row>
    <row r="323" spans="16:26">
      <c r="P323" s="165"/>
      <c r="Q323" s="165"/>
      <c r="R323" s="165"/>
      <c r="S323" s="165"/>
      <c r="T323" s="165"/>
      <c r="U323" s="165"/>
      <c r="V323" s="165"/>
      <c r="W323" s="165"/>
      <c r="X323" s="165"/>
      <c r="Y323" s="165"/>
      <c r="Z323" s="165"/>
    </row>
    <row r="324" spans="16:26">
      <c r="P324" s="165"/>
      <c r="Q324" s="165"/>
      <c r="R324" s="165"/>
      <c r="S324" s="165"/>
      <c r="T324" s="165"/>
      <c r="U324" s="165"/>
      <c r="V324" s="165"/>
      <c r="W324" s="165"/>
      <c r="X324" s="165"/>
      <c r="Y324" s="165"/>
      <c r="Z324" s="165"/>
    </row>
    <row r="325" spans="16:26">
      <c r="P325" s="165"/>
      <c r="Q325" s="165"/>
      <c r="R325" s="165"/>
      <c r="S325" s="165"/>
      <c r="T325" s="165"/>
      <c r="U325" s="165"/>
      <c r="V325" s="165"/>
      <c r="W325" s="165"/>
      <c r="X325" s="165"/>
      <c r="Y325" s="165"/>
      <c r="Z325" s="165"/>
    </row>
    <row r="326" spans="16:26">
      <c r="P326" s="165"/>
      <c r="Q326" s="165"/>
      <c r="R326" s="165"/>
      <c r="S326" s="165"/>
      <c r="T326" s="165"/>
      <c r="U326" s="165"/>
      <c r="V326" s="165"/>
      <c r="W326" s="165"/>
      <c r="X326" s="165"/>
      <c r="Y326" s="165"/>
      <c r="Z326" s="165"/>
    </row>
    <row r="327" spans="16:26">
      <c r="P327" s="165"/>
      <c r="Q327" s="165"/>
      <c r="R327" s="165"/>
      <c r="S327" s="165"/>
      <c r="T327" s="165"/>
      <c r="U327" s="165"/>
      <c r="V327" s="165"/>
      <c r="W327" s="165"/>
      <c r="X327" s="165"/>
      <c r="Y327" s="165"/>
      <c r="Z327" s="165"/>
    </row>
    <row r="328" spans="16:26">
      <c r="P328" s="165"/>
      <c r="Q328" s="165"/>
      <c r="R328" s="165"/>
      <c r="S328" s="165"/>
      <c r="T328" s="165"/>
      <c r="U328" s="165"/>
      <c r="V328" s="165"/>
      <c r="W328" s="165"/>
      <c r="X328" s="165"/>
      <c r="Y328" s="165"/>
      <c r="Z328" s="165"/>
    </row>
    <row r="329" spans="16:26">
      <c r="P329" s="165"/>
      <c r="Q329" s="165"/>
      <c r="R329" s="165"/>
      <c r="S329" s="165"/>
      <c r="T329" s="165"/>
      <c r="U329" s="165"/>
      <c r="V329" s="165"/>
      <c r="W329" s="165"/>
      <c r="X329" s="165"/>
      <c r="Y329" s="165"/>
      <c r="Z329" s="165"/>
    </row>
    <row r="330" spans="16:26">
      <c r="P330" s="165"/>
      <c r="Q330" s="165"/>
      <c r="R330" s="165"/>
      <c r="S330" s="165"/>
      <c r="T330" s="165"/>
      <c r="U330" s="165"/>
      <c r="V330" s="165"/>
      <c r="W330" s="165"/>
      <c r="X330" s="165"/>
      <c r="Y330" s="165"/>
      <c r="Z330" s="165"/>
    </row>
    <row r="331" spans="16:26">
      <c r="P331" s="165"/>
      <c r="Q331" s="165"/>
      <c r="R331" s="165"/>
      <c r="S331" s="165"/>
      <c r="T331" s="165"/>
      <c r="U331" s="165"/>
      <c r="V331" s="165"/>
      <c r="W331" s="165"/>
      <c r="X331" s="165"/>
      <c r="Y331" s="165"/>
      <c r="Z331" s="165"/>
    </row>
    <row r="332" spans="16:26">
      <c r="P332" s="165"/>
      <c r="Q332" s="165"/>
      <c r="R332" s="165"/>
      <c r="S332" s="165"/>
      <c r="T332" s="165"/>
      <c r="U332" s="165"/>
      <c r="V332" s="165"/>
      <c r="W332" s="165"/>
      <c r="X332" s="165"/>
      <c r="Y332" s="165"/>
      <c r="Z332" s="165"/>
    </row>
    <row r="333" spans="16:26">
      <c r="P333" s="165"/>
      <c r="Q333" s="165"/>
      <c r="R333" s="165"/>
      <c r="S333" s="165"/>
      <c r="T333" s="165"/>
      <c r="U333" s="165"/>
      <c r="V333" s="165"/>
      <c r="W333" s="165"/>
      <c r="X333" s="165"/>
      <c r="Y333" s="165"/>
      <c r="Z333" s="165"/>
    </row>
    <row r="334" spans="16:26">
      <c r="P334" s="165"/>
      <c r="Q334" s="165"/>
      <c r="R334" s="165"/>
      <c r="S334" s="165"/>
      <c r="T334" s="165"/>
      <c r="U334" s="165"/>
      <c r="V334" s="165"/>
      <c r="W334" s="165"/>
      <c r="X334" s="165"/>
      <c r="Y334" s="165"/>
      <c r="Z334" s="165"/>
    </row>
    <row r="335" spans="16:26">
      <c r="P335" s="165"/>
      <c r="Q335" s="165"/>
      <c r="R335" s="165"/>
      <c r="S335" s="165"/>
      <c r="T335" s="165"/>
      <c r="U335" s="165"/>
      <c r="V335" s="165"/>
      <c r="W335" s="165"/>
      <c r="X335" s="165"/>
      <c r="Y335" s="165"/>
      <c r="Z335" s="165"/>
    </row>
    <row r="336" spans="16:26">
      <c r="P336" s="165"/>
      <c r="Q336" s="165"/>
      <c r="R336" s="165"/>
      <c r="S336" s="165"/>
      <c r="T336" s="165"/>
      <c r="U336" s="165"/>
      <c r="V336" s="165"/>
      <c r="W336" s="165"/>
      <c r="X336" s="165"/>
      <c r="Y336" s="165"/>
      <c r="Z336" s="165"/>
    </row>
    <row r="337" spans="16:26">
      <c r="P337" s="165"/>
      <c r="Q337" s="165"/>
      <c r="R337" s="165"/>
      <c r="S337" s="165"/>
      <c r="T337" s="165"/>
      <c r="U337" s="165"/>
      <c r="V337" s="165"/>
      <c r="W337" s="165"/>
      <c r="X337" s="165"/>
      <c r="Y337" s="165"/>
      <c r="Z337" s="165"/>
    </row>
    <row r="338" spans="16:26">
      <c r="P338" s="165"/>
      <c r="Q338" s="165"/>
      <c r="R338" s="165"/>
      <c r="S338" s="165"/>
      <c r="T338" s="165"/>
      <c r="U338" s="165"/>
      <c r="V338" s="165"/>
      <c r="W338" s="165"/>
      <c r="X338" s="165"/>
      <c r="Y338" s="165"/>
      <c r="Z338" s="165"/>
    </row>
    <row r="339" spans="16:26">
      <c r="P339" s="165"/>
      <c r="Q339" s="165"/>
      <c r="R339" s="165"/>
      <c r="S339" s="165"/>
      <c r="T339" s="165"/>
      <c r="U339" s="165"/>
      <c r="V339" s="165"/>
      <c r="W339" s="165"/>
      <c r="X339" s="165"/>
      <c r="Y339" s="165"/>
      <c r="Z339" s="165"/>
    </row>
    <row r="340" spans="16:26">
      <c r="P340" s="165"/>
      <c r="Q340" s="165"/>
      <c r="R340" s="165"/>
      <c r="S340" s="165"/>
      <c r="T340" s="165"/>
      <c r="U340" s="165"/>
      <c r="V340" s="165"/>
      <c r="W340" s="165"/>
      <c r="X340" s="165"/>
      <c r="Y340" s="165"/>
      <c r="Z340" s="165"/>
    </row>
    <row r="341" spans="16:26">
      <c r="P341" s="165"/>
      <c r="Q341" s="165"/>
      <c r="R341" s="165"/>
      <c r="S341" s="165"/>
      <c r="T341" s="165"/>
      <c r="U341" s="165"/>
      <c r="V341" s="165"/>
      <c r="W341" s="165"/>
      <c r="X341" s="165"/>
      <c r="Y341" s="165"/>
      <c r="Z341" s="165"/>
    </row>
    <row r="342" spans="16:26">
      <c r="P342" s="165"/>
      <c r="Q342" s="165"/>
      <c r="R342" s="165"/>
      <c r="S342" s="165"/>
      <c r="T342" s="165"/>
      <c r="U342" s="165"/>
      <c r="V342" s="165"/>
      <c r="W342" s="165"/>
      <c r="X342" s="165"/>
      <c r="Y342" s="165"/>
      <c r="Z342" s="165"/>
    </row>
    <row r="343" spans="16:26">
      <c r="P343" s="165"/>
      <c r="Q343" s="165"/>
      <c r="R343" s="165"/>
      <c r="S343" s="165"/>
      <c r="T343" s="165"/>
      <c r="U343" s="165"/>
      <c r="V343" s="165"/>
      <c r="W343" s="165"/>
      <c r="X343" s="165"/>
      <c r="Y343" s="165"/>
      <c r="Z343" s="165"/>
    </row>
    <row r="344" spans="16:26">
      <c r="P344" s="165"/>
      <c r="Q344" s="165"/>
      <c r="R344" s="165"/>
      <c r="S344" s="165"/>
      <c r="T344" s="165"/>
      <c r="U344" s="165"/>
      <c r="V344" s="165"/>
      <c r="W344" s="165"/>
      <c r="X344" s="165"/>
      <c r="Y344" s="165"/>
      <c r="Z344" s="165"/>
    </row>
    <row r="345" spans="16:26">
      <c r="P345" s="165"/>
      <c r="Q345" s="165"/>
      <c r="R345" s="165"/>
      <c r="S345" s="165"/>
      <c r="T345" s="165"/>
      <c r="U345" s="165"/>
      <c r="V345" s="165"/>
      <c r="W345" s="165"/>
      <c r="X345" s="165"/>
      <c r="Y345" s="165"/>
      <c r="Z345" s="165"/>
    </row>
    <row r="346" spans="16:26">
      <c r="P346" s="165"/>
      <c r="Q346" s="165"/>
      <c r="R346" s="165"/>
      <c r="S346" s="165"/>
      <c r="T346" s="165"/>
      <c r="U346" s="165"/>
      <c r="V346" s="165"/>
      <c r="W346" s="165"/>
      <c r="X346" s="165"/>
      <c r="Y346" s="165"/>
      <c r="Z346" s="165"/>
    </row>
    <row r="347" spans="16:26">
      <c r="P347" s="165"/>
      <c r="Q347" s="165"/>
      <c r="R347" s="165"/>
      <c r="S347" s="165"/>
      <c r="T347" s="165"/>
      <c r="U347" s="165"/>
      <c r="V347" s="165"/>
      <c r="W347" s="165"/>
      <c r="X347" s="165"/>
      <c r="Y347" s="165"/>
      <c r="Z347" s="165"/>
    </row>
    <row r="348" spans="16:26">
      <c r="P348" s="165"/>
      <c r="Q348" s="165"/>
      <c r="R348" s="165"/>
      <c r="S348" s="165"/>
      <c r="T348" s="165"/>
      <c r="U348" s="165"/>
      <c r="V348" s="165"/>
      <c r="W348" s="165"/>
      <c r="X348" s="165"/>
      <c r="Y348" s="165"/>
      <c r="Z348" s="165"/>
    </row>
    <row r="349" spans="16:26">
      <c r="P349" s="165"/>
      <c r="Q349" s="165"/>
      <c r="R349" s="165"/>
      <c r="S349" s="165"/>
      <c r="T349" s="165"/>
      <c r="U349" s="165"/>
      <c r="V349" s="165"/>
      <c r="W349" s="165"/>
      <c r="X349" s="165"/>
      <c r="Y349" s="165"/>
      <c r="Z349" s="165"/>
    </row>
    <row r="350" spans="16:26">
      <c r="P350" s="165"/>
      <c r="Q350" s="165"/>
      <c r="R350" s="165"/>
      <c r="S350" s="165"/>
      <c r="T350" s="165"/>
      <c r="U350" s="165"/>
      <c r="V350" s="165"/>
      <c r="W350" s="165"/>
      <c r="X350" s="165"/>
      <c r="Y350" s="165"/>
      <c r="Z350" s="165"/>
    </row>
    <row r="351" spans="16:26">
      <c r="P351" s="165"/>
      <c r="Q351" s="165"/>
      <c r="R351" s="165"/>
      <c r="S351" s="165"/>
      <c r="T351" s="165"/>
      <c r="U351" s="165"/>
      <c r="V351" s="165"/>
      <c r="W351" s="165"/>
      <c r="X351" s="165"/>
      <c r="Y351" s="165"/>
      <c r="Z351" s="165"/>
    </row>
    <row r="352" spans="16:26">
      <c r="P352" s="165"/>
      <c r="Q352" s="165"/>
      <c r="R352" s="165"/>
      <c r="S352" s="165"/>
      <c r="T352" s="165"/>
      <c r="U352" s="165"/>
      <c r="V352" s="165"/>
      <c r="W352" s="165"/>
      <c r="X352" s="165"/>
      <c r="Y352" s="165"/>
      <c r="Z352" s="165"/>
    </row>
    <row r="353" spans="16:26">
      <c r="P353" s="165"/>
      <c r="Q353" s="165"/>
      <c r="R353" s="165"/>
      <c r="S353" s="165"/>
      <c r="T353" s="165"/>
      <c r="U353" s="165"/>
      <c r="V353" s="165"/>
      <c r="W353" s="165"/>
      <c r="X353" s="165"/>
      <c r="Y353" s="165"/>
      <c r="Z353" s="165"/>
    </row>
    <row r="354" spans="16:26">
      <c r="P354" s="165"/>
      <c r="Q354" s="165"/>
      <c r="R354" s="165"/>
      <c r="S354" s="165"/>
      <c r="T354" s="165"/>
      <c r="U354" s="165"/>
      <c r="V354" s="165"/>
      <c r="W354" s="165"/>
      <c r="X354" s="165"/>
      <c r="Y354" s="165"/>
      <c r="Z354" s="165"/>
    </row>
    <row r="355" spans="16:26">
      <c r="P355" s="165"/>
      <c r="Q355" s="165"/>
      <c r="R355" s="165"/>
      <c r="S355" s="165"/>
      <c r="T355" s="165"/>
      <c r="U355" s="165"/>
      <c r="V355" s="165"/>
      <c r="W355" s="165"/>
      <c r="X355" s="165"/>
      <c r="Y355" s="165"/>
      <c r="Z355" s="165"/>
    </row>
    <row r="356" spans="16:26">
      <c r="P356" s="165"/>
      <c r="Q356" s="165"/>
      <c r="R356" s="165"/>
      <c r="S356" s="165"/>
      <c r="T356" s="165"/>
      <c r="U356" s="165"/>
      <c r="V356" s="165"/>
      <c r="W356" s="165"/>
      <c r="X356" s="165"/>
      <c r="Y356" s="165"/>
      <c r="Z356" s="165"/>
    </row>
    <row r="357" spans="16:26">
      <c r="P357" s="165"/>
      <c r="Q357" s="165"/>
      <c r="R357" s="165"/>
      <c r="S357" s="165"/>
      <c r="T357" s="165"/>
      <c r="U357" s="165"/>
      <c r="V357" s="165"/>
      <c r="W357" s="165"/>
      <c r="X357" s="165"/>
      <c r="Y357" s="165"/>
      <c r="Z357" s="165"/>
    </row>
    <row r="358" spans="16:26">
      <c r="P358" s="165"/>
      <c r="Q358" s="165"/>
      <c r="R358" s="165"/>
      <c r="S358" s="165"/>
      <c r="T358" s="165"/>
      <c r="U358" s="165"/>
      <c r="V358" s="165"/>
      <c r="W358" s="165"/>
      <c r="X358" s="165"/>
      <c r="Y358" s="165"/>
      <c r="Z358" s="165"/>
    </row>
    <row r="359" spans="16:26">
      <c r="P359" s="165"/>
      <c r="Q359" s="165"/>
      <c r="R359" s="165"/>
      <c r="S359" s="165"/>
      <c r="T359" s="165"/>
      <c r="U359" s="165"/>
      <c r="V359" s="165"/>
      <c r="W359" s="165"/>
      <c r="X359" s="165"/>
      <c r="Y359" s="165"/>
      <c r="Z359" s="165"/>
    </row>
    <row r="360" spans="16:26">
      <c r="P360" s="165"/>
      <c r="Q360" s="165"/>
      <c r="R360" s="165"/>
      <c r="S360" s="165"/>
      <c r="T360" s="165"/>
      <c r="U360" s="165"/>
      <c r="V360" s="165"/>
      <c r="W360" s="165"/>
      <c r="X360" s="165"/>
      <c r="Y360" s="165"/>
      <c r="Z360" s="165"/>
    </row>
    <row r="361" spans="16:26">
      <c r="P361" s="165"/>
      <c r="Q361" s="165"/>
      <c r="R361" s="165"/>
      <c r="S361" s="165"/>
      <c r="T361" s="165"/>
      <c r="U361" s="165"/>
      <c r="V361" s="165"/>
      <c r="W361" s="165"/>
      <c r="X361" s="165"/>
      <c r="Y361" s="165"/>
      <c r="Z361" s="165"/>
    </row>
    <row r="362" spans="16:26">
      <c r="P362" s="165"/>
      <c r="Q362" s="165"/>
      <c r="R362" s="165"/>
      <c r="S362" s="165"/>
      <c r="T362" s="165"/>
      <c r="U362" s="165"/>
      <c r="V362" s="165"/>
      <c r="W362" s="165"/>
      <c r="X362" s="165"/>
      <c r="Y362" s="165"/>
      <c r="Z362" s="165"/>
    </row>
    <row r="363" spans="16:26">
      <c r="P363" s="165"/>
      <c r="Q363" s="165"/>
      <c r="R363" s="165"/>
      <c r="S363" s="165"/>
      <c r="T363" s="165"/>
      <c r="U363" s="165"/>
      <c r="V363" s="165"/>
      <c r="W363" s="165"/>
      <c r="X363" s="165"/>
      <c r="Y363" s="165"/>
      <c r="Z363" s="165"/>
    </row>
    <row r="364" spans="16:26">
      <c r="P364" s="165"/>
      <c r="Q364" s="165"/>
      <c r="R364" s="165"/>
      <c r="S364" s="165"/>
      <c r="T364" s="165"/>
      <c r="U364" s="165"/>
      <c r="V364" s="165"/>
      <c r="W364" s="165"/>
      <c r="X364" s="165"/>
      <c r="Y364" s="165"/>
      <c r="Z364" s="165"/>
    </row>
    <row r="365" spans="16:26">
      <c r="P365" s="165"/>
      <c r="Q365" s="165"/>
      <c r="R365" s="165"/>
      <c r="S365" s="165"/>
      <c r="T365" s="165"/>
      <c r="U365" s="165"/>
      <c r="V365" s="165"/>
      <c r="W365" s="165"/>
      <c r="X365" s="165"/>
      <c r="Y365" s="165"/>
      <c r="Z365" s="165"/>
    </row>
    <row r="366" spans="16:26">
      <c r="P366" s="165"/>
      <c r="Q366" s="165"/>
      <c r="R366" s="165"/>
      <c r="S366" s="165"/>
      <c r="T366" s="165"/>
      <c r="U366" s="165"/>
      <c r="V366" s="165"/>
      <c r="W366" s="165"/>
      <c r="X366" s="165"/>
      <c r="Y366" s="165"/>
      <c r="Z366" s="165"/>
    </row>
    <row r="367" spans="16:26">
      <c r="P367" s="165"/>
      <c r="Q367" s="165"/>
      <c r="R367" s="165"/>
      <c r="S367" s="165"/>
      <c r="T367" s="165"/>
      <c r="U367" s="165"/>
      <c r="V367" s="165"/>
      <c r="W367" s="165"/>
      <c r="X367" s="165"/>
      <c r="Y367" s="165"/>
      <c r="Z367" s="165"/>
    </row>
    <row r="368" spans="16:26">
      <c r="P368" s="165"/>
      <c r="Q368" s="165"/>
      <c r="R368" s="165"/>
      <c r="S368" s="165"/>
      <c r="T368" s="165"/>
      <c r="U368" s="165"/>
      <c r="V368" s="165"/>
      <c r="W368" s="165"/>
      <c r="X368" s="165"/>
      <c r="Y368" s="165"/>
      <c r="Z368" s="165"/>
    </row>
    <row r="369" spans="16:26">
      <c r="P369" s="165"/>
      <c r="Q369" s="165"/>
      <c r="R369" s="165"/>
      <c r="S369" s="165"/>
      <c r="T369" s="165"/>
      <c r="U369" s="165"/>
      <c r="V369" s="165"/>
      <c r="W369" s="165"/>
      <c r="X369" s="165"/>
      <c r="Y369" s="165"/>
      <c r="Z369" s="165"/>
    </row>
    <row r="370" spans="16:26">
      <c r="P370" s="165"/>
      <c r="Q370" s="165"/>
      <c r="R370" s="165"/>
      <c r="S370" s="165"/>
      <c r="T370" s="165"/>
      <c r="U370" s="165"/>
      <c r="V370" s="165"/>
      <c r="W370" s="165"/>
      <c r="X370" s="165"/>
      <c r="Y370" s="165"/>
      <c r="Z370" s="165"/>
    </row>
    <row r="371" spans="16:26">
      <c r="P371" s="165"/>
      <c r="Q371" s="165"/>
      <c r="R371" s="165"/>
      <c r="S371" s="165"/>
      <c r="T371" s="165"/>
      <c r="U371" s="165"/>
      <c r="V371" s="165"/>
      <c r="W371" s="165"/>
      <c r="X371" s="165"/>
      <c r="Y371" s="165"/>
      <c r="Z371" s="165"/>
    </row>
    <row r="372" spans="16:26">
      <c r="P372" s="165"/>
      <c r="Q372" s="165"/>
      <c r="R372" s="165"/>
      <c r="S372" s="165"/>
      <c r="T372" s="165"/>
      <c r="U372" s="165"/>
      <c r="V372" s="165"/>
      <c r="W372" s="165"/>
      <c r="X372" s="165"/>
      <c r="Y372" s="165"/>
      <c r="Z372" s="165"/>
    </row>
    <row r="373" spans="16:26">
      <c r="P373" s="165"/>
      <c r="Q373" s="165"/>
      <c r="R373" s="165"/>
      <c r="S373" s="165"/>
      <c r="T373" s="165"/>
      <c r="U373" s="165"/>
      <c r="V373" s="165"/>
      <c r="W373" s="165"/>
      <c r="X373" s="165"/>
      <c r="Y373" s="165"/>
      <c r="Z373" s="165"/>
    </row>
    <row r="374" spans="16:26">
      <c r="P374" s="165"/>
      <c r="Q374" s="165"/>
      <c r="R374" s="165"/>
      <c r="S374" s="165"/>
      <c r="T374" s="165"/>
      <c r="U374" s="165"/>
      <c r="V374" s="165"/>
      <c r="W374" s="165"/>
      <c r="X374" s="165"/>
      <c r="Y374" s="165"/>
      <c r="Z374" s="165"/>
    </row>
    <row r="375" spans="16:26">
      <c r="P375" s="165"/>
      <c r="Q375" s="165"/>
      <c r="R375" s="165"/>
      <c r="S375" s="165"/>
      <c r="T375" s="165"/>
      <c r="U375" s="165"/>
      <c r="V375" s="165"/>
      <c r="W375" s="165"/>
      <c r="X375" s="165"/>
      <c r="Y375" s="165"/>
      <c r="Z375" s="165"/>
    </row>
    <row r="376" spans="16:26">
      <c r="P376" s="165"/>
      <c r="Q376" s="165"/>
      <c r="R376" s="165"/>
      <c r="S376" s="165"/>
      <c r="T376" s="165"/>
      <c r="U376" s="165"/>
      <c r="V376" s="165"/>
      <c r="W376" s="165"/>
      <c r="X376" s="165"/>
      <c r="Y376" s="165"/>
      <c r="Z376" s="165"/>
    </row>
    <row r="377" spans="16:26">
      <c r="P377" s="165"/>
      <c r="Q377" s="165"/>
      <c r="R377" s="165"/>
      <c r="S377" s="165"/>
      <c r="T377" s="165"/>
      <c r="U377" s="165"/>
      <c r="V377" s="165"/>
      <c r="W377" s="165"/>
      <c r="X377" s="165"/>
      <c r="Y377" s="165"/>
      <c r="Z377" s="165"/>
    </row>
    <row r="378" spans="16:26">
      <c r="P378" s="165"/>
      <c r="Q378" s="165"/>
      <c r="R378" s="165"/>
      <c r="S378" s="165"/>
      <c r="T378" s="165"/>
      <c r="U378" s="165"/>
      <c r="V378" s="165"/>
      <c r="W378" s="165"/>
      <c r="X378" s="165"/>
      <c r="Y378" s="165"/>
      <c r="Z378" s="165"/>
    </row>
    <row r="379" spans="16:26">
      <c r="P379" s="165"/>
      <c r="Q379" s="165"/>
      <c r="R379" s="165"/>
      <c r="S379" s="165"/>
      <c r="T379" s="165"/>
      <c r="U379" s="165"/>
      <c r="V379" s="165"/>
      <c r="W379" s="165"/>
      <c r="X379" s="165"/>
      <c r="Y379" s="165"/>
      <c r="Z379" s="165"/>
    </row>
    <row r="380" spans="16:26">
      <c r="P380" s="165"/>
      <c r="Q380" s="165"/>
      <c r="R380" s="165"/>
      <c r="S380" s="165"/>
      <c r="T380" s="165"/>
      <c r="U380" s="165"/>
      <c r="V380" s="165"/>
      <c r="W380" s="165"/>
      <c r="X380" s="165"/>
      <c r="Y380" s="165"/>
      <c r="Z380" s="165"/>
    </row>
    <row r="381" spans="16:26">
      <c r="P381" s="165"/>
      <c r="Q381" s="165"/>
      <c r="R381" s="165"/>
      <c r="S381" s="165"/>
      <c r="T381" s="165"/>
      <c r="U381" s="165"/>
      <c r="V381" s="165"/>
      <c r="W381" s="165"/>
      <c r="X381" s="165"/>
      <c r="Y381" s="165"/>
      <c r="Z381" s="165"/>
    </row>
    <row r="382" spans="16:26">
      <c r="P382" s="165"/>
      <c r="Q382" s="165"/>
      <c r="R382" s="165"/>
      <c r="S382" s="165"/>
      <c r="T382" s="165"/>
      <c r="U382" s="165"/>
      <c r="V382" s="165"/>
      <c r="W382" s="165"/>
      <c r="X382" s="165"/>
      <c r="Y382" s="165"/>
      <c r="Z382" s="165"/>
    </row>
    <row r="383" spans="16:26">
      <c r="P383" s="165"/>
      <c r="Q383" s="165"/>
      <c r="R383" s="165"/>
      <c r="S383" s="165"/>
      <c r="T383" s="165"/>
      <c r="U383" s="165"/>
      <c r="V383" s="165"/>
      <c r="W383" s="165"/>
      <c r="X383" s="165"/>
      <c r="Y383" s="165"/>
      <c r="Z383" s="165"/>
    </row>
    <row r="384" spans="16:26">
      <c r="P384" s="165"/>
      <c r="Q384" s="165"/>
      <c r="R384" s="165"/>
      <c r="S384" s="165"/>
      <c r="T384" s="165"/>
      <c r="U384" s="165"/>
      <c r="V384" s="165"/>
      <c r="W384" s="165"/>
      <c r="X384" s="165"/>
      <c r="Y384" s="165"/>
      <c r="Z384" s="165"/>
    </row>
    <row r="385" spans="16:26">
      <c r="P385" s="165"/>
      <c r="Q385" s="165"/>
      <c r="R385" s="165"/>
      <c r="S385" s="165"/>
      <c r="T385" s="165"/>
      <c r="U385" s="165"/>
      <c r="V385" s="165"/>
      <c r="W385" s="165"/>
      <c r="X385" s="165"/>
      <c r="Y385" s="165"/>
      <c r="Z385" s="165"/>
    </row>
    <row r="386" spans="16:26">
      <c r="P386" s="165"/>
      <c r="Q386" s="165"/>
      <c r="R386" s="165"/>
      <c r="S386" s="165"/>
      <c r="T386" s="165"/>
      <c r="U386" s="165"/>
      <c r="V386" s="165"/>
      <c r="W386" s="165"/>
      <c r="X386" s="165"/>
      <c r="Y386" s="165"/>
      <c r="Z386" s="165"/>
    </row>
    <row r="387" spans="16:26">
      <c r="P387" s="165"/>
      <c r="Q387" s="165"/>
      <c r="R387" s="165"/>
      <c r="S387" s="165"/>
      <c r="T387" s="165"/>
      <c r="U387" s="165"/>
      <c r="V387" s="165"/>
      <c r="W387" s="165"/>
      <c r="X387" s="165"/>
      <c r="Y387" s="165"/>
      <c r="Z387" s="165"/>
    </row>
    <row r="388" spans="16:26">
      <c r="P388" s="165"/>
      <c r="Q388" s="165"/>
      <c r="R388" s="165"/>
      <c r="S388" s="165"/>
      <c r="T388" s="165"/>
      <c r="U388" s="165"/>
      <c r="V388" s="165"/>
      <c r="W388" s="165"/>
      <c r="X388" s="165"/>
      <c r="Y388" s="165"/>
      <c r="Z388" s="165"/>
    </row>
    <row r="389" spans="16:26">
      <c r="P389" s="165"/>
      <c r="Q389" s="165"/>
      <c r="R389" s="165"/>
      <c r="S389" s="165"/>
      <c r="T389" s="165"/>
      <c r="U389" s="165"/>
      <c r="V389" s="165"/>
      <c r="W389" s="165"/>
      <c r="X389" s="165"/>
      <c r="Y389" s="165"/>
      <c r="Z389" s="165"/>
    </row>
    <row r="390" spans="16:26">
      <c r="P390" s="165"/>
      <c r="Q390" s="165"/>
      <c r="R390" s="165"/>
      <c r="S390" s="165"/>
      <c r="T390" s="165"/>
      <c r="U390" s="165"/>
      <c r="V390" s="165"/>
      <c r="W390" s="165"/>
      <c r="X390" s="165"/>
      <c r="Y390" s="165"/>
      <c r="Z390" s="165"/>
    </row>
    <row r="391" spans="16:26">
      <c r="P391" s="165"/>
      <c r="Q391" s="165"/>
      <c r="R391" s="165"/>
      <c r="S391" s="165"/>
      <c r="T391" s="165"/>
      <c r="U391" s="165"/>
      <c r="V391" s="165"/>
      <c r="W391" s="165"/>
      <c r="X391" s="165"/>
      <c r="Y391" s="165"/>
      <c r="Z391" s="165"/>
    </row>
    <row r="392" spans="16:26">
      <c r="P392" s="165"/>
      <c r="Q392" s="165"/>
      <c r="R392" s="165"/>
      <c r="S392" s="165"/>
      <c r="T392" s="165"/>
      <c r="U392" s="165"/>
      <c r="V392" s="165"/>
      <c r="W392" s="165"/>
      <c r="X392" s="165"/>
      <c r="Y392" s="165"/>
      <c r="Z392" s="165"/>
    </row>
    <row r="393" spans="16:26">
      <c r="P393" s="165"/>
      <c r="Q393" s="165"/>
      <c r="R393" s="165"/>
      <c r="S393" s="165"/>
      <c r="T393" s="165"/>
      <c r="U393" s="165"/>
      <c r="V393" s="165"/>
      <c r="W393" s="165"/>
      <c r="X393" s="165"/>
      <c r="Y393" s="165"/>
      <c r="Z393" s="165"/>
    </row>
    <row r="394" spans="16:26">
      <c r="P394" s="165"/>
      <c r="Q394" s="165"/>
      <c r="R394" s="165"/>
      <c r="S394" s="165"/>
      <c r="T394" s="165"/>
      <c r="U394" s="165"/>
      <c r="V394" s="165"/>
      <c r="W394" s="165"/>
      <c r="X394" s="165"/>
      <c r="Y394" s="165"/>
      <c r="Z394" s="165"/>
    </row>
    <row r="395" spans="16:26">
      <c r="P395" s="165"/>
      <c r="Q395" s="165"/>
      <c r="R395" s="165"/>
      <c r="S395" s="165"/>
      <c r="T395" s="165"/>
      <c r="U395" s="165"/>
      <c r="V395" s="165"/>
      <c r="W395" s="165"/>
      <c r="X395" s="165"/>
      <c r="Y395" s="165"/>
      <c r="Z395" s="165"/>
    </row>
    <row r="396" spans="16:26">
      <c r="P396" s="165"/>
      <c r="Q396" s="165"/>
      <c r="R396" s="165"/>
      <c r="S396" s="165"/>
      <c r="T396" s="165"/>
      <c r="U396" s="165"/>
      <c r="V396" s="165"/>
      <c r="W396" s="165"/>
      <c r="X396" s="165"/>
      <c r="Y396" s="165"/>
      <c r="Z396" s="165"/>
    </row>
    <row r="397" spans="16:26">
      <c r="P397" s="165"/>
      <c r="Q397" s="165"/>
      <c r="R397" s="165"/>
      <c r="S397" s="165"/>
      <c r="T397" s="165"/>
      <c r="U397" s="165"/>
      <c r="V397" s="165"/>
      <c r="W397" s="165"/>
      <c r="X397" s="165"/>
      <c r="Y397" s="165"/>
      <c r="Z397" s="165"/>
    </row>
    <row r="398" spans="16:26">
      <c r="P398" s="165"/>
      <c r="Q398" s="165"/>
      <c r="R398" s="165"/>
      <c r="S398" s="165"/>
      <c r="T398" s="165"/>
      <c r="U398" s="165"/>
      <c r="V398" s="165"/>
      <c r="W398" s="165"/>
      <c r="X398" s="165"/>
      <c r="Y398" s="165"/>
      <c r="Z398" s="165"/>
    </row>
    <row r="399" spans="16:26">
      <c r="P399" s="165"/>
      <c r="Q399" s="165"/>
      <c r="R399" s="165"/>
      <c r="S399" s="165"/>
      <c r="T399" s="165"/>
      <c r="U399" s="165"/>
      <c r="V399" s="165"/>
      <c r="W399" s="165"/>
      <c r="X399" s="165"/>
      <c r="Y399" s="165"/>
      <c r="Z399" s="165"/>
    </row>
    <row r="400" spans="16:26">
      <c r="P400" s="165"/>
      <c r="Q400" s="165"/>
      <c r="R400" s="165"/>
      <c r="S400" s="165"/>
      <c r="T400" s="165"/>
      <c r="U400" s="165"/>
      <c r="V400" s="165"/>
      <c r="W400" s="165"/>
      <c r="X400" s="165"/>
      <c r="Y400" s="165"/>
      <c r="Z400" s="165"/>
    </row>
    <row r="401" spans="16:26">
      <c r="P401" s="165"/>
      <c r="Q401" s="165"/>
      <c r="R401" s="165"/>
      <c r="S401" s="165"/>
      <c r="T401" s="165"/>
      <c r="U401" s="165"/>
      <c r="V401" s="165"/>
      <c r="W401" s="165"/>
      <c r="X401" s="165"/>
      <c r="Y401" s="165"/>
      <c r="Z401" s="165"/>
    </row>
    <row r="402" spans="16:26">
      <c r="P402" s="165"/>
      <c r="Q402" s="165"/>
      <c r="R402" s="165"/>
      <c r="S402" s="165"/>
      <c r="T402" s="165"/>
      <c r="U402" s="165"/>
      <c r="V402" s="165"/>
      <c r="W402" s="165"/>
      <c r="X402" s="165"/>
      <c r="Y402" s="165"/>
      <c r="Z402" s="165"/>
    </row>
    <row r="403" spans="16:26">
      <c r="P403" s="165"/>
      <c r="Q403" s="165"/>
      <c r="R403" s="165"/>
      <c r="S403" s="165"/>
      <c r="T403" s="165"/>
      <c r="U403" s="165"/>
      <c r="V403" s="165"/>
      <c r="W403" s="165"/>
      <c r="X403" s="165"/>
      <c r="Y403" s="165"/>
      <c r="Z403" s="165"/>
    </row>
    <row r="404" spans="16:26">
      <c r="P404" s="165"/>
      <c r="Q404" s="165"/>
      <c r="R404" s="165"/>
      <c r="S404" s="165"/>
      <c r="T404" s="165"/>
      <c r="U404" s="165"/>
      <c r="V404" s="165"/>
      <c r="W404" s="165"/>
      <c r="X404" s="165"/>
      <c r="Y404" s="165"/>
      <c r="Z404" s="165"/>
    </row>
    <row r="405" spans="16:26">
      <c r="P405" s="165"/>
      <c r="Q405" s="165"/>
      <c r="R405" s="165"/>
      <c r="S405" s="165"/>
      <c r="T405" s="165"/>
      <c r="U405" s="165"/>
      <c r="V405" s="165"/>
      <c r="W405" s="165"/>
      <c r="X405" s="165"/>
      <c r="Y405" s="165"/>
      <c r="Z405" s="165"/>
    </row>
    <row r="406" spans="16:26">
      <c r="P406" s="165"/>
      <c r="Q406" s="165"/>
      <c r="R406" s="165"/>
      <c r="S406" s="165"/>
      <c r="T406" s="165"/>
      <c r="U406" s="165"/>
      <c r="V406" s="165"/>
      <c r="W406" s="165"/>
      <c r="X406" s="165"/>
      <c r="Y406" s="165"/>
      <c r="Z406" s="165"/>
    </row>
    <row r="407" spans="16:26">
      <c r="P407" s="165"/>
      <c r="Q407" s="165"/>
      <c r="R407" s="165"/>
      <c r="S407" s="165"/>
      <c r="T407" s="165"/>
      <c r="U407" s="165"/>
      <c r="V407" s="165"/>
      <c r="W407" s="165"/>
      <c r="X407" s="165"/>
      <c r="Y407" s="165"/>
      <c r="Z407" s="165"/>
    </row>
    <row r="408" spans="16:26">
      <c r="P408" s="165"/>
      <c r="Q408" s="165"/>
      <c r="R408" s="165"/>
      <c r="S408" s="165"/>
      <c r="T408" s="165"/>
      <c r="U408" s="165"/>
      <c r="V408" s="165"/>
      <c r="W408" s="165"/>
      <c r="X408" s="165"/>
      <c r="Y408" s="165"/>
      <c r="Z408" s="165"/>
    </row>
    <row r="409" spans="16:26">
      <c r="P409" s="165"/>
      <c r="Q409" s="165"/>
      <c r="R409" s="165"/>
      <c r="S409" s="165"/>
      <c r="T409" s="165"/>
      <c r="U409" s="165"/>
      <c r="V409" s="165"/>
      <c r="W409" s="165"/>
      <c r="X409" s="165"/>
      <c r="Y409" s="165"/>
      <c r="Z409" s="165"/>
    </row>
    <row r="410" spans="16:26">
      <c r="P410" s="165"/>
      <c r="Q410" s="165"/>
      <c r="R410" s="165"/>
      <c r="S410" s="165"/>
      <c r="T410" s="165"/>
      <c r="U410" s="165"/>
      <c r="V410" s="165"/>
      <c r="W410" s="165"/>
      <c r="X410" s="165"/>
      <c r="Y410" s="165"/>
      <c r="Z410" s="165"/>
    </row>
    <row r="411" spans="16:26">
      <c r="P411" s="165"/>
      <c r="Q411" s="165"/>
      <c r="R411" s="165"/>
      <c r="S411" s="165"/>
      <c r="T411" s="165"/>
      <c r="U411" s="165"/>
      <c r="V411" s="165"/>
      <c r="W411" s="165"/>
      <c r="X411" s="165"/>
      <c r="Y411" s="165"/>
      <c r="Z411" s="165"/>
    </row>
    <row r="412" spans="16:26">
      <c r="P412" s="165"/>
      <c r="Q412" s="165"/>
      <c r="R412" s="165"/>
      <c r="S412" s="165"/>
      <c r="T412" s="165"/>
      <c r="U412" s="165"/>
      <c r="V412" s="165"/>
      <c r="W412" s="165"/>
      <c r="X412" s="165"/>
      <c r="Y412" s="165"/>
      <c r="Z412" s="165"/>
    </row>
    <row r="413" spans="16:26">
      <c r="P413" s="165"/>
      <c r="Q413" s="165"/>
      <c r="R413" s="165"/>
      <c r="S413" s="165"/>
      <c r="T413" s="165"/>
      <c r="U413" s="165"/>
      <c r="V413" s="165"/>
      <c r="W413" s="165"/>
      <c r="X413" s="165"/>
      <c r="Y413" s="165"/>
      <c r="Z413" s="165"/>
    </row>
    <row r="414" spans="16:26">
      <c r="P414" s="165"/>
      <c r="Q414" s="165"/>
      <c r="R414" s="165"/>
      <c r="S414" s="165"/>
      <c r="T414" s="165"/>
      <c r="U414" s="165"/>
      <c r="V414" s="165"/>
      <c r="W414" s="165"/>
      <c r="X414" s="165"/>
      <c r="Y414" s="165"/>
      <c r="Z414" s="165"/>
    </row>
    <row r="415" spans="16:26">
      <c r="P415" s="165"/>
      <c r="Q415" s="165"/>
      <c r="R415" s="165"/>
      <c r="S415" s="165"/>
      <c r="T415" s="165"/>
      <c r="U415" s="165"/>
      <c r="V415" s="165"/>
      <c r="W415" s="165"/>
      <c r="X415" s="165"/>
      <c r="Y415" s="165"/>
      <c r="Z415" s="165"/>
    </row>
    <row r="416" spans="16:26">
      <c r="P416" s="165"/>
      <c r="Q416" s="165"/>
      <c r="R416" s="165"/>
      <c r="S416" s="165"/>
      <c r="T416" s="165"/>
      <c r="U416" s="165"/>
      <c r="V416" s="165"/>
      <c r="W416" s="165"/>
      <c r="X416" s="165"/>
      <c r="Y416" s="165"/>
      <c r="Z416" s="165"/>
    </row>
    <row r="417" spans="16:26">
      <c r="P417" s="165"/>
      <c r="Q417" s="165"/>
      <c r="R417" s="165"/>
      <c r="S417" s="165"/>
      <c r="T417" s="165"/>
      <c r="U417" s="165"/>
      <c r="V417" s="165"/>
      <c r="W417" s="165"/>
      <c r="X417" s="165"/>
      <c r="Y417" s="165"/>
      <c r="Z417" s="165"/>
    </row>
    <row r="418" spans="16:26">
      <c r="P418" s="165"/>
      <c r="Q418" s="165"/>
      <c r="R418" s="165"/>
      <c r="S418" s="165"/>
      <c r="T418" s="165"/>
      <c r="U418" s="165"/>
      <c r="V418" s="165"/>
      <c r="W418" s="165"/>
      <c r="X418" s="165"/>
      <c r="Y418" s="165"/>
      <c r="Z418" s="165"/>
    </row>
    <row r="419" spans="16:26">
      <c r="P419" s="165"/>
      <c r="Q419" s="165"/>
      <c r="R419" s="165"/>
      <c r="S419" s="165"/>
      <c r="T419" s="165"/>
      <c r="U419" s="165"/>
      <c r="V419" s="165"/>
      <c r="W419" s="165"/>
      <c r="X419" s="165"/>
      <c r="Y419" s="165"/>
      <c r="Z419" s="165"/>
    </row>
    <row r="420" spans="16:26">
      <c r="P420" s="165"/>
      <c r="Q420" s="165"/>
      <c r="R420" s="165"/>
      <c r="S420" s="165"/>
      <c r="T420" s="165"/>
      <c r="U420" s="165"/>
      <c r="V420" s="165"/>
      <c r="W420" s="165"/>
      <c r="X420" s="165"/>
      <c r="Y420" s="165"/>
      <c r="Z420" s="165"/>
    </row>
    <row r="421" spans="16:26">
      <c r="P421" s="165"/>
      <c r="Q421" s="165"/>
      <c r="R421" s="165"/>
      <c r="S421" s="165"/>
      <c r="T421" s="165"/>
      <c r="U421" s="165"/>
      <c r="V421" s="165"/>
      <c r="W421" s="165"/>
      <c r="X421" s="165"/>
      <c r="Y421" s="165"/>
      <c r="Z421" s="165"/>
    </row>
    <row r="422" spans="16:26">
      <c r="P422" s="165"/>
      <c r="Q422" s="165"/>
      <c r="R422" s="165"/>
      <c r="S422" s="165"/>
      <c r="T422" s="165"/>
      <c r="U422" s="165"/>
      <c r="V422" s="165"/>
      <c r="W422" s="165"/>
      <c r="X422" s="165"/>
      <c r="Y422" s="165"/>
      <c r="Z422" s="165"/>
    </row>
    <row r="423" spans="16:26">
      <c r="P423" s="165"/>
      <c r="Q423" s="165"/>
      <c r="R423" s="165"/>
      <c r="S423" s="165"/>
      <c r="T423" s="165"/>
      <c r="U423" s="165"/>
      <c r="V423" s="165"/>
      <c r="W423" s="165"/>
      <c r="X423" s="165"/>
      <c r="Y423" s="165"/>
      <c r="Z423" s="165"/>
    </row>
    <row r="424" spans="16:26">
      <c r="P424" s="165"/>
      <c r="Q424" s="165"/>
      <c r="R424" s="165"/>
      <c r="S424" s="165"/>
      <c r="T424" s="165"/>
      <c r="U424" s="165"/>
      <c r="V424" s="165"/>
      <c r="W424" s="165"/>
      <c r="X424" s="165"/>
      <c r="Y424" s="165"/>
      <c r="Z424" s="165"/>
    </row>
    <row r="425" spans="16:26">
      <c r="P425" s="165"/>
      <c r="Q425" s="165"/>
      <c r="R425" s="165"/>
      <c r="S425" s="165"/>
      <c r="T425" s="165"/>
      <c r="U425" s="165"/>
      <c r="V425" s="165"/>
      <c r="W425" s="165"/>
      <c r="X425" s="165"/>
      <c r="Y425" s="165"/>
      <c r="Z425" s="165"/>
    </row>
    <row r="426" spans="16:26">
      <c r="P426" s="165"/>
      <c r="Q426" s="165"/>
      <c r="R426" s="165"/>
      <c r="S426" s="165"/>
      <c r="T426" s="165"/>
      <c r="U426" s="165"/>
      <c r="V426" s="165"/>
      <c r="W426" s="165"/>
      <c r="X426" s="165"/>
      <c r="Y426" s="165"/>
      <c r="Z426" s="165"/>
    </row>
    <row r="427" spans="16:26">
      <c r="P427" s="165"/>
      <c r="Q427" s="165"/>
      <c r="R427" s="165"/>
      <c r="S427" s="165"/>
      <c r="T427" s="165"/>
      <c r="U427" s="165"/>
      <c r="V427" s="165"/>
      <c r="W427" s="165"/>
      <c r="X427" s="165"/>
      <c r="Y427" s="165"/>
      <c r="Z427" s="165"/>
    </row>
    <row r="428" spans="16:26">
      <c r="P428" s="165"/>
      <c r="Q428" s="165"/>
      <c r="R428" s="165"/>
      <c r="S428" s="165"/>
      <c r="T428" s="165"/>
      <c r="U428" s="165"/>
      <c r="V428" s="165"/>
      <c r="W428" s="165"/>
      <c r="X428" s="165"/>
      <c r="Y428" s="165"/>
      <c r="Z428" s="165"/>
    </row>
    <row r="429" spans="16:26">
      <c r="P429" s="165"/>
      <c r="Q429" s="165"/>
      <c r="R429" s="165"/>
      <c r="S429" s="165"/>
      <c r="T429" s="165"/>
      <c r="U429" s="165"/>
      <c r="V429" s="165"/>
      <c r="W429" s="165"/>
      <c r="X429" s="165"/>
      <c r="Y429" s="165"/>
      <c r="Z429" s="165"/>
    </row>
    <row r="430" spans="16:26">
      <c r="P430" s="165"/>
      <c r="Q430" s="165"/>
      <c r="R430" s="165"/>
      <c r="S430" s="165"/>
      <c r="T430" s="165"/>
      <c r="U430" s="165"/>
      <c r="V430" s="165"/>
      <c r="W430" s="165"/>
      <c r="X430" s="165"/>
      <c r="Y430" s="165"/>
      <c r="Z430" s="165"/>
    </row>
    <row r="431" spans="16:26">
      <c r="P431" s="165"/>
      <c r="Q431" s="165"/>
      <c r="R431" s="165"/>
      <c r="S431" s="165"/>
      <c r="T431" s="165"/>
      <c r="U431" s="165"/>
      <c r="V431" s="165"/>
      <c r="W431" s="165"/>
      <c r="X431" s="165"/>
      <c r="Y431" s="165"/>
      <c r="Z431" s="165"/>
    </row>
    <row r="432" spans="16:26">
      <c r="P432" s="165"/>
      <c r="Q432" s="165"/>
      <c r="R432" s="165"/>
      <c r="S432" s="165"/>
      <c r="T432" s="165"/>
      <c r="U432" s="165"/>
      <c r="V432" s="165"/>
      <c r="W432" s="165"/>
      <c r="X432" s="165"/>
      <c r="Y432" s="165"/>
      <c r="Z432" s="165"/>
    </row>
    <row r="433" spans="16:26">
      <c r="P433" s="165"/>
      <c r="Q433" s="165"/>
      <c r="R433" s="165"/>
      <c r="S433" s="165"/>
      <c r="T433" s="165"/>
      <c r="U433" s="165"/>
      <c r="V433" s="165"/>
      <c r="W433" s="165"/>
      <c r="X433" s="165"/>
      <c r="Y433" s="165"/>
      <c r="Z433" s="165"/>
    </row>
    <row r="434" spans="16:26">
      <c r="P434" s="165"/>
      <c r="Q434" s="165"/>
      <c r="R434" s="165"/>
      <c r="S434" s="165"/>
      <c r="T434" s="165"/>
      <c r="U434" s="165"/>
      <c r="V434" s="165"/>
      <c r="W434" s="165"/>
      <c r="X434" s="165"/>
      <c r="Y434" s="165"/>
      <c r="Z434" s="165"/>
    </row>
    <row r="435" spans="16:26">
      <c r="P435" s="165"/>
      <c r="Q435" s="165"/>
      <c r="R435" s="165"/>
      <c r="S435" s="165"/>
      <c r="T435" s="165"/>
      <c r="U435" s="165"/>
      <c r="V435" s="165"/>
      <c r="W435" s="165"/>
      <c r="X435" s="165"/>
      <c r="Y435" s="165"/>
      <c r="Z435" s="165"/>
    </row>
    <row r="436" spans="16:26">
      <c r="P436" s="165"/>
      <c r="Q436" s="165"/>
      <c r="R436" s="165"/>
      <c r="S436" s="165"/>
      <c r="T436" s="165"/>
      <c r="U436" s="165"/>
      <c r="V436" s="165"/>
      <c r="W436" s="165"/>
      <c r="X436" s="165"/>
      <c r="Y436" s="165"/>
      <c r="Z436" s="165"/>
    </row>
    <row r="437" spans="16:26">
      <c r="P437" s="165"/>
      <c r="Q437" s="165"/>
      <c r="R437" s="165"/>
      <c r="S437" s="165"/>
      <c r="T437" s="165"/>
      <c r="U437" s="165"/>
      <c r="V437" s="165"/>
      <c r="W437" s="165"/>
      <c r="X437" s="165"/>
      <c r="Y437" s="165"/>
      <c r="Z437" s="165"/>
    </row>
    <row r="438" spans="16:26">
      <c r="P438" s="165"/>
      <c r="Q438" s="165"/>
      <c r="R438" s="165"/>
      <c r="S438" s="165"/>
      <c r="T438" s="165"/>
      <c r="U438" s="165"/>
      <c r="V438" s="165"/>
      <c r="W438" s="165"/>
      <c r="X438" s="165"/>
      <c r="Y438" s="165"/>
      <c r="Z438" s="165"/>
    </row>
    <row r="439" spans="16:26">
      <c r="P439" s="165"/>
      <c r="Q439" s="165"/>
      <c r="R439" s="165"/>
      <c r="S439" s="165"/>
      <c r="T439" s="165"/>
      <c r="U439" s="165"/>
      <c r="V439" s="165"/>
      <c r="W439" s="165"/>
      <c r="X439" s="165"/>
      <c r="Y439" s="165"/>
      <c r="Z439" s="165"/>
    </row>
    <row r="440" spans="16:26">
      <c r="P440" s="165"/>
      <c r="Q440" s="165"/>
      <c r="R440" s="165"/>
      <c r="S440" s="165"/>
      <c r="T440" s="165"/>
      <c r="U440" s="165"/>
      <c r="V440" s="165"/>
      <c r="W440" s="165"/>
      <c r="X440" s="165"/>
      <c r="Y440" s="165"/>
      <c r="Z440" s="165"/>
    </row>
    <row r="441" spans="16:26">
      <c r="P441" s="165"/>
      <c r="Q441" s="165"/>
      <c r="R441" s="165"/>
      <c r="S441" s="165"/>
      <c r="T441" s="165"/>
      <c r="U441" s="165"/>
      <c r="V441" s="165"/>
      <c r="W441" s="165"/>
      <c r="X441" s="165"/>
      <c r="Y441" s="165"/>
      <c r="Z441" s="165"/>
    </row>
    <row r="442" spans="16:26">
      <c r="P442" s="165"/>
      <c r="Q442" s="165"/>
      <c r="R442" s="165"/>
      <c r="S442" s="165"/>
      <c r="T442" s="165"/>
      <c r="U442" s="165"/>
      <c r="V442" s="165"/>
      <c r="W442" s="165"/>
      <c r="X442" s="165"/>
      <c r="Y442" s="165"/>
      <c r="Z442" s="165"/>
    </row>
    <row r="443" spans="16:26">
      <c r="P443" s="165"/>
      <c r="Q443" s="165"/>
      <c r="R443" s="165"/>
      <c r="S443" s="165"/>
      <c r="T443" s="165"/>
      <c r="U443" s="165"/>
      <c r="V443" s="165"/>
      <c r="W443" s="165"/>
      <c r="X443" s="165"/>
      <c r="Y443" s="165"/>
      <c r="Z443" s="165"/>
    </row>
    <row r="444" spans="16:26">
      <c r="P444" s="165"/>
      <c r="Q444" s="165"/>
      <c r="R444" s="165"/>
      <c r="S444" s="165"/>
      <c r="T444" s="165"/>
      <c r="U444" s="165"/>
      <c r="V444" s="165"/>
      <c r="W444" s="165"/>
      <c r="X444" s="165"/>
      <c r="Y444" s="165"/>
      <c r="Z444" s="165"/>
    </row>
    <row r="445" spans="16:26">
      <c r="P445" s="165"/>
      <c r="Q445" s="165"/>
      <c r="R445" s="165"/>
      <c r="S445" s="165"/>
      <c r="T445" s="165"/>
      <c r="U445" s="165"/>
      <c r="V445" s="165"/>
      <c r="W445" s="165"/>
      <c r="X445" s="165"/>
      <c r="Y445" s="165"/>
      <c r="Z445" s="165"/>
    </row>
    <row r="446" spans="16:26">
      <c r="P446" s="165"/>
      <c r="Q446" s="165"/>
      <c r="R446" s="165"/>
      <c r="S446" s="165"/>
      <c r="T446" s="165"/>
      <c r="U446" s="165"/>
      <c r="V446" s="165"/>
      <c r="W446" s="165"/>
      <c r="X446" s="165"/>
      <c r="Y446" s="165"/>
      <c r="Z446" s="165"/>
    </row>
    <row r="447" spans="16:26">
      <c r="P447" s="165"/>
      <c r="Q447" s="165"/>
      <c r="R447" s="165"/>
      <c r="S447" s="165"/>
      <c r="T447" s="165"/>
      <c r="U447" s="165"/>
      <c r="V447" s="165"/>
      <c r="W447" s="165"/>
      <c r="X447" s="165"/>
      <c r="Y447" s="165"/>
      <c r="Z447" s="165"/>
    </row>
    <row r="448" spans="16:26">
      <c r="P448" s="165"/>
      <c r="Q448" s="165"/>
      <c r="R448" s="165"/>
      <c r="S448" s="165"/>
      <c r="T448" s="165"/>
      <c r="U448" s="165"/>
      <c r="V448" s="165"/>
      <c r="W448" s="165"/>
      <c r="X448" s="165"/>
      <c r="Y448" s="165"/>
      <c r="Z448" s="165"/>
    </row>
    <row r="449" spans="16:26">
      <c r="P449" s="165"/>
      <c r="Q449" s="165"/>
      <c r="R449" s="165"/>
      <c r="S449" s="165"/>
      <c r="T449" s="165"/>
      <c r="U449" s="165"/>
      <c r="V449" s="165"/>
      <c r="W449" s="165"/>
      <c r="X449" s="165"/>
      <c r="Y449" s="165"/>
      <c r="Z449" s="165"/>
    </row>
    <row r="450" spans="16:26">
      <c r="P450" s="165"/>
      <c r="Q450" s="165"/>
      <c r="R450" s="165"/>
      <c r="S450" s="165"/>
      <c r="T450" s="165"/>
      <c r="U450" s="165"/>
      <c r="V450" s="165"/>
      <c r="W450" s="165"/>
      <c r="X450" s="165"/>
      <c r="Y450" s="165"/>
      <c r="Z450" s="165"/>
    </row>
    <row r="451" spans="16:26">
      <c r="P451" s="165"/>
      <c r="Q451" s="165"/>
      <c r="R451" s="165"/>
      <c r="S451" s="165"/>
      <c r="T451" s="165"/>
      <c r="U451" s="165"/>
      <c r="V451" s="165"/>
      <c r="W451" s="165"/>
      <c r="X451" s="165"/>
      <c r="Y451" s="165"/>
      <c r="Z451" s="165"/>
    </row>
    <row r="452" spans="16:26">
      <c r="P452" s="165"/>
      <c r="Q452" s="165"/>
      <c r="R452" s="165"/>
      <c r="S452" s="165"/>
      <c r="T452" s="165"/>
      <c r="U452" s="165"/>
      <c r="V452" s="165"/>
      <c r="W452" s="165"/>
      <c r="X452" s="165"/>
      <c r="Y452" s="165"/>
      <c r="Z452" s="165"/>
    </row>
    <row r="453" spans="16:26">
      <c r="P453" s="165"/>
      <c r="Q453" s="165"/>
      <c r="R453" s="165"/>
      <c r="S453" s="165"/>
      <c r="T453" s="165"/>
      <c r="U453" s="165"/>
      <c r="V453" s="165"/>
      <c r="W453" s="165"/>
      <c r="X453" s="165"/>
      <c r="Y453" s="165"/>
      <c r="Z453" s="165"/>
    </row>
    <row r="454" spans="16:26">
      <c r="P454" s="165"/>
      <c r="Q454" s="165"/>
      <c r="R454" s="165"/>
      <c r="S454" s="165"/>
      <c r="T454" s="165"/>
      <c r="U454" s="165"/>
      <c r="V454" s="165"/>
      <c r="W454" s="165"/>
      <c r="X454" s="165"/>
      <c r="Y454" s="165"/>
      <c r="Z454" s="165"/>
    </row>
    <row r="455" spans="16:26">
      <c r="P455" s="165"/>
      <c r="Q455" s="165"/>
      <c r="R455" s="165"/>
      <c r="S455" s="165"/>
      <c r="T455" s="165"/>
      <c r="U455" s="165"/>
      <c r="V455" s="165"/>
      <c r="W455" s="165"/>
      <c r="X455" s="165"/>
      <c r="Y455" s="165"/>
      <c r="Z455" s="165"/>
    </row>
    <row r="456" spans="16:26">
      <c r="P456" s="165"/>
      <c r="Q456" s="165"/>
      <c r="R456" s="165"/>
      <c r="S456" s="165"/>
      <c r="T456" s="165"/>
      <c r="U456" s="165"/>
      <c r="V456" s="165"/>
      <c r="W456" s="165"/>
      <c r="X456" s="165"/>
      <c r="Y456" s="165"/>
      <c r="Z456" s="165"/>
    </row>
    <row r="457" spans="16:26">
      <c r="P457" s="165"/>
      <c r="Q457" s="165"/>
      <c r="R457" s="165"/>
      <c r="S457" s="165"/>
      <c r="T457" s="165"/>
      <c r="U457" s="165"/>
      <c r="V457" s="165"/>
      <c r="W457" s="165"/>
      <c r="X457" s="165"/>
      <c r="Y457" s="165"/>
      <c r="Z457" s="165"/>
    </row>
    <row r="458" spans="16:26">
      <c r="P458" s="165"/>
      <c r="Q458" s="165"/>
      <c r="R458" s="165"/>
      <c r="S458" s="165"/>
      <c r="T458" s="165"/>
      <c r="U458" s="165"/>
      <c r="V458" s="165"/>
      <c r="W458" s="165"/>
      <c r="X458" s="165"/>
      <c r="Y458" s="165"/>
      <c r="Z458" s="165"/>
    </row>
    <row r="459" spans="16:26">
      <c r="P459" s="165"/>
      <c r="Q459" s="165"/>
      <c r="R459" s="165"/>
      <c r="S459" s="165"/>
      <c r="T459" s="165"/>
      <c r="U459" s="165"/>
      <c r="V459" s="165"/>
      <c r="W459" s="165"/>
      <c r="X459" s="165"/>
      <c r="Y459" s="165"/>
      <c r="Z459" s="165"/>
    </row>
    <row r="460" spans="16:26">
      <c r="P460" s="165"/>
      <c r="Q460" s="165"/>
      <c r="R460" s="165"/>
      <c r="S460" s="165"/>
      <c r="T460" s="165"/>
      <c r="U460" s="165"/>
      <c r="V460" s="165"/>
      <c r="W460" s="165"/>
      <c r="X460" s="165"/>
      <c r="Y460" s="165"/>
      <c r="Z460" s="165"/>
    </row>
    <row r="461" spans="16:26">
      <c r="P461" s="165"/>
      <c r="Q461" s="165"/>
      <c r="R461" s="165"/>
      <c r="S461" s="165"/>
      <c r="T461" s="165"/>
      <c r="U461" s="165"/>
      <c r="V461" s="165"/>
      <c r="W461" s="165"/>
      <c r="X461" s="165"/>
      <c r="Y461" s="165"/>
      <c r="Z461" s="165"/>
    </row>
    <row r="462" spans="16:26">
      <c r="P462" s="165"/>
      <c r="Q462" s="165"/>
      <c r="R462" s="165"/>
      <c r="S462" s="165"/>
      <c r="T462" s="165"/>
      <c r="U462" s="165"/>
      <c r="V462" s="165"/>
      <c r="W462" s="165"/>
      <c r="X462" s="165"/>
      <c r="Y462" s="165"/>
      <c r="Z462" s="165"/>
    </row>
    <row r="463" spans="16:26">
      <c r="P463" s="165"/>
      <c r="Q463" s="165"/>
      <c r="R463" s="165"/>
      <c r="S463" s="165"/>
      <c r="T463" s="165"/>
      <c r="U463" s="165"/>
      <c r="V463" s="165"/>
      <c r="W463" s="165"/>
      <c r="X463" s="165"/>
      <c r="Y463" s="165"/>
      <c r="Z463" s="165"/>
    </row>
    <row r="464" spans="16:26">
      <c r="P464" s="165"/>
      <c r="Q464" s="165"/>
      <c r="R464" s="165"/>
      <c r="S464" s="165"/>
      <c r="T464" s="165"/>
      <c r="U464" s="165"/>
      <c r="V464" s="165"/>
      <c r="W464" s="165"/>
      <c r="X464" s="165"/>
      <c r="Y464" s="165"/>
      <c r="Z464" s="165"/>
    </row>
    <row r="465" spans="16:26">
      <c r="P465" s="165"/>
      <c r="Q465" s="165"/>
      <c r="R465" s="165"/>
      <c r="S465" s="165"/>
      <c r="T465" s="165"/>
      <c r="U465" s="165"/>
      <c r="V465" s="165"/>
      <c r="W465" s="165"/>
      <c r="X465" s="165"/>
      <c r="Y465" s="165"/>
      <c r="Z465" s="165"/>
    </row>
    <row r="466" spans="16:26">
      <c r="P466" s="165"/>
      <c r="Q466" s="165"/>
      <c r="R466" s="165"/>
      <c r="S466" s="165"/>
      <c r="T466" s="165"/>
      <c r="U466" s="165"/>
      <c r="V466" s="165"/>
      <c r="W466" s="165"/>
      <c r="X466" s="165"/>
      <c r="Y466" s="165"/>
      <c r="Z466" s="165"/>
    </row>
    <row r="467" spans="16:26">
      <c r="P467" s="165"/>
      <c r="Q467" s="165"/>
      <c r="R467" s="165"/>
      <c r="S467" s="165"/>
      <c r="T467" s="165"/>
      <c r="U467" s="165"/>
      <c r="V467" s="165"/>
      <c r="W467" s="165"/>
      <c r="X467" s="165"/>
      <c r="Y467" s="165"/>
      <c r="Z467" s="165"/>
    </row>
    <row r="468" spans="16:26">
      <c r="P468" s="165"/>
      <c r="Q468" s="165"/>
      <c r="R468" s="165"/>
      <c r="S468" s="165"/>
      <c r="T468" s="165"/>
      <c r="U468" s="165"/>
      <c r="V468" s="165"/>
      <c r="W468" s="165"/>
      <c r="X468" s="165"/>
      <c r="Y468" s="165"/>
      <c r="Z468" s="165"/>
    </row>
    <row r="469" spans="16:26">
      <c r="P469" s="165"/>
      <c r="Q469" s="165"/>
      <c r="R469" s="165"/>
      <c r="S469" s="165"/>
      <c r="T469" s="165"/>
      <c r="U469" s="165"/>
      <c r="V469" s="165"/>
      <c r="W469" s="165"/>
      <c r="X469" s="165"/>
      <c r="Y469" s="165"/>
      <c r="Z469" s="165"/>
    </row>
    <row r="470" spans="16:26">
      <c r="P470" s="165"/>
      <c r="Q470" s="165"/>
      <c r="R470" s="165"/>
      <c r="S470" s="165"/>
      <c r="T470" s="165"/>
      <c r="U470" s="165"/>
      <c r="V470" s="165"/>
      <c r="W470" s="165"/>
      <c r="X470" s="165"/>
      <c r="Y470" s="165"/>
      <c r="Z470" s="165"/>
    </row>
    <row r="471" spans="16:26">
      <c r="P471" s="165"/>
      <c r="Q471" s="165"/>
      <c r="R471" s="165"/>
      <c r="S471" s="165"/>
      <c r="T471" s="165"/>
      <c r="U471" s="165"/>
      <c r="V471" s="165"/>
      <c r="W471" s="165"/>
      <c r="X471" s="165"/>
      <c r="Y471" s="165"/>
      <c r="Z471" s="165"/>
    </row>
    <row r="472" spans="16:26">
      <c r="P472" s="165"/>
      <c r="Q472" s="165"/>
      <c r="R472" s="165"/>
      <c r="S472" s="165"/>
      <c r="T472" s="165"/>
      <c r="U472" s="165"/>
      <c r="V472" s="165"/>
      <c r="W472" s="165"/>
      <c r="X472" s="165"/>
      <c r="Y472" s="165"/>
      <c r="Z472" s="165"/>
    </row>
    <row r="473" spans="16:26">
      <c r="P473" s="165"/>
      <c r="Q473" s="165"/>
      <c r="R473" s="165"/>
      <c r="S473" s="165"/>
      <c r="T473" s="165"/>
      <c r="U473" s="165"/>
      <c r="V473" s="165"/>
      <c r="W473" s="165"/>
      <c r="X473" s="165"/>
      <c r="Y473" s="165"/>
      <c r="Z473" s="165"/>
    </row>
    <row r="474" spans="16:26">
      <c r="P474" s="165"/>
      <c r="Q474" s="165"/>
      <c r="R474" s="165"/>
      <c r="S474" s="165"/>
      <c r="T474" s="165"/>
      <c r="U474" s="165"/>
      <c r="V474" s="165"/>
      <c r="W474" s="165"/>
      <c r="X474" s="165"/>
      <c r="Y474" s="165"/>
      <c r="Z474" s="165"/>
    </row>
    <row r="475" spans="16:26">
      <c r="P475" s="165"/>
      <c r="Q475" s="165"/>
      <c r="R475" s="165"/>
      <c r="S475" s="165"/>
      <c r="T475" s="165"/>
      <c r="U475" s="165"/>
      <c r="V475" s="165"/>
      <c r="W475" s="165"/>
      <c r="X475" s="165"/>
      <c r="Y475" s="165"/>
      <c r="Z475" s="165"/>
    </row>
    <row r="476" spans="16:26">
      <c r="P476" s="165"/>
      <c r="Q476" s="165"/>
      <c r="R476" s="165"/>
      <c r="S476" s="165"/>
      <c r="T476" s="165"/>
      <c r="U476" s="165"/>
      <c r="V476" s="165"/>
      <c r="W476" s="165"/>
      <c r="X476" s="165"/>
      <c r="Y476" s="165"/>
      <c r="Z476" s="165"/>
    </row>
    <row r="477" spans="16:26">
      <c r="P477" s="165"/>
      <c r="Q477" s="165"/>
      <c r="R477" s="165"/>
      <c r="S477" s="165"/>
      <c r="T477" s="165"/>
      <c r="U477" s="165"/>
      <c r="V477" s="165"/>
      <c r="W477" s="165"/>
      <c r="X477" s="165"/>
      <c r="Y477" s="165"/>
      <c r="Z477" s="165"/>
    </row>
    <row r="478" spans="16:26">
      <c r="P478" s="165"/>
      <c r="Q478" s="165"/>
      <c r="R478" s="165"/>
      <c r="S478" s="165"/>
      <c r="T478" s="165"/>
      <c r="U478" s="165"/>
      <c r="V478" s="165"/>
      <c r="W478" s="165"/>
      <c r="X478" s="165"/>
      <c r="Y478" s="165"/>
      <c r="Z478" s="165"/>
    </row>
    <row r="479" spans="16:26">
      <c r="P479" s="165"/>
      <c r="Q479" s="165"/>
      <c r="R479" s="165"/>
      <c r="S479" s="165"/>
      <c r="T479" s="165"/>
      <c r="U479" s="165"/>
      <c r="V479" s="165"/>
      <c r="W479" s="165"/>
      <c r="X479" s="165"/>
      <c r="Y479" s="165"/>
      <c r="Z479" s="165"/>
    </row>
    <row r="480" spans="16:26">
      <c r="P480" s="165"/>
      <c r="Q480" s="165"/>
      <c r="R480" s="165"/>
      <c r="S480" s="165"/>
      <c r="T480" s="165"/>
      <c r="U480" s="165"/>
      <c r="V480" s="165"/>
      <c r="W480" s="165"/>
      <c r="X480" s="165"/>
      <c r="Y480" s="165"/>
      <c r="Z480" s="165"/>
    </row>
    <row r="481" spans="16:26">
      <c r="P481" s="165"/>
      <c r="Q481" s="165"/>
      <c r="R481" s="165"/>
      <c r="S481" s="165"/>
      <c r="T481" s="165"/>
      <c r="U481" s="165"/>
      <c r="V481" s="165"/>
      <c r="W481" s="165"/>
      <c r="X481" s="165"/>
      <c r="Y481" s="165"/>
      <c r="Z481" s="165"/>
    </row>
    <row r="482" spans="16:26">
      <c r="P482" s="165"/>
      <c r="Q482" s="165"/>
      <c r="R482" s="165"/>
      <c r="S482" s="165"/>
      <c r="T482" s="165"/>
      <c r="U482" s="165"/>
      <c r="V482" s="165"/>
      <c r="W482" s="165"/>
      <c r="X482" s="165"/>
      <c r="Y482" s="165"/>
      <c r="Z482" s="165"/>
    </row>
    <row r="483" spans="16:26">
      <c r="P483" s="165"/>
      <c r="Q483" s="165"/>
      <c r="R483" s="165"/>
      <c r="S483" s="165"/>
      <c r="T483" s="165"/>
      <c r="U483" s="165"/>
      <c r="V483" s="165"/>
      <c r="W483" s="165"/>
      <c r="X483" s="165"/>
      <c r="Y483" s="165"/>
      <c r="Z483" s="165"/>
    </row>
    <row r="484" spans="16:26">
      <c r="P484" s="165"/>
      <c r="Q484" s="165"/>
      <c r="R484" s="165"/>
      <c r="S484" s="165"/>
      <c r="T484" s="165"/>
      <c r="U484" s="165"/>
      <c r="V484" s="165"/>
      <c r="W484" s="165"/>
      <c r="X484" s="165"/>
      <c r="Y484" s="165"/>
      <c r="Z484" s="165"/>
    </row>
    <row r="485" spans="16:26">
      <c r="P485" s="165"/>
      <c r="Q485" s="165"/>
      <c r="R485" s="165"/>
      <c r="S485" s="165"/>
      <c r="T485" s="165"/>
      <c r="U485" s="165"/>
      <c r="V485" s="165"/>
      <c r="W485" s="165"/>
      <c r="X485" s="165"/>
      <c r="Y485" s="165"/>
      <c r="Z485" s="165"/>
    </row>
    <row r="486" spans="16:26">
      <c r="P486" s="165"/>
      <c r="Q486" s="165"/>
      <c r="R486" s="165"/>
      <c r="S486" s="165"/>
      <c r="T486" s="165"/>
      <c r="U486" s="165"/>
      <c r="V486" s="165"/>
      <c r="W486" s="165"/>
      <c r="X486" s="165"/>
      <c r="Y486" s="165"/>
      <c r="Z486" s="165"/>
    </row>
    <row r="487" spans="16:26">
      <c r="P487" s="165"/>
      <c r="Q487" s="165"/>
      <c r="R487" s="165"/>
      <c r="S487" s="165"/>
      <c r="T487" s="165"/>
      <c r="U487" s="165"/>
      <c r="V487" s="165"/>
      <c r="W487" s="165"/>
      <c r="X487" s="165"/>
      <c r="Y487" s="165"/>
      <c r="Z487" s="165"/>
    </row>
    <row r="488" spans="16:26">
      <c r="P488" s="165"/>
      <c r="Q488" s="165"/>
      <c r="R488" s="165"/>
      <c r="S488" s="165"/>
      <c r="T488" s="165"/>
      <c r="U488" s="165"/>
      <c r="V488" s="165"/>
      <c r="W488" s="165"/>
      <c r="X488" s="165"/>
      <c r="Y488" s="165"/>
      <c r="Z488" s="165"/>
    </row>
    <row r="489" spans="16:26">
      <c r="P489" s="165"/>
      <c r="Q489" s="165"/>
      <c r="R489" s="165"/>
      <c r="S489" s="165"/>
      <c r="T489" s="165"/>
      <c r="U489" s="165"/>
      <c r="V489" s="165"/>
      <c r="W489" s="165"/>
      <c r="X489" s="165"/>
      <c r="Y489" s="165"/>
      <c r="Z489" s="165"/>
    </row>
    <row r="490" spans="16:26">
      <c r="P490" s="165"/>
      <c r="Q490" s="165"/>
      <c r="R490" s="165"/>
      <c r="S490" s="165"/>
      <c r="T490" s="165"/>
      <c r="U490" s="165"/>
      <c r="V490" s="165"/>
      <c r="W490" s="165"/>
      <c r="X490" s="165"/>
      <c r="Y490" s="165"/>
      <c r="Z490" s="165"/>
    </row>
    <row r="491" spans="16:26">
      <c r="P491" s="165"/>
      <c r="Q491" s="165"/>
      <c r="R491" s="165"/>
      <c r="S491" s="165"/>
      <c r="T491" s="165"/>
      <c r="U491" s="165"/>
      <c r="V491" s="165"/>
      <c r="W491" s="165"/>
      <c r="X491" s="165"/>
      <c r="Y491" s="165"/>
      <c r="Z491" s="165"/>
    </row>
    <row r="492" spans="16:26">
      <c r="P492" s="165"/>
      <c r="Q492" s="165"/>
      <c r="R492" s="165"/>
      <c r="S492" s="165"/>
      <c r="T492" s="165"/>
      <c r="U492" s="165"/>
      <c r="V492" s="165"/>
      <c r="W492" s="165"/>
      <c r="X492" s="165"/>
      <c r="Y492" s="165"/>
      <c r="Z492" s="165"/>
    </row>
    <row r="493" spans="16:26">
      <c r="P493" s="165"/>
      <c r="Q493" s="165"/>
      <c r="R493" s="165"/>
      <c r="S493" s="165"/>
      <c r="T493" s="165"/>
      <c r="U493" s="165"/>
      <c r="V493" s="165"/>
      <c r="W493" s="165"/>
      <c r="X493" s="165"/>
      <c r="Y493" s="165"/>
      <c r="Z493" s="165"/>
    </row>
    <row r="494" spans="16:26">
      <c r="P494" s="165"/>
      <c r="Q494" s="165"/>
      <c r="R494" s="165"/>
      <c r="S494" s="165"/>
      <c r="T494" s="165"/>
      <c r="U494" s="165"/>
      <c r="V494" s="165"/>
      <c r="W494" s="165"/>
      <c r="X494" s="165"/>
      <c r="Y494" s="165"/>
      <c r="Z494" s="165"/>
    </row>
    <row r="495" spans="16:26">
      <c r="P495" s="165"/>
      <c r="Q495" s="165"/>
      <c r="R495" s="165"/>
      <c r="S495" s="165"/>
      <c r="T495" s="165"/>
      <c r="U495" s="165"/>
      <c r="V495" s="165"/>
      <c r="W495" s="165"/>
      <c r="X495" s="165"/>
      <c r="Y495" s="165"/>
      <c r="Z495" s="165"/>
    </row>
    <row r="496" spans="16:26">
      <c r="P496" s="165"/>
      <c r="Q496" s="165"/>
      <c r="R496" s="165"/>
      <c r="S496" s="165"/>
      <c r="T496" s="165"/>
      <c r="U496" s="165"/>
      <c r="V496" s="165"/>
      <c r="W496" s="165"/>
      <c r="X496" s="165"/>
      <c r="Y496" s="165"/>
      <c r="Z496" s="165"/>
    </row>
    <row r="497" spans="16:26">
      <c r="P497" s="165"/>
      <c r="Q497" s="165"/>
      <c r="R497" s="165"/>
      <c r="S497" s="165"/>
      <c r="T497" s="165"/>
      <c r="U497" s="165"/>
      <c r="V497" s="165"/>
      <c r="W497" s="165"/>
      <c r="X497" s="165"/>
      <c r="Y497" s="165"/>
      <c r="Z497" s="165"/>
    </row>
    <row r="498" spans="16:26">
      <c r="P498" s="165"/>
      <c r="Q498" s="165"/>
      <c r="R498" s="165"/>
      <c r="S498" s="165"/>
      <c r="T498" s="165"/>
      <c r="U498" s="165"/>
      <c r="V498" s="165"/>
      <c r="W498" s="165"/>
      <c r="X498" s="165"/>
      <c r="Y498" s="165"/>
      <c r="Z498" s="165"/>
    </row>
    <row r="499" spans="16:26">
      <c r="P499" s="165"/>
      <c r="Q499" s="165"/>
      <c r="R499" s="165"/>
      <c r="S499" s="165"/>
      <c r="T499" s="165"/>
      <c r="U499" s="165"/>
      <c r="V499" s="165"/>
      <c r="W499" s="165"/>
      <c r="X499" s="165"/>
      <c r="Y499" s="165"/>
      <c r="Z499" s="165"/>
    </row>
    <row r="500" spans="16:26">
      <c r="P500" s="165"/>
      <c r="Q500" s="165"/>
      <c r="R500" s="165"/>
      <c r="S500" s="165"/>
      <c r="T500" s="165"/>
      <c r="U500" s="165"/>
      <c r="V500" s="165"/>
      <c r="W500" s="165"/>
      <c r="X500" s="165"/>
      <c r="Y500" s="165"/>
      <c r="Z500" s="165"/>
    </row>
    <row r="501" spans="16:26">
      <c r="P501" s="165"/>
      <c r="Q501" s="165"/>
      <c r="R501" s="165"/>
      <c r="S501" s="165"/>
      <c r="T501" s="165"/>
      <c r="U501" s="165"/>
      <c r="V501" s="165"/>
      <c r="W501" s="165"/>
      <c r="X501" s="165"/>
      <c r="Y501" s="165"/>
      <c r="Z501" s="165"/>
    </row>
    <row r="502" spans="16:26">
      <c r="P502" s="165"/>
      <c r="Q502" s="165"/>
      <c r="R502" s="165"/>
      <c r="S502" s="165"/>
      <c r="T502" s="165"/>
      <c r="U502" s="165"/>
      <c r="V502" s="165"/>
      <c r="W502" s="165"/>
      <c r="X502" s="165"/>
      <c r="Y502" s="165"/>
      <c r="Z502" s="165"/>
    </row>
    <row r="503" spans="16:26">
      <c r="P503" s="165"/>
      <c r="Q503" s="165"/>
      <c r="R503" s="165"/>
      <c r="S503" s="165"/>
      <c r="T503" s="165"/>
      <c r="U503" s="165"/>
      <c r="V503" s="165"/>
      <c r="W503" s="165"/>
      <c r="X503" s="165"/>
      <c r="Y503" s="165"/>
      <c r="Z503" s="165"/>
    </row>
    <row r="504" spans="16:26">
      <c r="P504" s="165"/>
      <c r="Q504" s="165"/>
      <c r="R504" s="165"/>
      <c r="S504" s="165"/>
      <c r="T504" s="165"/>
      <c r="U504" s="165"/>
      <c r="V504" s="165"/>
      <c r="W504" s="165"/>
      <c r="X504" s="165"/>
      <c r="Y504" s="165"/>
      <c r="Z504" s="165"/>
    </row>
    <row r="505" spans="16:26">
      <c r="P505" s="165"/>
      <c r="Q505" s="165"/>
      <c r="R505" s="165"/>
      <c r="S505" s="165"/>
      <c r="T505" s="165"/>
      <c r="U505" s="165"/>
      <c r="V505" s="165"/>
      <c r="W505" s="165"/>
      <c r="X505" s="165"/>
      <c r="Y505" s="165"/>
      <c r="Z505" s="165"/>
    </row>
    <row r="506" spans="16:26">
      <c r="P506" s="165"/>
      <c r="Q506" s="165"/>
      <c r="R506" s="165"/>
      <c r="S506" s="165"/>
      <c r="T506" s="165"/>
      <c r="U506" s="165"/>
      <c r="V506" s="165"/>
      <c r="W506" s="165"/>
      <c r="X506" s="165"/>
      <c r="Y506" s="165"/>
      <c r="Z506" s="165"/>
    </row>
    <row r="507" spans="16:26">
      <c r="P507" s="165"/>
      <c r="Q507" s="165"/>
      <c r="R507" s="165"/>
      <c r="S507" s="165"/>
      <c r="T507" s="165"/>
      <c r="U507" s="165"/>
      <c r="V507" s="165"/>
      <c r="W507" s="165"/>
      <c r="X507" s="165"/>
      <c r="Y507" s="165"/>
      <c r="Z507" s="165"/>
    </row>
    <row r="508" spans="16:26">
      <c r="P508" s="165"/>
      <c r="Q508" s="165"/>
      <c r="R508" s="165"/>
      <c r="S508" s="165"/>
      <c r="T508" s="165"/>
      <c r="U508" s="165"/>
      <c r="V508" s="165"/>
      <c r="W508" s="165"/>
      <c r="X508" s="165"/>
      <c r="Y508" s="165"/>
      <c r="Z508" s="165"/>
    </row>
    <row r="509" spans="16:26">
      <c r="P509" s="165"/>
      <c r="Q509" s="165"/>
      <c r="R509" s="165"/>
      <c r="S509" s="165"/>
      <c r="T509" s="165"/>
      <c r="U509" s="165"/>
      <c r="V509" s="165"/>
      <c r="W509" s="165"/>
      <c r="X509" s="165"/>
      <c r="Y509" s="165"/>
      <c r="Z509" s="165"/>
    </row>
    <row r="510" spans="16:26">
      <c r="P510" s="165"/>
      <c r="Q510" s="165"/>
      <c r="R510" s="165"/>
      <c r="S510" s="165"/>
      <c r="T510" s="165"/>
      <c r="U510" s="165"/>
      <c r="V510" s="165"/>
      <c r="W510" s="165"/>
      <c r="X510" s="165"/>
      <c r="Y510" s="165"/>
      <c r="Z510" s="165"/>
    </row>
    <row r="511" spans="16:26">
      <c r="P511" s="165"/>
      <c r="Q511" s="165"/>
      <c r="R511" s="165"/>
      <c r="S511" s="165"/>
      <c r="T511" s="165"/>
      <c r="U511" s="165"/>
      <c r="V511" s="165"/>
      <c r="W511" s="165"/>
      <c r="X511" s="165"/>
      <c r="Y511" s="165"/>
      <c r="Z511" s="165"/>
    </row>
    <row r="512" spans="16:26">
      <c r="P512" s="165"/>
      <c r="Q512" s="165"/>
      <c r="R512" s="165"/>
      <c r="S512" s="165"/>
      <c r="T512" s="165"/>
      <c r="U512" s="165"/>
      <c r="V512" s="165"/>
      <c r="W512" s="165"/>
      <c r="X512" s="165"/>
      <c r="Y512" s="165"/>
      <c r="Z512" s="165"/>
    </row>
    <row r="513" spans="16:26">
      <c r="P513" s="165"/>
      <c r="Q513" s="165"/>
      <c r="R513" s="165"/>
      <c r="S513" s="165"/>
      <c r="T513" s="165"/>
      <c r="U513" s="165"/>
      <c r="V513" s="165"/>
      <c r="W513" s="165"/>
      <c r="X513" s="165"/>
      <c r="Y513" s="165"/>
      <c r="Z513" s="165"/>
    </row>
    <row r="514" spans="16:26">
      <c r="P514" s="165"/>
      <c r="Q514" s="165"/>
      <c r="R514" s="165"/>
      <c r="S514" s="165"/>
      <c r="T514" s="165"/>
      <c r="U514" s="165"/>
      <c r="V514" s="165"/>
      <c r="W514" s="165"/>
      <c r="X514" s="165"/>
      <c r="Y514" s="165"/>
      <c r="Z514" s="165"/>
    </row>
    <row r="515" spans="16:26">
      <c r="P515" s="165"/>
      <c r="Q515" s="165"/>
      <c r="R515" s="165"/>
      <c r="S515" s="165"/>
      <c r="T515" s="165"/>
      <c r="U515" s="165"/>
      <c r="V515" s="165"/>
      <c r="W515" s="165"/>
      <c r="X515" s="165"/>
      <c r="Y515" s="165"/>
      <c r="Z515" s="165"/>
    </row>
    <row r="516" spans="16:26">
      <c r="P516" s="165"/>
      <c r="Q516" s="165"/>
      <c r="R516" s="165"/>
      <c r="S516" s="165"/>
      <c r="T516" s="165"/>
      <c r="U516" s="165"/>
      <c r="V516" s="165"/>
      <c r="W516" s="165"/>
      <c r="X516" s="165"/>
      <c r="Y516" s="165"/>
      <c r="Z516" s="165"/>
    </row>
    <row r="517" spans="16:26">
      <c r="P517" s="165"/>
      <c r="Q517" s="165"/>
      <c r="R517" s="165"/>
      <c r="S517" s="165"/>
      <c r="T517" s="165"/>
      <c r="U517" s="165"/>
      <c r="V517" s="165"/>
      <c r="W517" s="165"/>
      <c r="X517" s="165"/>
      <c r="Y517" s="165"/>
      <c r="Z517" s="165"/>
    </row>
    <row r="518" spans="16:26">
      <c r="P518" s="165"/>
      <c r="Q518" s="165"/>
      <c r="R518" s="165"/>
      <c r="S518" s="165"/>
      <c r="T518" s="165"/>
      <c r="U518" s="165"/>
      <c r="V518" s="165"/>
      <c r="W518" s="165"/>
      <c r="X518" s="165"/>
      <c r="Y518" s="165"/>
      <c r="Z518" s="165"/>
    </row>
    <row r="519" spans="16:26">
      <c r="P519" s="165"/>
      <c r="Q519" s="165"/>
      <c r="R519" s="165"/>
      <c r="S519" s="165"/>
      <c r="T519" s="165"/>
      <c r="U519" s="165"/>
      <c r="V519" s="165"/>
      <c r="W519" s="165"/>
      <c r="X519" s="165"/>
      <c r="Y519" s="165"/>
      <c r="Z519" s="165"/>
    </row>
    <row r="520" spans="16:26">
      <c r="P520" s="165"/>
      <c r="Q520" s="165"/>
      <c r="R520" s="165"/>
      <c r="S520" s="165"/>
      <c r="T520" s="165"/>
      <c r="U520" s="165"/>
      <c r="V520" s="165"/>
      <c r="W520" s="165"/>
      <c r="X520" s="165"/>
      <c r="Y520" s="165"/>
      <c r="Z520" s="165"/>
    </row>
    <row r="521" spans="16:26">
      <c r="P521" s="165"/>
      <c r="Q521" s="165"/>
      <c r="R521" s="165"/>
      <c r="S521" s="165"/>
      <c r="T521" s="165"/>
      <c r="U521" s="165"/>
      <c r="V521" s="165"/>
      <c r="W521" s="165"/>
      <c r="X521" s="165"/>
      <c r="Y521" s="165"/>
      <c r="Z521" s="165"/>
    </row>
    <row r="522" spans="16:26">
      <c r="P522" s="165"/>
      <c r="Q522" s="165"/>
      <c r="R522" s="165"/>
      <c r="S522" s="165"/>
      <c r="T522" s="165"/>
      <c r="U522" s="165"/>
      <c r="V522" s="165"/>
      <c r="W522" s="165"/>
      <c r="X522" s="165"/>
      <c r="Y522" s="165"/>
      <c r="Z522" s="165"/>
    </row>
    <row r="523" spans="16:26">
      <c r="P523" s="165"/>
      <c r="Q523" s="165"/>
      <c r="R523" s="165"/>
      <c r="S523" s="165"/>
      <c r="T523" s="165"/>
      <c r="U523" s="165"/>
      <c r="V523" s="165"/>
      <c r="W523" s="165"/>
      <c r="X523" s="165"/>
      <c r="Y523" s="165"/>
      <c r="Z523" s="165"/>
    </row>
    <row r="524" spans="16:26">
      <c r="P524" s="165"/>
      <c r="Q524" s="165"/>
      <c r="R524" s="165"/>
      <c r="S524" s="165"/>
      <c r="T524" s="165"/>
      <c r="U524" s="165"/>
      <c r="V524" s="165"/>
      <c r="W524" s="165"/>
      <c r="X524" s="165"/>
      <c r="Y524" s="165"/>
      <c r="Z524" s="165"/>
    </row>
    <row r="525" spans="16:26">
      <c r="P525" s="165"/>
      <c r="Q525" s="165"/>
      <c r="R525" s="165"/>
      <c r="S525" s="165"/>
      <c r="T525" s="165"/>
      <c r="U525" s="165"/>
      <c r="V525" s="165"/>
      <c r="W525" s="165"/>
      <c r="X525" s="165"/>
      <c r="Y525" s="165"/>
      <c r="Z525" s="165"/>
    </row>
    <row r="526" spans="16:26">
      <c r="P526" s="165"/>
      <c r="Q526" s="165"/>
      <c r="R526" s="165"/>
      <c r="S526" s="165"/>
      <c r="T526" s="165"/>
      <c r="U526" s="165"/>
      <c r="V526" s="165"/>
      <c r="W526" s="165"/>
      <c r="X526" s="165"/>
      <c r="Y526" s="165"/>
      <c r="Z526" s="165"/>
    </row>
    <row r="527" spans="16:26">
      <c r="P527" s="165"/>
      <c r="Q527" s="165"/>
      <c r="R527" s="165"/>
      <c r="S527" s="165"/>
      <c r="T527" s="165"/>
      <c r="U527" s="165"/>
      <c r="V527" s="165"/>
      <c r="W527" s="165"/>
      <c r="X527" s="165"/>
      <c r="Y527" s="165"/>
      <c r="Z527" s="165"/>
    </row>
    <row r="528" spans="16:26">
      <c r="P528" s="165"/>
      <c r="Q528" s="165"/>
      <c r="R528" s="165"/>
      <c r="S528" s="165"/>
      <c r="T528" s="165"/>
      <c r="U528" s="165"/>
      <c r="V528" s="165"/>
      <c r="W528" s="165"/>
      <c r="X528" s="165"/>
      <c r="Y528" s="165"/>
      <c r="Z528" s="165"/>
    </row>
    <row r="529" spans="16:26">
      <c r="P529" s="165"/>
      <c r="Q529" s="165"/>
      <c r="R529" s="165"/>
      <c r="S529" s="165"/>
      <c r="T529" s="165"/>
      <c r="U529" s="165"/>
      <c r="V529" s="165"/>
      <c r="W529" s="165"/>
      <c r="X529" s="165"/>
      <c r="Y529" s="165"/>
      <c r="Z529" s="165"/>
    </row>
    <row r="530" spans="16:26">
      <c r="P530" s="165"/>
      <c r="Q530" s="165"/>
      <c r="R530" s="165"/>
      <c r="S530" s="165"/>
      <c r="T530" s="165"/>
      <c r="U530" s="165"/>
      <c r="V530" s="165"/>
      <c r="W530" s="165"/>
      <c r="X530" s="165"/>
      <c r="Y530" s="165"/>
      <c r="Z530" s="165"/>
    </row>
    <row r="531" spans="16:26">
      <c r="P531" s="165"/>
      <c r="Q531" s="165"/>
      <c r="R531" s="165"/>
      <c r="S531" s="165"/>
      <c r="T531" s="165"/>
      <c r="U531" s="165"/>
      <c r="V531" s="165"/>
      <c r="W531" s="165"/>
      <c r="X531" s="165"/>
      <c r="Y531" s="165"/>
      <c r="Z531" s="165"/>
    </row>
    <row r="532" spans="16:26">
      <c r="P532" s="165"/>
      <c r="Q532" s="165"/>
      <c r="R532" s="165"/>
      <c r="S532" s="165"/>
      <c r="T532" s="165"/>
      <c r="U532" s="165"/>
      <c r="V532" s="165"/>
      <c r="W532" s="165"/>
      <c r="X532" s="165"/>
      <c r="Y532" s="165"/>
      <c r="Z532" s="165"/>
    </row>
    <row r="533" spans="16:26">
      <c r="P533" s="165"/>
      <c r="Q533" s="165"/>
      <c r="R533" s="165"/>
      <c r="S533" s="165"/>
      <c r="T533" s="165"/>
      <c r="U533" s="165"/>
      <c r="V533" s="165"/>
      <c r="W533" s="165"/>
      <c r="X533" s="165"/>
      <c r="Y533" s="165"/>
      <c r="Z533" s="165"/>
    </row>
    <row r="534" spans="16:26">
      <c r="P534" s="165"/>
      <c r="Q534" s="165"/>
      <c r="R534" s="165"/>
      <c r="S534" s="165"/>
      <c r="T534" s="165"/>
      <c r="U534" s="165"/>
      <c r="V534" s="165"/>
      <c r="W534" s="165"/>
      <c r="X534" s="165"/>
      <c r="Y534" s="165"/>
      <c r="Z534" s="165"/>
    </row>
    <row r="535" spans="16:26">
      <c r="P535" s="165"/>
      <c r="Q535" s="165"/>
      <c r="R535" s="165"/>
      <c r="S535" s="165"/>
      <c r="T535" s="165"/>
      <c r="U535" s="165"/>
      <c r="V535" s="165"/>
      <c r="W535" s="165"/>
      <c r="X535" s="165"/>
      <c r="Y535" s="165"/>
      <c r="Z535" s="165"/>
    </row>
    <row r="536" spans="16:26">
      <c r="P536" s="165"/>
      <c r="Q536" s="165"/>
      <c r="R536" s="165"/>
      <c r="S536" s="165"/>
      <c r="T536" s="165"/>
      <c r="U536" s="165"/>
      <c r="V536" s="165"/>
      <c r="W536" s="165"/>
      <c r="X536" s="165"/>
      <c r="Y536" s="165"/>
      <c r="Z536" s="165"/>
    </row>
    <row r="537" spans="16:26">
      <c r="P537" s="165"/>
      <c r="Q537" s="165"/>
      <c r="R537" s="165"/>
      <c r="S537" s="165"/>
      <c r="T537" s="165"/>
      <c r="U537" s="165"/>
      <c r="V537" s="165"/>
      <c r="W537" s="165"/>
      <c r="X537" s="165"/>
      <c r="Y537" s="165"/>
      <c r="Z537" s="165"/>
    </row>
    <row r="538" spans="16:26">
      <c r="P538" s="165"/>
      <c r="Q538" s="165"/>
      <c r="R538" s="165"/>
      <c r="S538" s="165"/>
      <c r="T538" s="165"/>
      <c r="U538" s="165"/>
      <c r="V538" s="165"/>
      <c r="W538" s="165"/>
      <c r="X538" s="165"/>
      <c r="Y538" s="165"/>
      <c r="Z538" s="165"/>
    </row>
    <row r="539" spans="16:26">
      <c r="P539" s="165"/>
      <c r="Q539" s="165"/>
      <c r="R539" s="165"/>
      <c r="S539" s="165"/>
      <c r="T539" s="165"/>
      <c r="U539" s="165"/>
      <c r="V539" s="165"/>
      <c r="W539" s="165"/>
      <c r="X539" s="165"/>
      <c r="Y539" s="165"/>
      <c r="Z539" s="165"/>
    </row>
    <row r="540" spans="16:26">
      <c r="P540" s="165"/>
      <c r="Q540" s="165"/>
      <c r="R540" s="165"/>
      <c r="S540" s="165"/>
      <c r="T540" s="165"/>
      <c r="U540" s="165"/>
      <c r="V540" s="165"/>
      <c r="W540" s="165"/>
      <c r="X540" s="165"/>
      <c r="Y540" s="165"/>
      <c r="Z540" s="165"/>
    </row>
    <row r="541" spans="16:26">
      <c r="P541" s="165"/>
      <c r="Q541" s="165"/>
      <c r="R541" s="165"/>
      <c r="S541" s="165"/>
      <c r="T541" s="165"/>
      <c r="U541" s="165"/>
      <c r="V541" s="165"/>
      <c r="W541" s="165"/>
      <c r="X541" s="165"/>
      <c r="Y541" s="165"/>
      <c r="Z541" s="165"/>
    </row>
    <row r="542" spans="16:26">
      <c r="P542" s="165"/>
      <c r="Q542" s="165"/>
      <c r="R542" s="165"/>
      <c r="S542" s="165"/>
      <c r="T542" s="165"/>
      <c r="U542" s="165"/>
      <c r="V542" s="165"/>
      <c r="W542" s="165"/>
      <c r="X542" s="165"/>
      <c r="Y542" s="165"/>
      <c r="Z542" s="165"/>
    </row>
    <row r="543" spans="16:26">
      <c r="P543" s="165"/>
      <c r="Q543" s="165"/>
      <c r="R543" s="165"/>
      <c r="S543" s="165"/>
      <c r="T543" s="165"/>
      <c r="U543" s="165"/>
      <c r="V543" s="165"/>
      <c r="W543" s="165"/>
      <c r="X543" s="165"/>
      <c r="Y543" s="165"/>
      <c r="Z543" s="165"/>
    </row>
    <row r="544" spans="16:26">
      <c r="P544" s="165"/>
      <c r="Q544" s="165"/>
      <c r="R544" s="165"/>
      <c r="S544" s="165"/>
      <c r="T544" s="165"/>
      <c r="U544" s="165"/>
      <c r="V544" s="165"/>
      <c r="W544" s="165"/>
      <c r="X544" s="165"/>
      <c r="Y544" s="165"/>
      <c r="Z544" s="165"/>
    </row>
    <row r="545" spans="16:26">
      <c r="P545" s="165"/>
      <c r="Q545" s="165"/>
      <c r="R545" s="165"/>
      <c r="S545" s="165"/>
      <c r="T545" s="165"/>
      <c r="U545" s="165"/>
      <c r="V545" s="165"/>
      <c r="W545" s="165"/>
      <c r="X545" s="165"/>
      <c r="Y545" s="165"/>
      <c r="Z545" s="165"/>
    </row>
    <row r="546" spans="16:26">
      <c r="P546" s="165"/>
      <c r="Q546" s="165"/>
      <c r="R546" s="165"/>
      <c r="S546" s="165"/>
      <c r="T546" s="165"/>
      <c r="U546" s="165"/>
      <c r="V546" s="165"/>
      <c r="W546" s="165"/>
      <c r="X546" s="165"/>
      <c r="Y546" s="165"/>
      <c r="Z546" s="165"/>
    </row>
    <row r="547" spans="16:26">
      <c r="P547" s="165"/>
      <c r="Q547" s="165"/>
      <c r="R547" s="165"/>
      <c r="S547" s="165"/>
      <c r="T547" s="165"/>
      <c r="U547" s="165"/>
      <c r="V547" s="165"/>
      <c r="W547" s="165"/>
      <c r="X547" s="165"/>
      <c r="Y547" s="165"/>
      <c r="Z547" s="165"/>
    </row>
    <row r="548" spans="16:26">
      <c r="P548" s="165"/>
      <c r="Q548" s="165"/>
      <c r="R548" s="165"/>
      <c r="S548" s="165"/>
      <c r="T548" s="165"/>
      <c r="U548" s="165"/>
      <c r="V548" s="165"/>
      <c r="W548" s="165"/>
      <c r="X548" s="165"/>
      <c r="Y548" s="165"/>
      <c r="Z548" s="165"/>
    </row>
    <row r="549" spans="16:26">
      <c r="P549" s="165"/>
      <c r="Q549" s="165"/>
      <c r="R549" s="165"/>
      <c r="S549" s="165"/>
      <c r="T549" s="165"/>
      <c r="U549" s="165"/>
      <c r="V549" s="165"/>
      <c r="W549" s="165"/>
      <c r="X549" s="165"/>
      <c r="Y549" s="165"/>
      <c r="Z549" s="165"/>
    </row>
    <row r="550" spans="16:26">
      <c r="P550" s="165"/>
      <c r="Q550" s="165"/>
      <c r="R550" s="165"/>
      <c r="S550" s="165"/>
      <c r="T550" s="165"/>
      <c r="U550" s="165"/>
      <c r="V550" s="165"/>
      <c r="W550" s="165"/>
      <c r="X550" s="165"/>
      <c r="Y550" s="165"/>
      <c r="Z550" s="165"/>
    </row>
    <row r="551" spans="16:26">
      <c r="P551" s="165"/>
      <c r="Q551" s="165"/>
      <c r="R551" s="165"/>
      <c r="S551" s="165"/>
      <c r="T551" s="165"/>
      <c r="U551" s="165"/>
      <c r="V551" s="165"/>
      <c r="W551" s="165"/>
      <c r="X551" s="165"/>
      <c r="Y551" s="165"/>
      <c r="Z551" s="165"/>
    </row>
    <row r="552" spans="16:26">
      <c r="P552" s="165"/>
      <c r="Q552" s="165"/>
      <c r="R552" s="165"/>
      <c r="S552" s="165"/>
      <c r="T552" s="165"/>
      <c r="U552" s="165"/>
      <c r="V552" s="165"/>
      <c r="W552" s="165"/>
      <c r="X552" s="165"/>
      <c r="Y552" s="165"/>
      <c r="Z552" s="165"/>
    </row>
    <row r="553" spans="16:26">
      <c r="P553" s="165"/>
      <c r="Q553" s="165"/>
      <c r="R553" s="165"/>
      <c r="S553" s="165"/>
      <c r="T553" s="165"/>
      <c r="U553" s="165"/>
      <c r="V553" s="165"/>
      <c r="W553" s="165"/>
      <c r="X553" s="165"/>
      <c r="Y553" s="165"/>
      <c r="Z553" s="165"/>
    </row>
    <row r="554" spans="16:26">
      <c r="P554" s="165"/>
      <c r="Q554" s="165"/>
      <c r="R554" s="165"/>
      <c r="S554" s="165"/>
      <c r="T554" s="165"/>
      <c r="U554" s="165"/>
      <c r="V554" s="165"/>
      <c r="W554" s="165"/>
      <c r="X554" s="165"/>
      <c r="Y554" s="165"/>
      <c r="Z554" s="165"/>
    </row>
    <row r="555" spans="16:26">
      <c r="P555" s="165"/>
      <c r="Q555" s="165"/>
      <c r="R555" s="165"/>
      <c r="S555" s="165"/>
      <c r="T555" s="165"/>
      <c r="U555" s="165"/>
      <c r="V555" s="165"/>
      <c r="W555" s="165"/>
      <c r="X555" s="165"/>
      <c r="Y555" s="165"/>
      <c r="Z555" s="165"/>
    </row>
    <row r="556" spans="16:26">
      <c r="P556" s="165"/>
      <c r="Q556" s="165"/>
      <c r="R556" s="165"/>
      <c r="S556" s="165"/>
      <c r="T556" s="165"/>
      <c r="U556" s="165"/>
      <c r="V556" s="165"/>
      <c r="W556" s="165"/>
      <c r="X556" s="165"/>
      <c r="Y556" s="165"/>
      <c r="Z556" s="165"/>
    </row>
    <row r="557" spans="16:26">
      <c r="P557" s="165"/>
      <c r="Q557" s="165"/>
      <c r="R557" s="165"/>
      <c r="S557" s="165"/>
      <c r="T557" s="165"/>
      <c r="U557" s="165"/>
      <c r="V557" s="165"/>
      <c r="W557" s="165"/>
      <c r="X557" s="165"/>
      <c r="Y557" s="165"/>
      <c r="Z557" s="165"/>
    </row>
    <row r="558" spans="16:26">
      <c r="P558" s="165"/>
      <c r="Q558" s="165"/>
      <c r="R558" s="165"/>
      <c r="S558" s="165"/>
      <c r="T558" s="165"/>
      <c r="U558" s="165"/>
      <c r="V558" s="165"/>
      <c r="W558" s="165"/>
      <c r="X558" s="165"/>
      <c r="Y558" s="165"/>
      <c r="Z558" s="165"/>
    </row>
    <row r="559" spans="16:26">
      <c r="P559" s="165"/>
      <c r="Q559" s="165"/>
      <c r="R559" s="165"/>
      <c r="S559" s="165"/>
      <c r="T559" s="165"/>
      <c r="U559" s="165"/>
      <c r="V559" s="165"/>
      <c r="W559" s="165"/>
      <c r="X559" s="165"/>
      <c r="Y559" s="165"/>
      <c r="Z559" s="165"/>
    </row>
    <row r="560" spans="16:26">
      <c r="P560" s="165"/>
      <c r="Q560" s="165"/>
      <c r="R560" s="165"/>
      <c r="S560" s="165"/>
      <c r="T560" s="165"/>
      <c r="U560" s="165"/>
      <c r="V560" s="165"/>
      <c r="W560" s="165"/>
      <c r="X560" s="165"/>
      <c r="Y560" s="165"/>
      <c r="Z560" s="165"/>
    </row>
    <row r="561" spans="16:26">
      <c r="P561" s="165"/>
      <c r="Q561" s="165"/>
      <c r="R561" s="165"/>
      <c r="S561" s="165"/>
      <c r="T561" s="165"/>
      <c r="U561" s="165"/>
      <c r="V561" s="165"/>
      <c r="W561" s="165"/>
      <c r="X561" s="165"/>
      <c r="Y561" s="165"/>
      <c r="Z561" s="165"/>
    </row>
    <row r="562" spans="16:26">
      <c r="P562" s="165"/>
      <c r="Q562" s="165"/>
      <c r="R562" s="165"/>
      <c r="S562" s="165"/>
      <c r="T562" s="165"/>
      <c r="U562" s="165"/>
      <c r="V562" s="165"/>
      <c r="W562" s="165"/>
      <c r="X562" s="165"/>
      <c r="Y562" s="165"/>
      <c r="Z562" s="165"/>
    </row>
    <row r="563" spans="16:26">
      <c r="P563" s="165"/>
      <c r="Q563" s="165"/>
      <c r="R563" s="165"/>
      <c r="S563" s="165"/>
      <c r="T563" s="165"/>
      <c r="U563" s="165"/>
      <c r="V563" s="165"/>
      <c r="W563" s="165"/>
      <c r="X563" s="165"/>
      <c r="Y563" s="165"/>
      <c r="Z563" s="165"/>
    </row>
    <row r="564" spans="16:26">
      <c r="P564" s="165"/>
      <c r="Q564" s="165"/>
      <c r="R564" s="165"/>
      <c r="S564" s="165"/>
      <c r="T564" s="165"/>
      <c r="U564" s="165"/>
      <c r="V564" s="165"/>
      <c r="W564" s="165"/>
      <c r="X564" s="165"/>
      <c r="Y564" s="165"/>
      <c r="Z564" s="165"/>
    </row>
    <row r="565" spans="16:26">
      <c r="P565" s="165"/>
      <c r="Q565" s="165"/>
      <c r="R565" s="165"/>
      <c r="S565" s="165"/>
      <c r="T565" s="165"/>
      <c r="U565" s="165"/>
      <c r="V565" s="165"/>
      <c r="W565" s="165"/>
      <c r="X565" s="165"/>
      <c r="Y565" s="165"/>
      <c r="Z565" s="165"/>
    </row>
    <row r="566" spans="16:26">
      <c r="P566" s="165"/>
      <c r="Q566" s="165"/>
      <c r="R566" s="165"/>
      <c r="S566" s="165"/>
      <c r="T566" s="165"/>
      <c r="U566" s="165"/>
      <c r="V566" s="165"/>
      <c r="W566" s="165"/>
      <c r="X566" s="165"/>
      <c r="Y566" s="165"/>
      <c r="Z566" s="165"/>
    </row>
    <row r="567" spans="16:26">
      <c r="P567" s="165"/>
      <c r="Q567" s="165"/>
      <c r="R567" s="165"/>
      <c r="S567" s="165"/>
      <c r="T567" s="165"/>
      <c r="U567" s="165"/>
      <c r="V567" s="165"/>
      <c r="W567" s="165"/>
      <c r="X567" s="165"/>
      <c r="Y567" s="165"/>
      <c r="Z567" s="165"/>
    </row>
    <row r="568" spans="16:26">
      <c r="P568" s="165"/>
      <c r="Q568" s="165"/>
      <c r="R568" s="165"/>
      <c r="S568" s="165"/>
      <c r="T568" s="165"/>
      <c r="U568" s="165"/>
      <c r="V568" s="165"/>
      <c r="W568" s="165"/>
      <c r="X568" s="165"/>
      <c r="Y568" s="165"/>
      <c r="Z568" s="165"/>
    </row>
    <row r="569" spans="16:26">
      <c r="P569" s="165"/>
      <c r="Q569" s="165"/>
      <c r="R569" s="165"/>
      <c r="S569" s="165"/>
      <c r="T569" s="165"/>
      <c r="U569" s="165"/>
      <c r="V569" s="165"/>
      <c r="W569" s="165"/>
      <c r="X569" s="165"/>
      <c r="Y569" s="165"/>
      <c r="Z569" s="165"/>
    </row>
    <row r="570" spans="16:26">
      <c r="P570" s="165"/>
      <c r="Q570" s="165"/>
      <c r="R570" s="165"/>
      <c r="S570" s="165"/>
      <c r="T570" s="165"/>
      <c r="U570" s="165"/>
      <c r="V570" s="165"/>
      <c r="W570" s="165"/>
      <c r="X570" s="165"/>
      <c r="Y570" s="165"/>
      <c r="Z570" s="165"/>
    </row>
    <row r="571" spans="16:26">
      <c r="P571" s="165"/>
      <c r="Q571" s="165"/>
      <c r="R571" s="165"/>
      <c r="S571" s="165"/>
      <c r="T571" s="165"/>
      <c r="U571" s="165"/>
      <c r="V571" s="165"/>
      <c r="W571" s="165"/>
      <c r="X571" s="165"/>
      <c r="Y571" s="165"/>
      <c r="Z571" s="165"/>
    </row>
    <row r="572" spans="16:26">
      <c r="P572" s="165"/>
      <c r="Q572" s="165"/>
      <c r="R572" s="165"/>
      <c r="S572" s="165"/>
      <c r="T572" s="165"/>
      <c r="U572" s="165"/>
      <c r="V572" s="165"/>
      <c r="W572" s="165"/>
      <c r="X572" s="165"/>
      <c r="Y572" s="165"/>
      <c r="Z572" s="165"/>
    </row>
    <row r="573" spans="16:26">
      <c r="P573" s="165"/>
      <c r="Q573" s="165"/>
      <c r="R573" s="165"/>
      <c r="S573" s="165"/>
      <c r="T573" s="165"/>
      <c r="U573" s="165"/>
      <c r="V573" s="165"/>
      <c r="W573" s="165"/>
      <c r="X573" s="165"/>
      <c r="Y573" s="165"/>
      <c r="Z573" s="165"/>
    </row>
    <row r="574" spans="16:26">
      <c r="P574" s="165"/>
      <c r="Q574" s="165"/>
      <c r="R574" s="165"/>
      <c r="S574" s="165"/>
      <c r="T574" s="165"/>
      <c r="U574" s="165"/>
      <c r="V574" s="165"/>
      <c r="W574" s="165"/>
      <c r="X574" s="165"/>
      <c r="Y574" s="165"/>
      <c r="Z574" s="165"/>
    </row>
    <row r="575" spans="16:26">
      <c r="P575" s="165"/>
      <c r="Q575" s="165"/>
      <c r="R575" s="165"/>
      <c r="S575" s="165"/>
      <c r="T575" s="165"/>
      <c r="U575" s="165"/>
      <c r="V575" s="165"/>
      <c r="W575" s="165"/>
      <c r="X575" s="165"/>
      <c r="Y575" s="165"/>
      <c r="Z575" s="165"/>
    </row>
    <row r="576" spans="16:26">
      <c r="P576" s="165"/>
      <c r="Q576" s="165"/>
      <c r="R576" s="165"/>
      <c r="S576" s="165"/>
      <c r="T576" s="165"/>
      <c r="U576" s="165"/>
      <c r="V576" s="165"/>
      <c r="W576" s="165"/>
      <c r="X576" s="165"/>
      <c r="Y576" s="165"/>
      <c r="Z576" s="165"/>
    </row>
    <row r="577" spans="16:26">
      <c r="P577" s="165"/>
      <c r="Q577" s="165"/>
      <c r="R577" s="165"/>
      <c r="S577" s="165"/>
      <c r="T577" s="165"/>
      <c r="U577" s="165"/>
      <c r="V577" s="165"/>
      <c r="W577" s="165"/>
      <c r="X577" s="165"/>
      <c r="Y577" s="165"/>
      <c r="Z577" s="165"/>
    </row>
    <row r="578" spans="16:26">
      <c r="P578" s="165"/>
      <c r="Q578" s="165"/>
      <c r="R578" s="165"/>
      <c r="S578" s="165"/>
      <c r="T578" s="165"/>
      <c r="U578" s="165"/>
      <c r="V578" s="165"/>
      <c r="W578" s="165"/>
      <c r="X578" s="165"/>
      <c r="Y578" s="165"/>
      <c r="Z578" s="165"/>
    </row>
    <row r="579" spans="16:26">
      <c r="P579" s="165"/>
      <c r="Q579" s="165"/>
      <c r="R579" s="165"/>
      <c r="S579" s="165"/>
      <c r="T579" s="165"/>
      <c r="U579" s="165"/>
      <c r="V579" s="165"/>
      <c r="W579" s="165"/>
      <c r="X579" s="165"/>
      <c r="Y579" s="165"/>
      <c r="Z579" s="165"/>
    </row>
    <row r="580" spans="16:26">
      <c r="P580" s="165"/>
      <c r="Q580" s="165"/>
      <c r="R580" s="165"/>
      <c r="S580" s="165"/>
      <c r="T580" s="165"/>
      <c r="U580" s="165"/>
      <c r="V580" s="165"/>
      <c r="W580" s="165"/>
      <c r="X580" s="165"/>
      <c r="Y580" s="165"/>
      <c r="Z580" s="165"/>
    </row>
    <row r="581" spans="16:26">
      <c r="P581" s="165"/>
      <c r="Q581" s="165"/>
      <c r="R581" s="165"/>
      <c r="S581" s="165"/>
      <c r="T581" s="165"/>
      <c r="U581" s="165"/>
      <c r="V581" s="165"/>
      <c r="W581" s="165"/>
      <c r="X581" s="165"/>
      <c r="Y581" s="165"/>
      <c r="Z581" s="165"/>
    </row>
    <row r="582" spans="16:26">
      <c r="P582" s="165"/>
      <c r="Q582" s="165"/>
      <c r="R582" s="165"/>
      <c r="S582" s="165"/>
      <c r="T582" s="165"/>
      <c r="U582" s="165"/>
      <c r="V582" s="165"/>
      <c r="W582" s="165"/>
      <c r="X582" s="165"/>
      <c r="Y582" s="165"/>
      <c r="Z582" s="165"/>
    </row>
    <row r="583" spans="16:26">
      <c r="P583" s="165"/>
      <c r="Q583" s="165"/>
      <c r="R583" s="165"/>
      <c r="S583" s="165"/>
      <c r="T583" s="165"/>
      <c r="U583" s="165"/>
      <c r="V583" s="165"/>
      <c r="W583" s="165"/>
      <c r="X583" s="165"/>
      <c r="Y583" s="165"/>
      <c r="Z583" s="165"/>
    </row>
    <row r="584" spans="16:26">
      <c r="P584" s="165"/>
      <c r="Q584" s="165"/>
      <c r="R584" s="165"/>
      <c r="S584" s="165"/>
      <c r="T584" s="165"/>
      <c r="U584" s="165"/>
      <c r="V584" s="165"/>
      <c r="W584" s="165"/>
      <c r="X584" s="165"/>
      <c r="Y584" s="165"/>
      <c r="Z584" s="165"/>
    </row>
    <row r="585" spans="16:26">
      <c r="P585" s="165"/>
      <c r="Q585" s="165"/>
      <c r="R585" s="165"/>
      <c r="S585" s="165"/>
      <c r="T585" s="165"/>
      <c r="U585" s="165"/>
      <c r="V585" s="165"/>
      <c r="W585" s="165"/>
      <c r="X585" s="165"/>
      <c r="Y585" s="165"/>
      <c r="Z585" s="165"/>
    </row>
    <row r="586" spans="16:26">
      <c r="P586" s="165"/>
      <c r="Q586" s="165"/>
      <c r="R586" s="165"/>
      <c r="S586" s="165"/>
      <c r="T586" s="165"/>
      <c r="U586" s="165"/>
      <c r="V586" s="165"/>
      <c r="W586" s="165"/>
      <c r="X586" s="165"/>
      <c r="Y586" s="165"/>
      <c r="Z586" s="165"/>
    </row>
    <row r="587" spans="16:26">
      <c r="P587" s="165"/>
      <c r="Q587" s="165"/>
      <c r="R587" s="165"/>
      <c r="S587" s="165"/>
      <c r="T587" s="165"/>
      <c r="U587" s="165"/>
      <c r="V587" s="165"/>
      <c r="W587" s="165"/>
      <c r="X587" s="165"/>
      <c r="Y587" s="165"/>
      <c r="Z587" s="165"/>
    </row>
    <row r="588" spans="16:26">
      <c r="P588" s="165"/>
      <c r="Q588" s="165"/>
      <c r="R588" s="165"/>
      <c r="S588" s="165"/>
      <c r="T588" s="165"/>
      <c r="U588" s="165"/>
      <c r="V588" s="165"/>
      <c r="W588" s="165"/>
      <c r="X588" s="165"/>
      <c r="Y588" s="165"/>
      <c r="Z588" s="165"/>
    </row>
    <row r="589" spans="16:26">
      <c r="P589" s="165"/>
      <c r="Q589" s="165"/>
      <c r="R589" s="165"/>
      <c r="S589" s="165"/>
      <c r="T589" s="165"/>
      <c r="U589" s="165"/>
      <c r="V589" s="165"/>
      <c r="W589" s="165"/>
      <c r="X589" s="165"/>
      <c r="Y589" s="165"/>
      <c r="Z589" s="165"/>
    </row>
    <row r="590" spans="16:26">
      <c r="P590" s="165"/>
      <c r="Q590" s="165"/>
      <c r="R590" s="165"/>
      <c r="S590" s="165"/>
      <c r="T590" s="165"/>
      <c r="U590" s="165"/>
      <c r="V590" s="165"/>
      <c r="W590" s="165"/>
      <c r="X590" s="165"/>
      <c r="Y590" s="165"/>
      <c r="Z590" s="165"/>
    </row>
    <row r="591" spans="16:26">
      <c r="P591" s="165"/>
      <c r="Q591" s="165"/>
      <c r="R591" s="165"/>
      <c r="S591" s="165"/>
      <c r="T591" s="165"/>
      <c r="U591" s="165"/>
      <c r="V591" s="165"/>
      <c r="W591" s="165"/>
      <c r="X591" s="165"/>
      <c r="Y591" s="165"/>
      <c r="Z591" s="165"/>
    </row>
    <row r="592" spans="16:26">
      <c r="P592" s="165"/>
      <c r="Q592" s="165"/>
      <c r="R592" s="165"/>
      <c r="S592" s="165"/>
      <c r="T592" s="165"/>
      <c r="U592" s="165"/>
      <c r="V592" s="165"/>
      <c r="W592" s="165"/>
      <c r="X592" s="165"/>
      <c r="Y592" s="165"/>
      <c r="Z592" s="165"/>
    </row>
    <row r="593" spans="16:26">
      <c r="P593" s="165"/>
      <c r="Q593" s="165"/>
      <c r="R593" s="165"/>
      <c r="S593" s="165"/>
      <c r="T593" s="165"/>
      <c r="U593" s="165"/>
      <c r="V593" s="165"/>
      <c r="W593" s="165"/>
      <c r="X593" s="165"/>
      <c r="Y593" s="165"/>
      <c r="Z593" s="165"/>
    </row>
    <row r="594" spans="16:26">
      <c r="P594" s="165"/>
      <c r="Q594" s="165"/>
      <c r="R594" s="165"/>
      <c r="S594" s="165"/>
      <c r="T594" s="165"/>
      <c r="U594" s="165"/>
      <c r="V594" s="165"/>
      <c r="W594" s="165"/>
      <c r="X594" s="165"/>
      <c r="Y594" s="165"/>
      <c r="Z594" s="165"/>
    </row>
    <row r="595" spans="16:26">
      <c r="P595" s="165"/>
      <c r="Q595" s="165"/>
      <c r="R595" s="165"/>
      <c r="S595" s="165"/>
      <c r="T595" s="165"/>
      <c r="U595" s="165"/>
      <c r="V595" s="165"/>
      <c r="W595" s="165"/>
      <c r="X595" s="165"/>
      <c r="Y595" s="165"/>
      <c r="Z595" s="165"/>
    </row>
    <row r="596" spans="16:26">
      <c r="P596" s="165"/>
      <c r="Q596" s="165"/>
      <c r="R596" s="165"/>
      <c r="S596" s="165"/>
      <c r="T596" s="165"/>
      <c r="U596" s="165"/>
      <c r="V596" s="165"/>
      <c r="W596" s="165"/>
      <c r="X596" s="165"/>
      <c r="Y596" s="165"/>
      <c r="Z596" s="165"/>
    </row>
    <row r="597" spans="16:26">
      <c r="P597" s="165"/>
      <c r="Q597" s="165"/>
      <c r="R597" s="165"/>
      <c r="S597" s="165"/>
      <c r="T597" s="165"/>
      <c r="U597" s="165"/>
      <c r="V597" s="165"/>
      <c r="W597" s="165"/>
      <c r="X597" s="165"/>
      <c r="Y597" s="165"/>
      <c r="Z597" s="165"/>
    </row>
    <row r="598" spans="16:26">
      <c r="P598" s="165"/>
      <c r="Q598" s="165"/>
      <c r="R598" s="165"/>
      <c r="S598" s="165"/>
      <c r="T598" s="165"/>
      <c r="U598" s="165"/>
      <c r="V598" s="165"/>
      <c r="W598" s="165"/>
      <c r="X598" s="165"/>
      <c r="Y598" s="165"/>
      <c r="Z598" s="165"/>
    </row>
    <row r="599" spans="16:26">
      <c r="P599" s="165"/>
      <c r="Q599" s="165"/>
      <c r="R599" s="165"/>
      <c r="S599" s="165"/>
      <c r="T599" s="165"/>
      <c r="U599" s="165"/>
      <c r="V599" s="165"/>
      <c r="W599" s="165"/>
      <c r="X599" s="165"/>
      <c r="Y599" s="165"/>
      <c r="Z599" s="165"/>
    </row>
    <row r="600" spans="16:26">
      <c r="P600" s="165"/>
      <c r="Q600" s="165"/>
      <c r="R600" s="165"/>
      <c r="S600" s="165"/>
      <c r="T600" s="165"/>
      <c r="U600" s="165"/>
      <c r="V600" s="165"/>
      <c r="W600" s="165"/>
      <c r="X600" s="165"/>
      <c r="Y600" s="165"/>
      <c r="Z600" s="165"/>
    </row>
    <row r="601" spans="16:26">
      <c r="P601" s="165"/>
      <c r="Q601" s="165"/>
      <c r="R601" s="165"/>
      <c r="S601" s="165"/>
      <c r="T601" s="165"/>
      <c r="U601" s="165"/>
      <c r="V601" s="165"/>
      <c r="W601" s="165"/>
      <c r="X601" s="165"/>
      <c r="Y601" s="165"/>
      <c r="Z601" s="165"/>
    </row>
    <row r="602" spans="16:26">
      <c r="P602" s="165"/>
      <c r="Q602" s="165"/>
      <c r="R602" s="165"/>
      <c r="S602" s="165"/>
      <c r="T602" s="165"/>
      <c r="U602" s="165"/>
      <c r="V602" s="165"/>
      <c r="W602" s="165"/>
      <c r="X602" s="165"/>
      <c r="Y602" s="165"/>
      <c r="Z602" s="165"/>
    </row>
    <row r="603" spans="16:26">
      <c r="P603" s="165"/>
      <c r="Q603" s="165"/>
      <c r="R603" s="165"/>
      <c r="S603" s="165"/>
      <c r="T603" s="165"/>
      <c r="U603" s="165"/>
      <c r="V603" s="165"/>
      <c r="W603" s="165"/>
      <c r="X603" s="165"/>
      <c r="Y603" s="165"/>
      <c r="Z603" s="165"/>
    </row>
    <row r="604" spans="16:26">
      <c r="P604" s="165"/>
      <c r="Q604" s="165"/>
      <c r="R604" s="165"/>
      <c r="S604" s="165"/>
      <c r="T604" s="165"/>
      <c r="U604" s="165"/>
      <c r="V604" s="165"/>
      <c r="W604" s="165"/>
      <c r="X604" s="165"/>
      <c r="Y604" s="165"/>
      <c r="Z604" s="165"/>
    </row>
    <row r="605" spans="16:26">
      <c r="P605" s="165"/>
      <c r="Q605" s="165"/>
      <c r="R605" s="165"/>
      <c r="S605" s="165"/>
      <c r="T605" s="165"/>
      <c r="U605" s="165"/>
      <c r="V605" s="165"/>
      <c r="W605" s="165"/>
      <c r="X605" s="165"/>
      <c r="Y605" s="165"/>
      <c r="Z605" s="165"/>
    </row>
    <row r="606" spans="16:26">
      <c r="P606" s="165"/>
      <c r="Q606" s="165"/>
      <c r="R606" s="165"/>
      <c r="S606" s="165"/>
      <c r="T606" s="165"/>
      <c r="U606" s="165"/>
      <c r="V606" s="165"/>
      <c r="W606" s="165"/>
      <c r="X606" s="165"/>
      <c r="Y606" s="165"/>
      <c r="Z606" s="165"/>
    </row>
    <row r="607" spans="16:26">
      <c r="P607" s="165"/>
      <c r="Q607" s="165"/>
      <c r="R607" s="165"/>
      <c r="S607" s="165"/>
      <c r="T607" s="165"/>
      <c r="U607" s="165"/>
      <c r="V607" s="165"/>
      <c r="W607" s="165"/>
      <c r="X607" s="165"/>
      <c r="Y607" s="165"/>
      <c r="Z607" s="165"/>
    </row>
    <row r="608" spans="16:26">
      <c r="P608" s="165"/>
      <c r="Q608" s="165"/>
      <c r="R608" s="165"/>
      <c r="S608" s="165"/>
      <c r="T608" s="165"/>
      <c r="U608" s="165"/>
      <c r="V608" s="165"/>
      <c r="W608" s="165"/>
      <c r="X608" s="165"/>
      <c r="Y608" s="165"/>
      <c r="Z608" s="165"/>
    </row>
    <row r="609" spans="16:26">
      <c r="P609" s="165"/>
      <c r="Q609" s="165"/>
      <c r="R609" s="165"/>
      <c r="S609" s="165"/>
      <c r="T609" s="165"/>
      <c r="U609" s="165"/>
      <c r="V609" s="165"/>
      <c r="W609" s="165"/>
      <c r="X609" s="165"/>
      <c r="Y609" s="165"/>
      <c r="Z609" s="165"/>
    </row>
    <row r="610" spans="16:26">
      <c r="P610" s="165"/>
      <c r="Q610" s="165"/>
      <c r="R610" s="165"/>
      <c r="S610" s="165"/>
      <c r="T610" s="165"/>
      <c r="U610" s="165"/>
      <c r="V610" s="165"/>
      <c r="W610" s="165"/>
      <c r="X610" s="165"/>
      <c r="Y610" s="165"/>
      <c r="Z610" s="165"/>
    </row>
    <row r="611" spans="16:26">
      <c r="P611" s="165"/>
      <c r="Q611" s="165"/>
      <c r="R611" s="165"/>
      <c r="S611" s="165"/>
      <c r="T611" s="165"/>
      <c r="U611" s="165"/>
      <c r="V611" s="165"/>
      <c r="W611" s="165"/>
      <c r="X611" s="165"/>
      <c r="Y611" s="165"/>
      <c r="Z611" s="165"/>
    </row>
    <row r="612" spans="16:26">
      <c r="P612" s="165"/>
      <c r="Q612" s="165"/>
      <c r="R612" s="165"/>
      <c r="S612" s="165"/>
      <c r="T612" s="165"/>
      <c r="U612" s="165"/>
      <c r="V612" s="165"/>
      <c r="W612" s="165"/>
      <c r="X612" s="165"/>
      <c r="Y612" s="165"/>
      <c r="Z612" s="165"/>
    </row>
    <row r="613" spans="16:26">
      <c r="P613" s="165"/>
      <c r="Q613" s="165"/>
      <c r="R613" s="165"/>
      <c r="S613" s="165"/>
      <c r="T613" s="165"/>
      <c r="U613" s="165"/>
      <c r="V613" s="165"/>
      <c r="W613" s="165"/>
      <c r="X613" s="165"/>
      <c r="Y613" s="165"/>
      <c r="Z613" s="165"/>
    </row>
    <row r="614" spans="16:26">
      <c r="P614" s="165"/>
      <c r="Q614" s="165"/>
      <c r="R614" s="165"/>
      <c r="S614" s="165"/>
      <c r="T614" s="165"/>
      <c r="U614" s="165"/>
      <c r="V614" s="165"/>
      <c r="W614" s="165"/>
      <c r="X614" s="165"/>
      <c r="Y614" s="165"/>
      <c r="Z614" s="165"/>
    </row>
    <row r="615" spans="16:26">
      <c r="P615" s="165"/>
      <c r="Q615" s="165"/>
      <c r="R615" s="165"/>
      <c r="S615" s="165"/>
      <c r="T615" s="165"/>
      <c r="U615" s="165"/>
      <c r="V615" s="165"/>
      <c r="W615" s="165"/>
      <c r="X615" s="165"/>
      <c r="Y615" s="165"/>
      <c r="Z615" s="165"/>
    </row>
    <row r="616" spans="16:26">
      <c r="P616" s="165"/>
      <c r="Q616" s="165"/>
      <c r="R616" s="165"/>
      <c r="S616" s="165"/>
      <c r="T616" s="165"/>
      <c r="U616" s="165"/>
      <c r="V616" s="165"/>
      <c r="W616" s="165"/>
      <c r="X616" s="165"/>
      <c r="Y616" s="165"/>
      <c r="Z616" s="165"/>
    </row>
    <row r="617" spans="16:26">
      <c r="P617" s="165"/>
      <c r="Q617" s="165"/>
      <c r="R617" s="165"/>
      <c r="S617" s="165"/>
      <c r="T617" s="165"/>
      <c r="U617" s="165"/>
      <c r="V617" s="165"/>
      <c r="W617" s="165"/>
      <c r="X617" s="165"/>
      <c r="Y617" s="165"/>
      <c r="Z617" s="165"/>
    </row>
    <row r="618" spans="16:26">
      <c r="P618" s="165"/>
      <c r="Q618" s="165"/>
      <c r="R618" s="165"/>
      <c r="S618" s="165"/>
      <c r="T618" s="165"/>
      <c r="U618" s="165"/>
      <c r="V618" s="165"/>
      <c r="W618" s="165"/>
      <c r="X618" s="165"/>
      <c r="Y618" s="165"/>
      <c r="Z618" s="165"/>
    </row>
    <row r="619" spans="16:26">
      <c r="P619" s="165"/>
      <c r="Q619" s="165"/>
      <c r="R619" s="165"/>
      <c r="S619" s="165"/>
      <c r="T619" s="165"/>
      <c r="U619" s="165"/>
      <c r="V619" s="165"/>
      <c r="W619" s="165"/>
      <c r="X619" s="165"/>
      <c r="Y619" s="165"/>
      <c r="Z619" s="165"/>
    </row>
    <row r="620" spans="16:26">
      <c r="P620" s="165"/>
      <c r="Q620" s="165"/>
      <c r="R620" s="165"/>
      <c r="S620" s="165"/>
      <c r="T620" s="165"/>
      <c r="U620" s="165"/>
      <c r="V620" s="165"/>
      <c r="W620" s="165"/>
      <c r="X620" s="165"/>
      <c r="Y620" s="165"/>
      <c r="Z620" s="165"/>
    </row>
    <row r="621" spans="16:26">
      <c r="P621" s="165"/>
      <c r="Q621" s="165"/>
      <c r="R621" s="165"/>
      <c r="S621" s="165"/>
      <c r="T621" s="165"/>
      <c r="U621" s="165"/>
      <c r="V621" s="165"/>
      <c r="W621" s="165"/>
      <c r="X621" s="165"/>
      <c r="Y621" s="165"/>
      <c r="Z621" s="165"/>
    </row>
    <row r="622" spans="16:26">
      <c r="P622" s="165"/>
      <c r="Q622" s="165"/>
      <c r="R622" s="165"/>
      <c r="S622" s="165"/>
      <c r="T622" s="165"/>
      <c r="U622" s="165"/>
      <c r="V622" s="165"/>
      <c r="W622" s="165"/>
      <c r="X622" s="165"/>
      <c r="Y622" s="165"/>
      <c r="Z622" s="165"/>
    </row>
    <row r="623" spans="16:26">
      <c r="P623" s="165"/>
      <c r="Q623" s="165"/>
      <c r="R623" s="165"/>
      <c r="S623" s="165"/>
      <c r="T623" s="165"/>
      <c r="U623" s="165"/>
      <c r="V623" s="165"/>
      <c r="W623" s="165"/>
      <c r="X623" s="165"/>
      <c r="Y623" s="165"/>
      <c r="Z623" s="165"/>
    </row>
    <row r="624" spans="16:26">
      <c r="P624" s="165"/>
      <c r="Q624" s="165"/>
      <c r="R624" s="165"/>
      <c r="S624" s="165"/>
      <c r="T624" s="165"/>
      <c r="U624" s="165"/>
      <c r="V624" s="165"/>
      <c r="W624" s="165"/>
      <c r="X624" s="165"/>
      <c r="Y624" s="165"/>
      <c r="Z624" s="165"/>
    </row>
    <row r="625" spans="16:26">
      <c r="P625" s="165"/>
      <c r="Q625" s="165"/>
      <c r="R625" s="165"/>
      <c r="S625" s="165"/>
      <c r="T625" s="165"/>
      <c r="U625" s="165"/>
      <c r="V625" s="165"/>
      <c r="W625" s="165"/>
      <c r="X625" s="165"/>
      <c r="Y625" s="165"/>
      <c r="Z625" s="165"/>
    </row>
    <row r="626" spans="16:26">
      <c r="P626" s="165"/>
      <c r="Q626" s="165"/>
      <c r="R626" s="165"/>
      <c r="S626" s="165"/>
      <c r="T626" s="165"/>
      <c r="U626" s="165"/>
      <c r="V626" s="165"/>
      <c r="W626" s="165"/>
      <c r="X626" s="165"/>
      <c r="Y626" s="165"/>
      <c r="Z626" s="165"/>
    </row>
    <row r="627" spans="16:26">
      <c r="P627" s="165"/>
      <c r="Q627" s="165"/>
      <c r="R627" s="165"/>
      <c r="S627" s="165"/>
      <c r="T627" s="165"/>
      <c r="U627" s="165"/>
      <c r="V627" s="165"/>
      <c r="W627" s="165"/>
      <c r="X627" s="165"/>
      <c r="Y627" s="165"/>
      <c r="Z627" s="165"/>
    </row>
    <row r="628" spans="16:26">
      <c r="P628" s="165"/>
      <c r="Q628" s="165"/>
      <c r="R628" s="165"/>
      <c r="S628" s="165"/>
      <c r="T628" s="165"/>
      <c r="U628" s="165"/>
      <c r="V628" s="165"/>
      <c r="W628" s="165"/>
      <c r="X628" s="165"/>
      <c r="Y628" s="165"/>
      <c r="Z628" s="165"/>
    </row>
    <row r="629" spans="16:26">
      <c r="P629" s="165"/>
      <c r="Q629" s="165"/>
      <c r="R629" s="165"/>
      <c r="S629" s="165"/>
      <c r="T629" s="165"/>
      <c r="U629" s="165"/>
      <c r="V629" s="165"/>
      <c r="W629" s="165"/>
      <c r="X629" s="165"/>
      <c r="Y629" s="165"/>
      <c r="Z629" s="165"/>
    </row>
    <row r="630" spans="16:26">
      <c r="P630" s="165"/>
      <c r="Q630" s="165"/>
      <c r="R630" s="165"/>
      <c r="S630" s="165"/>
      <c r="T630" s="165"/>
      <c r="U630" s="165"/>
      <c r="V630" s="165"/>
      <c r="W630" s="165"/>
      <c r="X630" s="165"/>
      <c r="Y630" s="165"/>
      <c r="Z630" s="165"/>
    </row>
    <row r="631" spans="16:26">
      <c r="P631" s="165"/>
      <c r="Q631" s="165"/>
      <c r="R631" s="165"/>
      <c r="S631" s="165"/>
      <c r="T631" s="165"/>
      <c r="U631" s="165"/>
      <c r="V631" s="165"/>
      <c r="W631" s="165"/>
      <c r="X631" s="165"/>
      <c r="Y631" s="165"/>
      <c r="Z631" s="165"/>
    </row>
    <row r="632" spans="16:26">
      <c r="P632" s="165"/>
      <c r="Q632" s="165"/>
      <c r="R632" s="165"/>
      <c r="S632" s="165"/>
      <c r="T632" s="165"/>
      <c r="U632" s="165"/>
      <c r="V632" s="165"/>
      <c r="W632" s="165"/>
      <c r="X632" s="165"/>
      <c r="Y632" s="165"/>
      <c r="Z632" s="165"/>
    </row>
    <row r="633" spans="16:26">
      <c r="P633" s="165"/>
      <c r="Q633" s="165"/>
      <c r="R633" s="165"/>
      <c r="S633" s="165"/>
      <c r="T633" s="165"/>
      <c r="U633" s="165"/>
      <c r="V633" s="165"/>
      <c r="W633" s="165"/>
      <c r="X633" s="165"/>
      <c r="Y633" s="165"/>
      <c r="Z633" s="165"/>
    </row>
    <row r="634" spans="16:26">
      <c r="P634" s="165"/>
      <c r="Q634" s="165"/>
      <c r="R634" s="165"/>
      <c r="S634" s="165"/>
      <c r="T634" s="165"/>
      <c r="U634" s="165"/>
      <c r="V634" s="165"/>
      <c r="W634" s="165"/>
      <c r="X634" s="165"/>
      <c r="Y634" s="165"/>
      <c r="Z634" s="165"/>
    </row>
    <row r="635" spans="16:26">
      <c r="P635" s="165"/>
      <c r="Q635" s="165"/>
      <c r="R635" s="165"/>
      <c r="S635" s="165"/>
      <c r="T635" s="165"/>
      <c r="U635" s="165"/>
      <c r="V635" s="165"/>
      <c r="W635" s="165"/>
      <c r="X635" s="165"/>
      <c r="Y635" s="165"/>
      <c r="Z635" s="165"/>
    </row>
    <row r="636" spans="16:26">
      <c r="P636" s="165"/>
      <c r="Q636" s="165"/>
      <c r="R636" s="165"/>
      <c r="S636" s="165"/>
      <c r="T636" s="165"/>
      <c r="U636" s="165"/>
      <c r="V636" s="165"/>
      <c r="W636" s="165"/>
      <c r="X636" s="165"/>
      <c r="Y636" s="165"/>
      <c r="Z636" s="165"/>
    </row>
    <row r="637" spans="16:26">
      <c r="P637" s="165"/>
      <c r="Q637" s="165"/>
      <c r="R637" s="165"/>
      <c r="S637" s="165"/>
      <c r="T637" s="165"/>
      <c r="U637" s="165"/>
      <c r="V637" s="165"/>
      <c r="W637" s="165"/>
      <c r="X637" s="165"/>
      <c r="Y637" s="165"/>
      <c r="Z637" s="165"/>
    </row>
    <row r="638" spans="16:26">
      <c r="P638" s="165"/>
      <c r="Q638" s="165"/>
      <c r="R638" s="165"/>
      <c r="S638" s="165"/>
      <c r="T638" s="165"/>
      <c r="U638" s="165"/>
      <c r="V638" s="165"/>
      <c r="W638" s="165"/>
      <c r="X638" s="165"/>
      <c r="Y638" s="165"/>
      <c r="Z638" s="165"/>
    </row>
    <row r="639" spans="16:26">
      <c r="P639" s="165"/>
      <c r="Q639" s="165"/>
      <c r="R639" s="165"/>
      <c r="S639" s="165"/>
      <c r="T639" s="165"/>
      <c r="U639" s="165"/>
      <c r="V639" s="165"/>
      <c r="W639" s="165"/>
      <c r="X639" s="165"/>
      <c r="Y639" s="165"/>
      <c r="Z639" s="165"/>
    </row>
    <row r="640" spans="16:26">
      <c r="P640" s="165"/>
      <c r="Q640" s="165"/>
      <c r="R640" s="165"/>
      <c r="S640" s="165"/>
      <c r="T640" s="165"/>
      <c r="U640" s="165"/>
      <c r="V640" s="165"/>
      <c r="W640" s="165"/>
      <c r="X640" s="165"/>
      <c r="Y640" s="165"/>
      <c r="Z640" s="165"/>
    </row>
    <row r="641" spans="16:26">
      <c r="P641" s="165"/>
      <c r="Q641" s="165"/>
      <c r="R641" s="165"/>
      <c r="S641" s="165"/>
      <c r="T641" s="165"/>
      <c r="U641" s="165"/>
      <c r="V641" s="165"/>
      <c r="W641" s="165"/>
      <c r="X641" s="165"/>
      <c r="Y641" s="165"/>
      <c r="Z641" s="165"/>
    </row>
    <row r="642" spans="16:26">
      <c r="P642" s="165"/>
      <c r="Q642" s="165"/>
      <c r="R642" s="165"/>
      <c r="S642" s="165"/>
      <c r="T642" s="165"/>
      <c r="U642" s="165"/>
      <c r="V642" s="165"/>
      <c r="W642" s="165"/>
      <c r="X642" s="165"/>
      <c r="Y642" s="165"/>
      <c r="Z642" s="165"/>
    </row>
    <row r="643" spans="16:26">
      <c r="P643" s="165"/>
      <c r="Q643" s="165"/>
      <c r="R643" s="165"/>
      <c r="S643" s="165"/>
      <c r="T643" s="165"/>
      <c r="U643" s="165"/>
      <c r="V643" s="165"/>
      <c r="W643" s="165"/>
      <c r="X643" s="165"/>
      <c r="Y643" s="165"/>
      <c r="Z643" s="165"/>
    </row>
    <row r="644" spans="16:26">
      <c r="P644" s="165"/>
      <c r="Q644" s="165"/>
      <c r="R644" s="165"/>
      <c r="S644" s="165"/>
      <c r="T644" s="165"/>
      <c r="U644" s="165"/>
      <c r="V644" s="165"/>
      <c r="W644" s="165"/>
      <c r="X644" s="165"/>
      <c r="Y644" s="165"/>
      <c r="Z644" s="165"/>
    </row>
    <row r="645" spans="16:26">
      <c r="P645" s="165"/>
      <c r="Q645" s="165"/>
      <c r="R645" s="165"/>
      <c r="S645" s="165"/>
      <c r="T645" s="165"/>
      <c r="U645" s="165"/>
      <c r="V645" s="165"/>
      <c r="W645" s="165"/>
      <c r="X645" s="165"/>
      <c r="Y645" s="165"/>
      <c r="Z645" s="165"/>
    </row>
    <row r="646" spans="16:26">
      <c r="P646" s="165"/>
      <c r="Q646" s="165"/>
      <c r="R646" s="165"/>
      <c r="S646" s="165"/>
      <c r="T646" s="165"/>
      <c r="U646" s="165"/>
      <c r="V646" s="165"/>
      <c r="W646" s="165"/>
      <c r="X646" s="165"/>
      <c r="Y646" s="165"/>
      <c r="Z646" s="165"/>
    </row>
    <row r="647" spans="16:26">
      <c r="P647" s="165"/>
      <c r="Q647" s="165"/>
      <c r="R647" s="165"/>
      <c r="S647" s="165"/>
      <c r="T647" s="165"/>
      <c r="U647" s="165"/>
      <c r="V647" s="165"/>
      <c r="W647" s="165"/>
      <c r="X647" s="165"/>
      <c r="Y647" s="165"/>
      <c r="Z647" s="165"/>
    </row>
    <row r="648" spans="16:26">
      <c r="P648" s="165"/>
      <c r="Q648" s="165"/>
      <c r="R648" s="165"/>
      <c r="S648" s="165"/>
      <c r="T648" s="165"/>
      <c r="U648" s="165"/>
      <c r="V648" s="165"/>
      <c r="W648" s="165"/>
      <c r="X648" s="165"/>
      <c r="Y648" s="165"/>
      <c r="Z648" s="165"/>
    </row>
    <row r="649" spans="16:26">
      <c r="P649" s="165"/>
      <c r="Q649" s="165"/>
      <c r="R649" s="165"/>
      <c r="S649" s="165"/>
      <c r="T649" s="165"/>
      <c r="U649" s="165"/>
      <c r="V649" s="165"/>
      <c r="W649" s="165"/>
      <c r="X649" s="165"/>
      <c r="Y649" s="165"/>
      <c r="Z649" s="165"/>
    </row>
    <row r="650" spans="16:26">
      <c r="P650" s="165"/>
      <c r="Q650" s="165"/>
      <c r="R650" s="165"/>
      <c r="S650" s="165"/>
      <c r="T650" s="165"/>
      <c r="U650" s="165"/>
      <c r="V650" s="165"/>
      <c r="W650" s="165"/>
      <c r="X650" s="165"/>
      <c r="Y650" s="165"/>
      <c r="Z650" s="165"/>
    </row>
    <row r="651" spans="16:26">
      <c r="P651" s="165"/>
      <c r="Q651" s="165"/>
      <c r="R651" s="165"/>
      <c r="S651" s="165"/>
      <c r="T651" s="165"/>
      <c r="U651" s="165"/>
      <c r="V651" s="165"/>
      <c r="W651" s="165"/>
      <c r="X651" s="165"/>
      <c r="Y651" s="165"/>
      <c r="Z651" s="165"/>
    </row>
    <row r="652" spans="16:26">
      <c r="P652" s="165"/>
      <c r="Q652" s="165"/>
      <c r="R652" s="165"/>
      <c r="S652" s="165"/>
      <c r="T652" s="165"/>
      <c r="U652" s="165"/>
      <c r="V652" s="165"/>
      <c r="W652" s="165"/>
      <c r="X652" s="165"/>
      <c r="Y652" s="165"/>
      <c r="Z652" s="165"/>
    </row>
    <row r="653" spans="16:26">
      <c r="P653" s="165"/>
      <c r="Q653" s="165"/>
      <c r="R653" s="165"/>
      <c r="S653" s="165"/>
      <c r="T653" s="165"/>
      <c r="U653" s="165"/>
      <c r="V653" s="165"/>
      <c r="W653" s="165"/>
      <c r="X653" s="165"/>
      <c r="Y653" s="165"/>
      <c r="Z653" s="165"/>
    </row>
    <row r="654" spans="16:26">
      <c r="P654" s="165"/>
      <c r="Q654" s="165"/>
      <c r="R654" s="165"/>
      <c r="S654" s="165"/>
      <c r="T654" s="165"/>
      <c r="U654" s="165"/>
      <c r="V654" s="165"/>
      <c r="W654" s="165"/>
      <c r="X654" s="165"/>
      <c r="Y654" s="165"/>
      <c r="Z654" s="165"/>
    </row>
    <row r="655" spans="16:26">
      <c r="P655" s="165"/>
      <c r="Q655" s="165"/>
      <c r="R655" s="165"/>
      <c r="S655" s="165"/>
      <c r="T655" s="165"/>
      <c r="U655" s="165"/>
      <c r="V655" s="165"/>
      <c r="W655" s="165"/>
      <c r="X655" s="165"/>
      <c r="Y655" s="165"/>
      <c r="Z655" s="165"/>
    </row>
    <row r="656" spans="16:26">
      <c r="P656" s="165"/>
      <c r="Q656" s="165"/>
      <c r="R656" s="165"/>
      <c r="S656" s="165"/>
      <c r="T656" s="165"/>
      <c r="U656" s="165"/>
      <c r="V656" s="165"/>
      <c r="W656" s="165"/>
      <c r="X656" s="165"/>
      <c r="Y656" s="165"/>
      <c r="Z656" s="165"/>
    </row>
    <row r="657" spans="16:26">
      <c r="P657" s="165"/>
      <c r="Q657" s="165"/>
      <c r="R657" s="165"/>
      <c r="S657" s="165"/>
      <c r="T657" s="165"/>
      <c r="U657" s="165"/>
      <c r="V657" s="165"/>
      <c r="W657" s="165"/>
      <c r="X657" s="165"/>
      <c r="Y657" s="165"/>
      <c r="Z657" s="165"/>
    </row>
    <row r="658" spans="16:26">
      <c r="P658" s="165"/>
      <c r="Q658" s="165"/>
      <c r="R658" s="165"/>
      <c r="S658" s="165"/>
      <c r="T658" s="165"/>
      <c r="U658" s="165"/>
      <c r="V658" s="165"/>
      <c r="W658" s="165"/>
      <c r="X658" s="165"/>
      <c r="Y658" s="165"/>
      <c r="Z658" s="165"/>
    </row>
    <row r="659" spans="16:26">
      <c r="P659" s="165"/>
      <c r="Q659" s="165"/>
      <c r="R659" s="165"/>
      <c r="S659" s="165"/>
      <c r="T659" s="165"/>
      <c r="U659" s="165"/>
      <c r="V659" s="165"/>
      <c r="W659" s="165"/>
      <c r="X659" s="165"/>
      <c r="Y659" s="165"/>
      <c r="Z659" s="165"/>
    </row>
    <row r="660" spans="16:26">
      <c r="P660" s="165"/>
      <c r="Q660" s="165"/>
      <c r="R660" s="165"/>
      <c r="S660" s="165"/>
      <c r="T660" s="165"/>
      <c r="U660" s="165"/>
      <c r="V660" s="165"/>
      <c r="W660" s="165"/>
      <c r="X660" s="165"/>
      <c r="Y660" s="165"/>
      <c r="Z660" s="165"/>
    </row>
    <row r="661" spans="16:26">
      <c r="P661" s="165"/>
      <c r="Q661" s="165"/>
      <c r="R661" s="165"/>
      <c r="S661" s="165"/>
      <c r="T661" s="165"/>
      <c r="U661" s="165"/>
      <c r="V661" s="165"/>
      <c r="W661" s="165"/>
      <c r="X661" s="165"/>
      <c r="Y661" s="165"/>
      <c r="Z661" s="165"/>
    </row>
    <row r="662" spans="16:26">
      <c r="P662" s="165"/>
      <c r="Q662" s="165"/>
      <c r="R662" s="165"/>
      <c r="S662" s="165"/>
      <c r="T662" s="165"/>
      <c r="U662" s="165"/>
      <c r="V662" s="165"/>
      <c r="W662" s="165"/>
      <c r="X662" s="165"/>
      <c r="Y662" s="165"/>
      <c r="Z662" s="165"/>
    </row>
    <row r="663" spans="16:26">
      <c r="P663" s="165"/>
      <c r="Q663" s="165"/>
      <c r="R663" s="165"/>
      <c r="S663" s="165"/>
      <c r="T663" s="165"/>
      <c r="U663" s="165"/>
      <c r="V663" s="165"/>
      <c r="W663" s="165"/>
      <c r="X663" s="165"/>
      <c r="Y663" s="165"/>
      <c r="Z663" s="165"/>
    </row>
    <row r="664" spans="16:26">
      <c r="P664" s="165"/>
      <c r="Q664" s="165"/>
      <c r="R664" s="165"/>
      <c r="S664" s="165"/>
      <c r="T664" s="165"/>
      <c r="U664" s="165"/>
      <c r="V664" s="165"/>
      <c r="W664" s="165"/>
      <c r="X664" s="165"/>
      <c r="Y664" s="165"/>
      <c r="Z664" s="165"/>
    </row>
    <row r="665" spans="16:26">
      <c r="P665" s="165"/>
      <c r="Q665" s="165"/>
      <c r="R665" s="165"/>
      <c r="S665" s="165"/>
      <c r="T665" s="165"/>
      <c r="U665" s="165"/>
      <c r="V665" s="165"/>
      <c r="W665" s="165"/>
      <c r="X665" s="165"/>
      <c r="Y665" s="165"/>
      <c r="Z665" s="165"/>
    </row>
    <row r="666" spans="16:26">
      <c r="P666" s="165"/>
      <c r="Q666" s="165"/>
      <c r="R666" s="165"/>
      <c r="S666" s="165"/>
      <c r="T666" s="165"/>
      <c r="U666" s="165"/>
      <c r="V666" s="165"/>
      <c r="W666" s="165"/>
      <c r="X666" s="165"/>
      <c r="Y666" s="165"/>
      <c r="Z666" s="165"/>
    </row>
    <row r="667" spans="16:26">
      <c r="P667" s="165"/>
      <c r="Q667" s="165"/>
      <c r="R667" s="165"/>
      <c r="S667" s="165"/>
      <c r="T667" s="165"/>
      <c r="U667" s="165"/>
      <c r="V667" s="165"/>
      <c r="W667" s="165"/>
      <c r="X667" s="165"/>
      <c r="Y667" s="165"/>
      <c r="Z667" s="165"/>
    </row>
    <row r="668" spans="16:26">
      <c r="P668" s="165"/>
      <c r="Q668" s="165"/>
      <c r="R668" s="165"/>
      <c r="S668" s="165"/>
      <c r="T668" s="165"/>
      <c r="U668" s="165"/>
      <c r="V668" s="165"/>
      <c r="W668" s="165"/>
      <c r="X668" s="165"/>
      <c r="Y668" s="165"/>
      <c r="Z668" s="165"/>
    </row>
    <row r="669" spans="16:26">
      <c r="P669" s="165"/>
      <c r="Q669" s="165"/>
      <c r="R669" s="165"/>
      <c r="S669" s="165"/>
      <c r="T669" s="165"/>
      <c r="U669" s="165"/>
      <c r="V669" s="165"/>
      <c r="W669" s="165"/>
      <c r="X669" s="165"/>
      <c r="Y669" s="165"/>
      <c r="Z669" s="165"/>
    </row>
    <row r="670" spans="16:26">
      <c r="P670" s="165"/>
      <c r="Q670" s="165"/>
      <c r="R670" s="165"/>
      <c r="S670" s="165"/>
      <c r="T670" s="165"/>
      <c r="U670" s="165"/>
      <c r="V670" s="165"/>
      <c r="W670" s="165"/>
      <c r="X670" s="165"/>
      <c r="Y670" s="165"/>
      <c r="Z670" s="165"/>
    </row>
    <row r="671" spans="16:26">
      <c r="P671" s="165"/>
      <c r="Q671" s="165"/>
      <c r="R671" s="165"/>
      <c r="S671" s="165"/>
      <c r="T671" s="165"/>
      <c r="U671" s="165"/>
      <c r="V671" s="165"/>
      <c r="W671" s="165"/>
      <c r="X671" s="165"/>
      <c r="Y671" s="165"/>
      <c r="Z671" s="165"/>
    </row>
    <row r="672" spans="16:26">
      <c r="P672" s="165"/>
      <c r="Q672" s="165"/>
      <c r="R672" s="165"/>
      <c r="S672" s="165"/>
      <c r="T672" s="165"/>
      <c r="U672" s="165"/>
      <c r="V672" s="165"/>
      <c r="W672" s="165"/>
      <c r="X672" s="165"/>
      <c r="Y672" s="165"/>
      <c r="Z672" s="165"/>
    </row>
    <row r="673" spans="16:26">
      <c r="P673" s="165"/>
      <c r="Q673" s="165"/>
      <c r="R673" s="165"/>
      <c r="S673" s="165"/>
      <c r="T673" s="165"/>
      <c r="U673" s="165"/>
      <c r="V673" s="165"/>
      <c r="W673" s="165"/>
      <c r="X673" s="165"/>
      <c r="Y673" s="165"/>
      <c r="Z673" s="165"/>
    </row>
    <row r="674" spans="16:26">
      <c r="P674" s="165"/>
      <c r="Q674" s="165"/>
      <c r="R674" s="165"/>
      <c r="S674" s="165"/>
      <c r="T674" s="165"/>
      <c r="U674" s="165"/>
      <c r="V674" s="165"/>
      <c r="W674" s="165"/>
      <c r="X674" s="165"/>
      <c r="Y674" s="165"/>
      <c r="Z674" s="165"/>
    </row>
    <row r="675" spans="16:26">
      <c r="P675" s="165"/>
      <c r="Q675" s="165"/>
      <c r="R675" s="165"/>
      <c r="S675" s="165"/>
      <c r="T675" s="165"/>
      <c r="U675" s="165"/>
      <c r="V675" s="165"/>
      <c r="W675" s="165"/>
      <c r="X675" s="165"/>
      <c r="Y675" s="165"/>
      <c r="Z675" s="165"/>
    </row>
    <row r="676" spans="16:26">
      <c r="P676" s="165"/>
      <c r="Q676" s="165"/>
      <c r="R676" s="165"/>
      <c r="S676" s="165"/>
      <c r="T676" s="165"/>
      <c r="U676" s="165"/>
      <c r="V676" s="165"/>
      <c r="W676" s="165"/>
      <c r="X676" s="165"/>
      <c r="Y676" s="165"/>
      <c r="Z676" s="165"/>
    </row>
    <row r="677" spans="16:26">
      <c r="P677" s="165"/>
      <c r="Q677" s="165"/>
      <c r="R677" s="165"/>
      <c r="S677" s="165"/>
      <c r="T677" s="165"/>
      <c r="U677" s="165"/>
      <c r="V677" s="165"/>
      <c r="W677" s="165"/>
      <c r="X677" s="165"/>
      <c r="Y677" s="165"/>
      <c r="Z677" s="165"/>
    </row>
    <row r="678" spans="16:26">
      <c r="P678" s="165"/>
      <c r="Q678" s="165"/>
      <c r="R678" s="165"/>
      <c r="S678" s="165"/>
      <c r="T678" s="165"/>
      <c r="U678" s="165"/>
      <c r="V678" s="165"/>
      <c r="W678" s="165"/>
      <c r="X678" s="165"/>
      <c r="Y678" s="165"/>
      <c r="Z678" s="165"/>
    </row>
    <row r="679" spans="16:26">
      <c r="P679" s="165"/>
      <c r="Q679" s="165"/>
      <c r="R679" s="165"/>
      <c r="S679" s="165"/>
      <c r="T679" s="165"/>
      <c r="U679" s="165"/>
      <c r="V679" s="165"/>
      <c r="W679" s="165"/>
      <c r="X679" s="165"/>
      <c r="Y679" s="165"/>
      <c r="Z679" s="165"/>
    </row>
    <row r="680" spans="16:26">
      <c r="P680" s="165"/>
      <c r="Q680" s="165"/>
      <c r="R680" s="165"/>
      <c r="S680" s="165"/>
      <c r="T680" s="165"/>
      <c r="U680" s="165"/>
      <c r="V680" s="165"/>
      <c r="W680" s="165"/>
      <c r="X680" s="165"/>
      <c r="Y680" s="165"/>
      <c r="Z680" s="165"/>
    </row>
    <row r="681" spans="16:26">
      <c r="P681" s="165"/>
      <c r="Q681" s="165"/>
      <c r="R681" s="165"/>
      <c r="S681" s="165"/>
      <c r="T681" s="165"/>
      <c r="U681" s="165"/>
      <c r="V681" s="165"/>
      <c r="W681" s="165"/>
      <c r="X681" s="165"/>
      <c r="Y681" s="165"/>
      <c r="Z681" s="165"/>
    </row>
    <row r="682" spans="16:26">
      <c r="P682" s="165"/>
      <c r="Q682" s="165"/>
      <c r="R682" s="165"/>
      <c r="S682" s="165"/>
      <c r="T682" s="165"/>
      <c r="U682" s="165"/>
      <c r="V682" s="165"/>
      <c r="W682" s="165"/>
      <c r="X682" s="165"/>
      <c r="Y682" s="165"/>
      <c r="Z682" s="165"/>
    </row>
    <row r="683" spans="16:26">
      <c r="P683" s="165"/>
      <c r="Q683" s="165"/>
      <c r="R683" s="165"/>
      <c r="S683" s="165"/>
      <c r="T683" s="165"/>
      <c r="U683" s="165"/>
      <c r="V683" s="165"/>
      <c r="W683" s="165"/>
      <c r="X683" s="165"/>
      <c r="Y683" s="165"/>
      <c r="Z683" s="165"/>
    </row>
    <row r="684" spans="16:26">
      <c r="P684" s="165"/>
      <c r="Q684" s="165"/>
      <c r="R684" s="165"/>
      <c r="S684" s="165"/>
      <c r="T684" s="165"/>
      <c r="U684" s="165"/>
      <c r="V684" s="165"/>
      <c r="W684" s="165"/>
      <c r="X684" s="165"/>
      <c r="Y684" s="165"/>
      <c r="Z684" s="165"/>
    </row>
    <row r="685" spans="16:26">
      <c r="P685" s="165"/>
      <c r="Q685" s="165"/>
      <c r="R685" s="165"/>
      <c r="S685" s="165"/>
      <c r="T685" s="165"/>
      <c r="U685" s="165"/>
      <c r="V685" s="165"/>
      <c r="W685" s="165"/>
      <c r="X685" s="165"/>
      <c r="Y685" s="165"/>
      <c r="Z685" s="165"/>
    </row>
    <row r="686" spans="16:26">
      <c r="P686" s="165"/>
      <c r="Q686" s="165"/>
      <c r="R686" s="165"/>
      <c r="S686" s="165"/>
      <c r="T686" s="165"/>
      <c r="U686" s="165"/>
      <c r="V686" s="165"/>
      <c r="W686" s="165"/>
      <c r="X686" s="165"/>
      <c r="Y686" s="165"/>
      <c r="Z686" s="165"/>
    </row>
    <row r="687" spans="16:26">
      <c r="P687" s="165"/>
      <c r="Q687" s="165"/>
      <c r="R687" s="165"/>
      <c r="S687" s="165"/>
      <c r="T687" s="165"/>
      <c r="U687" s="165"/>
      <c r="V687" s="165"/>
      <c r="W687" s="165"/>
      <c r="X687" s="165"/>
      <c r="Y687" s="165"/>
      <c r="Z687" s="165"/>
    </row>
    <row r="688" spans="16:26">
      <c r="P688" s="165"/>
      <c r="Q688" s="165"/>
      <c r="R688" s="165"/>
      <c r="S688" s="165"/>
      <c r="T688" s="165"/>
      <c r="U688" s="165"/>
      <c r="V688" s="165"/>
      <c r="W688" s="165"/>
      <c r="X688" s="165"/>
      <c r="Y688" s="165"/>
      <c r="Z688" s="165"/>
    </row>
    <row r="689" spans="16:26">
      <c r="P689" s="165"/>
      <c r="Q689" s="165"/>
      <c r="R689" s="165"/>
      <c r="S689" s="165"/>
      <c r="T689" s="165"/>
      <c r="U689" s="165"/>
      <c r="V689" s="165"/>
      <c r="W689" s="165"/>
      <c r="X689" s="165"/>
      <c r="Y689" s="165"/>
      <c r="Z689" s="165"/>
    </row>
    <row r="690" spans="16:26">
      <c r="P690" s="165"/>
      <c r="Q690" s="165"/>
      <c r="R690" s="165"/>
      <c r="S690" s="165"/>
      <c r="T690" s="165"/>
      <c r="U690" s="165"/>
      <c r="V690" s="165"/>
      <c r="W690" s="165"/>
      <c r="X690" s="165"/>
      <c r="Y690" s="165"/>
      <c r="Z690" s="165"/>
    </row>
    <row r="691" spans="16:26">
      <c r="P691" s="165"/>
      <c r="Q691" s="165"/>
      <c r="R691" s="165"/>
      <c r="S691" s="165"/>
      <c r="T691" s="165"/>
      <c r="U691" s="165"/>
      <c r="V691" s="165"/>
      <c r="W691" s="165"/>
      <c r="X691" s="165"/>
      <c r="Y691" s="165"/>
      <c r="Z691" s="165"/>
    </row>
    <row r="692" spans="16:26">
      <c r="P692" s="165"/>
      <c r="Q692" s="165"/>
      <c r="R692" s="165"/>
      <c r="S692" s="165"/>
      <c r="T692" s="165"/>
      <c r="U692" s="165"/>
      <c r="V692" s="165"/>
      <c r="W692" s="165"/>
      <c r="X692" s="165"/>
      <c r="Y692" s="165"/>
      <c r="Z692" s="165"/>
    </row>
    <row r="693" spans="16:26">
      <c r="P693" s="165"/>
      <c r="Q693" s="165"/>
      <c r="R693" s="165"/>
      <c r="S693" s="165"/>
      <c r="T693" s="165"/>
      <c r="U693" s="165"/>
      <c r="V693" s="165"/>
      <c r="W693" s="165"/>
      <c r="X693" s="165"/>
      <c r="Y693" s="165"/>
      <c r="Z693" s="165"/>
    </row>
    <row r="694" spans="16:26">
      <c r="P694" s="165"/>
      <c r="Q694" s="165"/>
      <c r="R694" s="165"/>
      <c r="S694" s="165"/>
      <c r="T694" s="165"/>
      <c r="U694" s="165"/>
      <c r="V694" s="165"/>
      <c r="W694" s="165"/>
      <c r="X694" s="165"/>
      <c r="Y694" s="165"/>
      <c r="Z694" s="165"/>
    </row>
    <row r="695" spans="16:26">
      <c r="P695" s="165"/>
      <c r="Q695" s="165"/>
      <c r="R695" s="165"/>
      <c r="S695" s="165"/>
      <c r="T695" s="165"/>
      <c r="U695" s="165"/>
      <c r="V695" s="165"/>
      <c r="W695" s="165"/>
      <c r="X695" s="165"/>
      <c r="Y695" s="165"/>
      <c r="Z695" s="165"/>
    </row>
    <row r="696" spans="16:26">
      <c r="P696" s="165"/>
      <c r="Q696" s="165"/>
      <c r="R696" s="165"/>
      <c r="S696" s="165"/>
      <c r="T696" s="165"/>
      <c r="U696" s="165"/>
      <c r="V696" s="165"/>
      <c r="W696" s="165"/>
      <c r="X696" s="165"/>
      <c r="Y696" s="165"/>
      <c r="Z696" s="165"/>
    </row>
    <row r="697" spans="16:26">
      <c r="P697" s="165"/>
      <c r="Q697" s="165"/>
      <c r="R697" s="165"/>
      <c r="S697" s="165"/>
      <c r="T697" s="165"/>
      <c r="U697" s="165"/>
      <c r="V697" s="165"/>
      <c r="W697" s="165"/>
      <c r="X697" s="165"/>
      <c r="Y697" s="165"/>
      <c r="Z697" s="165"/>
    </row>
    <row r="698" spans="16:26">
      <c r="P698" s="165"/>
      <c r="Q698" s="165"/>
      <c r="R698" s="165"/>
      <c r="S698" s="165"/>
      <c r="T698" s="165"/>
      <c r="U698" s="165"/>
      <c r="V698" s="165"/>
      <c r="W698" s="165"/>
      <c r="X698" s="165"/>
      <c r="Y698" s="165"/>
      <c r="Z698" s="165"/>
    </row>
    <row r="699" spans="16:26">
      <c r="P699" s="165"/>
      <c r="Q699" s="165"/>
      <c r="R699" s="165"/>
      <c r="S699" s="165"/>
      <c r="T699" s="165"/>
      <c r="U699" s="165"/>
      <c r="V699" s="165"/>
      <c r="W699" s="165"/>
      <c r="X699" s="165"/>
      <c r="Y699" s="165"/>
      <c r="Z699" s="165"/>
    </row>
    <row r="700" spans="16:26">
      <c r="P700" s="165"/>
      <c r="Q700" s="165"/>
      <c r="R700" s="165"/>
      <c r="S700" s="165"/>
      <c r="T700" s="165"/>
      <c r="U700" s="165"/>
      <c r="V700" s="165"/>
      <c r="W700" s="165"/>
      <c r="X700" s="165"/>
      <c r="Y700" s="165"/>
      <c r="Z700" s="165"/>
    </row>
    <row r="701" spans="16:26">
      <c r="P701" s="165"/>
      <c r="Q701" s="165"/>
      <c r="R701" s="165"/>
      <c r="S701" s="165"/>
      <c r="T701" s="165"/>
      <c r="U701" s="165"/>
      <c r="V701" s="165"/>
      <c r="W701" s="165"/>
      <c r="X701" s="165"/>
      <c r="Y701" s="165"/>
      <c r="Z701" s="165"/>
    </row>
    <row r="702" spans="16:26">
      <c r="P702" s="165"/>
      <c r="Q702" s="165"/>
      <c r="R702" s="165"/>
      <c r="S702" s="165"/>
      <c r="T702" s="165"/>
      <c r="U702" s="165"/>
      <c r="V702" s="165"/>
      <c r="W702" s="165"/>
      <c r="X702" s="165"/>
      <c r="Y702" s="165"/>
      <c r="Z702" s="165"/>
    </row>
    <row r="703" spans="16:26">
      <c r="P703" s="165"/>
      <c r="Q703" s="165"/>
      <c r="R703" s="165"/>
      <c r="S703" s="165"/>
      <c r="T703" s="165"/>
      <c r="U703" s="165"/>
      <c r="V703" s="165"/>
      <c r="W703" s="165"/>
      <c r="X703" s="165"/>
      <c r="Y703" s="165"/>
      <c r="Z703" s="165"/>
    </row>
    <row r="704" spans="16:26">
      <c r="P704" s="165"/>
      <c r="Q704" s="165"/>
      <c r="R704" s="165"/>
      <c r="S704" s="165"/>
      <c r="T704" s="165"/>
      <c r="U704" s="165"/>
      <c r="V704" s="165"/>
      <c r="W704" s="165"/>
      <c r="X704" s="165"/>
      <c r="Y704" s="165"/>
      <c r="Z704" s="165"/>
    </row>
    <row r="705" spans="16:26">
      <c r="P705" s="165"/>
      <c r="Q705" s="165"/>
      <c r="R705" s="165"/>
      <c r="S705" s="165"/>
      <c r="T705" s="165"/>
      <c r="U705" s="165"/>
      <c r="V705" s="165"/>
      <c r="W705" s="165"/>
      <c r="X705" s="165"/>
      <c r="Y705" s="165"/>
      <c r="Z705" s="165"/>
    </row>
    <row r="706" spans="16:26">
      <c r="P706" s="165"/>
      <c r="Q706" s="165"/>
      <c r="R706" s="165"/>
      <c r="S706" s="165"/>
      <c r="T706" s="165"/>
      <c r="U706" s="165"/>
      <c r="V706" s="165"/>
      <c r="W706" s="165"/>
      <c r="X706" s="165"/>
      <c r="Y706" s="165"/>
      <c r="Z706" s="165"/>
    </row>
    <row r="707" spans="16:26">
      <c r="P707" s="165"/>
      <c r="Q707" s="165"/>
      <c r="R707" s="165"/>
      <c r="S707" s="165"/>
      <c r="T707" s="165"/>
      <c r="U707" s="165"/>
      <c r="V707" s="165"/>
      <c r="W707" s="165"/>
      <c r="X707" s="165"/>
      <c r="Y707" s="165"/>
      <c r="Z707" s="165"/>
    </row>
    <row r="708" spans="16:26">
      <c r="P708" s="165"/>
      <c r="Q708" s="165"/>
      <c r="R708" s="165"/>
      <c r="S708" s="165"/>
      <c r="T708" s="165"/>
      <c r="U708" s="165"/>
      <c r="V708" s="165"/>
      <c r="W708" s="165"/>
      <c r="X708" s="165"/>
      <c r="Y708" s="165"/>
      <c r="Z708" s="165"/>
    </row>
    <row r="709" spans="16:26">
      <c r="P709" s="165"/>
      <c r="Q709" s="165"/>
      <c r="R709" s="165"/>
      <c r="S709" s="165"/>
      <c r="T709" s="165"/>
      <c r="U709" s="165"/>
      <c r="V709" s="165"/>
      <c r="W709" s="165"/>
      <c r="X709" s="165"/>
      <c r="Y709" s="165"/>
      <c r="Z709" s="165"/>
    </row>
    <row r="710" spans="16:26">
      <c r="P710" s="165"/>
      <c r="Q710" s="165"/>
      <c r="R710" s="165"/>
      <c r="S710" s="165"/>
      <c r="T710" s="165"/>
      <c r="U710" s="165"/>
      <c r="V710" s="165"/>
      <c r="W710" s="165"/>
      <c r="X710" s="165"/>
      <c r="Y710" s="165"/>
      <c r="Z710" s="165"/>
    </row>
    <row r="711" spans="16:26">
      <c r="P711" s="165"/>
      <c r="Q711" s="165"/>
      <c r="R711" s="165"/>
      <c r="S711" s="165"/>
      <c r="T711" s="165"/>
      <c r="U711" s="165"/>
      <c r="V711" s="165"/>
      <c r="W711" s="165"/>
      <c r="X711" s="165"/>
      <c r="Y711" s="165"/>
      <c r="Z711" s="165"/>
    </row>
    <row r="712" spans="16:26">
      <c r="P712" s="165"/>
      <c r="Q712" s="165"/>
      <c r="R712" s="165"/>
      <c r="S712" s="165"/>
      <c r="T712" s="165"/>
      <c r="U712" s="165"/>
      <c r="V712" s="165"/>
      <c r="W712" s="165"/>
      <c r="X712" s="165"/>
      <c r="Y712" s="165"/>
      <c r="Z712" s="165"/>
    </row>
    <row r="713" spans="16:26">
      <c r="P713" s="165"/>
      <c r="Q713" s="165"/>
      <c r="R713" s="165"/>
      <c r="S713" s="165"/>
      <c r="T713" s="165"/>
      <c r="U713" s="165"/>
      <c r="V713" s="165"/>
      <c r="W713" s="165"/>
      <c r="X713" s="165"/>
      <c r="Y713" s="165"/>
      <c r="Z713" s="165"/>
    </row>
    <row r="714" spans="16:26">
      <c r="P714" s="165"/>
      <c r="Q714" s="165"/>
      <c r="R714" s="165"/>
      <c r="S714" s="165"/>
      <c r="T714" s="165"/>
      <c r="U714" s="165"/>
      <c r="V714" s="165"/>
      <c r="W714" s="165"/>
      <c r="X714" s="165"/>
      <c r="Y714" s="165"/>
      <c r="Z714" s="165"/>
    </row>
    <row r="715" spans="16:26">
      <c r="P715" s="165"/>
      <c r="Q715" s="165"/>
      <c r="R715" s="165"/>
      <c r="S715" s="165"/>
      <c r="T715" s="165"/>
      <c r="U715" s="165"/>
      <c r="V715" s="165"/>
      <c r="W715" s="165"/>
      <c r="X715" s="165"/>
      <c r="Y715" s="165"/>
      <c r="Z715" s="165"/>
    </row>
    <row r="716" spans="16:26">
      <c r="P716" s="165"/>
      <c r="Q716" s="165"/>
      <c r="R716" s="165"/>
      <c r="S716" s="165"/>
      <c r="T716" s="165"/>
      <c r="U716" s="165"/>
      <c r="V716" s="165"/>
      <c r="W716" s="165"/>
      <c r="X716" s="165"/>
      <c r="Y716" s="165"/>
      <c r="Z716" s="165"/>
    </row>
    <row r="717" spans="16:26">
      <c r="P717" s="165"/>
      <c r="Q717" s="165"/>
      <c r="R717" s="165"/>
      <c r="S717" s="165"/>
      <c r="T717" s="165"/>
      <c r="U717" s="165"/>
      <c r="V717" s="165"/>
      <c r="W717" s="165"/>
      <c r="X717" s="165"/>
      <c r="Y717" s="165"/>
      <c r="Z717" s="165"/>
    </row>
    <row r="718" spans="16:26">
      <c r="P718" s="165"/>
      <c r="Q718" s="165"/>
      <c r="R718" s="165"/>
      <c r="S718" s="165"/>
      <c r="T718" s="165"/>
      <c r="U718" s="165"/>
      <c r="V718" s="165"/>
      <c r="W718" s="165"/>
      <c r="X718" s="165"/>
      <c r="Y718" s="165"/>
      <c r="Z718" s="165"/>
    </row>
    <row r="719" spans="16:26">
      <c r="P719" s="165"/>
      <c r="Q719" s="165"/>
      <c r="R719" s="165"/>
      <c r="S719" s="165"/>
      <c r="T719" s="165"/>
      <c r="U719" s="165"/>
      <c r="V719" s="165"/>
      <c r="W719" s="165"/>
      <c r="X719" s="165"/>
      <c r="Y719" s="165"/>
      <c r="Z719" s="165"/>
    </row>
    <row r="720" spans="16:26">
      <c r="P720" s="165"/>
      <c r="Q720" s="165"/>
      <c r="R720" s="165"/>
      <c r="S720" s="165"/>
      <c r="T720" s="165"/>
      <c r="U720" s="165"/>
      <c r="V720" s="165"/>
      <c r="W720" s="165"/>
      <c r="X720" s="165"/>
      <c r="Y720" s="165"/>
      <c r="Z720" s="165"/>
    </row>
    <row r="721" spans="16:26">
      <c r="P721" s="165"/>
      <c r="Q721" s="165"/>
      <c r="R721" s="165"/>
      <c r="S721" s="165"/>
      <c r="T721" s="165"/>
      <c r="U721" s="165"/>
      <c r="V721" s="165"/>
      <c r="W721" s="165"/>
      <c r="X721" s="165"/>
      <c r="Y721" s="165"/>
      <c r="Z721" s="165"/>
    </row>
    <row r="722" spans="16:26">
      <c r="P722" s="165"/>
      <c r="Q722" s="165"/>
      <c r="R722" s="165"/>
      <c r="S722" s="165"/>
      <c r="T722" s="165"/>
      <c r="U722" s="165"/>
      <c r="V722" s="165"/>
      <c r="W722" s="165"/>
      <c r="X722" s="165"/>
      <c r="Y722" s="165"/>
      <c r="Z722" s="165"/>
    </row>
    <row r="723" spans="16:26">
      <c r="P723" s="165"/>
      <c r="Q723" s="165"/>
      <c r="R723" s="165"/>
      <c r="S723" s="165"/>
      <c r="T723" s="165"/>
      <c r="U723" s="165"/>
      <c r="V723" s="165"/>
      <c r="W723" s="165"/>
      <c r="X723" s="165"/>
      <c r="Y723" s="165"/>
      <c r="Z723" s="165"/>
    </row>
    <row r="724" spans="16:26">
      <c r="P724" s="165"/>
      <c r="Q724" s="165"/>
      <c r="R724" s="165"/>
      <c r="S724" s="165"/>
      <c r="T724" s="165"/>
      <c r="U724" s="165"/>
      <c r="V724" s="165"/>
      <c r="W724" s="165"/>
      <c r="X724" s="165"/>
      <c r="Y724" s="165"/>
      <c r="Z724" s="165"/>
    </row>
    <row r="725" spans="16:26">
      <c r="P725" s="165"/>
      <c r="Q725" s="165"/>
      <c r="R725" s="165"/>
      <c r="S725" s="165"/>
      <c r="T725" s="165"/>
      <c r="U725" s="165"/>
      <c r="V725" s="165"/>
      <c r="W725" s="165"/>
      <c r="X725" s="165"/>
      <c r="Y725" s="165"/>
      <c r="Z725" s="165"/>
    </row>
    <row r="726" spans="16:26">
      <c r="P726" s="165"/>
      <c r="Q726" s="165"/>
      <c r="R726" s="165"/>
      <c r="S726" s="165"/>
      <c r="T726" s="165"/>
      <c r="U726" s="165"/>
      <c r="V726" s="165"/>
      <c r="W726" s="165"/>
      <c r="X726" s="165"/>
      <c r="Y726" s="165"/>
      <c r="Z726" s="165"/>
    </row>
    <row r="727" spans="16:26">
      <c r="P727" s="165"/>
      <c r="Q727" s="165"/>
      <c r="R727" s="165"/>
      <c r="S727" s="165"/>
      <c r="T727" s="165"/>
      <c r="U727" s="165"/>
      <c r="V727" s="165"/>
      <c r="W727" s="165"/>
      <c r="X727" s="165"/>
      <c r="Y727" s="165"/>
      <c r="Z727" s="165"/>
    </row>
    <row r="728" spans="16:26">
      <c r="P728" s="165"/>
      <c r="Q728" s="165"/>
      <c r="R728" s="165"/>
      <c r="S728" s="165"/>
      <c r="T728" s="165"/>
      <c r="U728" s="165"/>
      <c r="V728" s="165"/>
      <c r="W728" s="165"/>
      <c r="X728" s="165"/>
      <c r="Y728" s="165"/>
      <c r="Z728" s="165"/>
    </row>
    <row r="729" spans="16:26">
      <c r="P729" s="165"/>
      <c r="Q729" s="165"/>
      <c r="R729" s="165"/>
      <c r="S729" s="165"/>
      <c r="T729" s="165"/>
      <c r="U729" s="165"/>
      <c r="V729" s="165"/>
      <c r="W729" s="165"/>
      <c r="X729" s="165"/>
      <c r="Y729" s="165"/>
      <c r="Z729" s="165"/>
    </row>
    <row r="730" spans="16:26">
      <c r="P730" s="165"/>
      <c r="Q730" s="165"/>
      <c r="R730" s="165"/>
      <c r="S730" s="165"/>
      <c r="T730" s="165"/>
      <c r="U730" s="165"/>
      <c r="V730" s="165"/>
      <c r="W730" s="165"/>
      <c r="X730" s="165"/>
      <c r="Y730" s="165"/>
      <c r="Z730" s="165"/>
    </row>
    <row r="731" spans="16:26">
      <c r="P731" s="165"/>
      <c r="Q731" s="165"/>
      <c r="R731" s="165"/>
      <c r="S731" s="165"/>
      <c r="T731" s="165"/>
      <c r="U731" s="165"/>
      <c r="V731" s="165"/>
      <c r="W731" s="165"/>
      <c r="X731" s="165"/>
      <c r="Y731" s="165"/>
      <c r="Z731" s="165"/>
    </row>
    <row r="732" spans="16:26">
      <c r="P732" s="165"/>
      <c r="Q732" s="165"/>
      <c r="R732" s="165"/>
      <c r="S732" s="165"/>
      <c r="T732" s="165"/>
      <c r="U732" s="165"/>
      <c r="V732" s="165"/>
      <c r="W732" s="165"/>
      <c r="X732" s="165"/>
      <c r="Y732" s="165"/>
      <c r="Z732" s="165"/>
    </row>
    <row r="733" spans="16:26">
      <c r="P733" s="165"/>
      <c r="Q733" s="165"/>
      <c r="R733" s="165"/>
      <c r="S733" s="165"/>
      <c r="T733" s="165"/>
      <c r="U733" s="165"/>
      <c r="V733" s="165"/>
      <c r="W733" s="165"/>
      <c r="X733" s="165"/>
      <c r="Y733" s="165"/>
      <c r="Z733" s="165"/>
    </row>
    <row r="734" spans="16:26">
      <c r="P734" s="165"/>
      <c r="Q734" s="165"/>
      <c r="R734" s="165"/>
      <c r="S734" s="165"/>
      <c r="T734" s="165"/>
      <c r="U734" s="165"/>
      <c r="V734" s="165"/>
      <c r="W734" s="165"/>
      <c r="X734" s="165"/>
      <c r="Y734" s="165"/>
      <c r="Z734" s="165"/>
    </row>
    <row r="735" spans="16:26">
      <c r="P735" s="165"/>
      <c r="Q735" s="165"/>
      <c r="R735" s="165"/>
      <c r="S735" s="165"/>
      <c r="T735" s="165"/>
      <c r="U735" s="165"/>
      <c r="V735" s="165"/>
      <c r="W735" s="165"/>
      <c r="X735" s="165"/>
      <c r="Y735" s="165"/>
      <c r="Z735" s="165"/>
    </row>
    <row r="736" spans="16:26">
      <c r="P736" s="165"/>
      <c r="Q736" s="165"/>
      <c r="R736" s="165"/>
      <c r="S736" s="165"/>
      <c r="T736" s="165"/>
      <c r="U736" s="165"/>
      <c r="V736" s="165"/>
      <c r="W736" s="165"/>
      <c r="X736" s="165"/>
      <c r="Y736" s="165"/>
      <c r="Z736" s="165"/>
    </row>
    <row r="737" spans="16:26">
      <c r="P737" s="165"/>
      <c r="Q737" s="165"/>
      <c r="R737" s="165"/>
      <c r="S737" s="165"/>
      <c r="T737" s="165"/>
      <c r="U737" s="165"/>
      <c r="V737" s="165"/>
      <c r="W737" s="165"/>
      <c r="X737" s="165"/>
      <c r="Y737" s="165"/>
      <c r="Z737" s="165"/>
    </row>
    <row r="738" spans="16:26">
      <c r="P738" s="165"/>
      <c r="Q738" s="165"/>
      <c r="R738" s="165"/>
      <c r="S738" s="165"/>
      <c r="T738" s="165"/>
      <c r="U738" s="165"/>
      <c r="V738" s="165"/>
      <c r="W738" s="165"/>
      <c r="X738" s="165"/>
      <c r="Y738" s="165"/>
      <c r="Z738" s="165"/>
    </row>
    <row r="739" spans="16:26">
      <c r="P739" s="165"/>
      <c r="Q739" s="165"/>
      <c r="R739" s="165"/>
      <c r="S739" s="165"/>
      <c r="T739" s="165"/>
      <c r="U739" s="165"/>
      <c r="V739" s="165"/>
      <c r="W739" s="165"/>
      <c r="X739" s="165"/>
      <c r="Y739" s="165"/>
      <c r="Z739" s="165"/>
    </row>
    <row r="740" spans="16:26">
      <c r="P740" s="165"/>
      <c r="Q740" s="165"/>
      <c r="R740" s="165"/>
      <c r="S740" s="165"/>
      <c r="T740" s="165"/>
      <c r="U740" s="165"/>
      <c r="V740" s="165"/>
      <c r="W740" s="165"/>
      <c r="X740" s="165"/>
      <c r="Y740" s="165"/>
      <c r="Z740" s="165"/>
    </row>
    <row r="741" spans="16:26">
      <c r="P741" s="165"/>
      <c r="Q741" s="165"/>
      <c r="R741" s="165"/>
      <c r="S741" s="165"/>
      <c r="T741" s="165"/>
      <c r="U741" s="165"/>
      <c r="V741" s="165"/>
      <c r="W741" s="165"/>
      <c r="X741" s="165"/>
      <c r="Y741" s="165"/>
      <c r="Z741" s="165"/>
    </row>
    <row r="742" spans="16:26">
      <c r="P742" s="165"/>
      <c r="Q742" s="165"/>
      <c r="R742" s="165"/>
      <c r="S742" s="165"/>
      <c r="T742" s="165"/>
      <c r="U742" s="165"/>
      <c r="V742" s="165"/>
      <c r="W742" s="165"/>
      <c r="X742" s="165"/>
      <c r="Y742" s="165"/>
      <c r="Z742" s="165"/>
    </row>
    <row r="743" spans="16:26">
      <c r="P743" s="165"/>
      <c r="Q743" s="165"/>
      <c r="R743" s="165"/>
      <c r="S743" s="165"/>
      <c r="T743" s="165"/>
      <c r="U743" s="165"/>
      <c r="V743" s="165"/>
      <c r="W743" s="165"/>
      <c r="X743" s="165"/>
      <c r="Y743" s="165"/>
      <c r="Z743" s="165"/>
    </row>
    <row r="744" spans="16:26">
      <c r="P744" s="165"/>
      <c r="Q744" s="165"/>
      <c r="R744" s="165"/>
      <c r="S744" s="165"/>
      <c r="T744" s="165"/>
      <c r="U744" s="165"/>
      <c r="V744" s="165"/>
      <c r="W744" s="165"/>
      <c r="X744" s="165"/>
      <c r="Y744" s="165"/>
      <c r="Z744" s="165"/>
    </row>
    <row r="745" spans="16:26">
      <c r="P745" s="165"/>
      <c r="Q745" s="165"/>
      <c r="R745" s="165"/>
      <c r="S745" s="165"/>
      <c r="T745" s="165"/>
      <c r="U745" s="165"/>
      <c r="V745" s="165"/>
      <c r="W745" s="165"/>
      <c r="X745" s="165"/>
      <c r="Y745" s="165"/>
      <c r="Z745" s="165"/>
    </row>
    <row r="746" spans="16:26">
      <c r="P746" s="165"/>
      <c r="Q746" s="165"/>
      <c r="R746" s="165"/>
      <c r="S746" s="165"/>
      <c r="T746" s="165"/>
      <c r="U746" s="165"/>
      <c r="V746" s="165"/>
      <c r="W746" s="165"/>
      <c r="X746" s="165"/>
      <c r="Y746" s="165"/>
      <c r="Z746" s="165"/>
    </row>
    <row r="747" spans="16:26">
      <c r="P747" s="165"/>
      <c r="Q747" s="165"/>
      <c r="R747" s="165"/>
      <c r="S747" s="165"/>
      <c r="T747" s="165"/>
      <c r="U747" s="165"/>
      <c r="V747" s="165"/>
      <c r="W747" s="165"/>
      <c r="X747" s="165"/>
      <c r="Y747" s="165"/>
      <c r="Z747" s="165"/>
    </row>
    <row r="748" spans="16:26">
      <c r="P748" s="165"/>
      <c r="Q748" s="165"/>
      <c r="R748" s="165"/>
      <c r="S748" s="165"/>
      <c r="T748" s="165"/>
      <c r="U748" s="165"/>
      <c r="V748" s="165"/>
      <c r="W748" s="165"/>
      <c r="X748" s="165"/>
      <c r="Y748" s="165"/>
      <c r="Z748" s="165"/>
    </row>
    <row r="749" spans="16:26">
      <c r="P749" s="165"/>
      <c r="Q749" s="165"/>
      <c r="R749" s="165"/>
      <c r="S749" s="165"/>
      <c r="T749" s="165"/>
      <c r="U749" s="165"/>
      <c r="V749" s="165"/>
      <c r="W749" s="165"/>
      <c r="X749" s="165"/>
      <c r="Y749" s="165"/>
      <c r="Z749" s="165"/>
    </row>
    <row r="750" spans="16:26">
      <c r="P750" s="165"/>
      <c r="Q750" s="165"/>
      <c r="R750" s="165"/>
      <c r="S750" s="165"/>
      <c r="T750" s="165"/>
      <c r="U750" s="165"/>
      <c r="V750" s="165"/>
      <c r="W750" s="165"/>
      <c r="X750" s="165"/>
      <c r="Y750" s="165"/>
      <c r="Z750" s="165"/>
    </row>
    <row r="751" spans="16:26">
      <c r="P751" s="165"/>
      <c r="Q751" s="165"/>
      <c r="R751" s="165"/>
      <c r="S751" s="165"/>
      <c r="T751" s="165"/>
      <c r="U751" s="165"/>
      <c r="V751" s="165"/>
      <c r="W751" s="165"/>
      <c r="X751" s="165"/>
      <c r="Y751" s="165"/>
      <c r="Z751" s="165"/>
    </row>
    <row r="752" spans="16:26">
      <c r="P752" s="165"/>
      <c r="Q752" s="165"/>
      <c r="R752" s="165"/>
      <c r="S752" s="165"/>
      <c r="T752" s="165"/>
      <c r="U752" s="165"/>
      <c r="V752" s="165"/>
      <c r="W752" s="165"/>
      <c r="X752" s="165"/>
      <c r="Y752" s="165"/>
      <c r="Z752" s="165"/>
    </row>
    <row r="753" spans="16:26">
      <c r="P753" s="165"/>
      <c r="Q753" s="165"/>
      <c r="R753" s="165"/>
      <c r="S753" s="165"/>
      <c r="T753" s="165"/>
      <c r="U753" s="165"/>
      <c r="V753" s="165"/>
      <c r="W753" s="165"/>
      <c r="X753" s="165"/>
      <c r="Y753" s="165"/>
      <c r="Z753" s="165"/>
    </row>
    <row r="754" spans="16:26">
      <c r="P754" s="165"/>
      <c r="Q754" s="165"/>
      <c r="R754" s="165"/>
      <c r="S754" s="165"/>
      <c r="T754" s="165"/>
      <c r="U754" s="165"/>
      <c r="V754" s="165"/>
      <c r="W754" s="165"/>
      <c r="X754" s="165"/>
      <c r="Y754" s="165"/>
      <c r="Z754" s="165"/>
    </row>
    <row r="755" spans="16:26">
      <c r="P755" s="165"/>
      <c r="Q755" s="165"/>
      <c r="R755" s="165"/>
      <c r="S755" s="165"/>
      <c r="T755" s="165"/>
      <c r="U755" s="165"/>
      <c r="V755" s="165"/>
      <c r="W755" s="165"/>
      <c r="X755" s="165"/>
      <c r="Y755" s="165"/>
      <c r="Z755" s="165"/>
    </row>
    <row r="756" spans="16:26">
      <c r="P756" s="165"/>
      <c r="Q756" s="165"/>
      <c r="R756" s="165"/>
      <c r="S756" s="165"/>
      <c r="T756" s="165"/>
      <c r="U756" s="165"/>
      <c r="V756" s="165"/>
      <c r="W756" s="165"/>
      <c r="X756" s="165"/>
      <c r="Y756" s="165"/>
      <c r="Z756" s="165"/>
    </row>
    <row r="757" spans="16:26">
      <c r="P757" s="165"/>
      <c r="Q757" s="165"/>
      <c r="R757" s="165"/>
      <c r="S757" s="165"/>
      <c r="T757" s="165"/>
      <c r="U757" s="165"/>
      <c r="V757" s="165"/>
      <c r="W757" s="165"/>
      <c r="X757" s="165"/>
      <c r="Y757" s="165"/>
      <c r="Z757" s="165"/>
    </row>
    <row r="758" spans="16:26">
      <c r="P758" s="165"/>
      <c r="Q758" s="165"/>
      <c r="R758" s="165"/>
      <c r="S758" s="165"/>
      <c r="T758" s="165"/>
      <c r="U758" s="165"/>
      <c r="V758" s="165"/>
      <c r="W758" s="165"/>
      <c r="X758" s="165"/>
      <c r="Y758" s="165"/>
      <c r="Z758" s="165"/>
    </row>
    <row r="759" spans="16:26">
      <c r="P759" s="165"/>
      <c r="Q759" s="165"/>
      <c r="R759" s="165"/>
      <c r="S759" s="165"/>
      <c r="T759" s="165"/>
      <c r="U759" s="165"/>
      <c r="V759" s="165"/>
      <c r="W759" s="165"/>
      <c r="X759" s="165"/>
      <c r="Y759" s="165"/>
      <c r="Z759" s="165"/>
    </row>
    <row r="760" spans="16:26">
      <c r="P760" s="165"/>
      <c r="Q760" s="165"/>
      <c r="R760" s="165"/>
      <c r="S760" s="165"/>
      <c r="T760" s="165"/>
      <c r="U760" s="165"/>
      <c r="V760" s="165"/>
      <c r="W760" s="165"/>
      <c r="X760" s="165"/>
      <c r="Y760" s="165"/>
      <c r="Z760" s="165"/>
    </row>
    <row r="761" spans="16:26">
      <c r="P761" s="165"/>
      <c r="Q761" s="165"/>
      <c r="R761" s="165"/>
      <c r="S761" s="165"/>
      <c r="T761" s="165"/>
      <c r="U761" s="165"/>
      <c r="V761" s="165"/>
      <c r="W761" s="165"/>
      <c r="X761" s="165"/>
      <c r="Y761" s="165"/>
      <c r="Z761" s="165"/>
    </row>
    <row r="762" spans="16:26">
      <c r="P762" s="165"/>
      <c r="Q762" s="165"/>
      <c r="R762" s="165"/>
      <c r="S762" s="165"/>
      <c r="T762" s="165"/>
      <c r="U762" s="165"/>
      <c r="V762" s="165"/>
      <c r="W762" s="165"/>
      <c r="X762" s="165"/>
      <c r="Y762" s="165"/>
      <c r="Z762" s="165"/>
    </row>
    <row r="763" spans="16:26">
      <c r="P763" s="165"/>
      <c r="Q763" s="165"/>
      <c r="R763" s="165"/>
      <c r="S763" s="165"/>
      <c r="T763" s="165"/>
      <c r="U763" s="165"/>
      <c r="V763" s="165"/>
      <c r="W763" s="165"/>
      <c r="X763" s="165"/>
      <c r="Y763" s="165"/>
      <c r="Z763" s="165"/>
    </row>
    <row r="764" spans="16:26">
      <c r="P764" s="165"/>
      <c r="Q764" s="165"/>
      <c r="R764" s="165"/>
      <c r="S764" s="165"/>
      <c r="T764" s="165"/>
      <c r="U764" s="165"/>
      <c r="V764" s="165"/>
      <c r="W764" s="165"/>
      <c r="X764" s="165"/>
      <c r="Y764" s="165"/>
      <c r="Z764" s="165"/>
    </row>
    <row r="765" spans="16:26">
      <c r="P765" s="165"/>
      <c r="Q765" s="165"/>
      <c r="R765" s="165"/>
      <c r="S765" s="165"/>
      <c r="T765" s="165"/>
      <c r="U765" s="165"/>
      <c r="V765" s="165"/>
      <c r="W765" s="165"/>
      <c r="X765" s="165"/>
      <c r="Y765" s="165"/>
      <c r="Z765" s="165"/>
    </row>
    <row r="766" spans="16:26">
      <c r="P766" s="165"/>
      <c r="Q766" s="165"/>
      <c r="R766" s="165"/>
      <c r="S766" s="165"/>
      <c r="T766" s="165"/>
      <c r="U766" s="165"/>
      <c r="V766" s="165"/>
      <c r="W766" s="165"/>
      <c r="X766" s="165"/>
      <c r="Y766" s="165"/>
      <c r="Z766" s="165"/>
    </row>
    <row r="767" spans="16:26">
      <c r="P767" s="165"/>
      <c r="Q767" s="165"/>
      <c r="R767" s="165"/>
      <c r="S767" s="165"/>
      <c r="T767" s="165"/>
      <c r="U767" s="165"/>
      <c r="V767" s="165"/>
      <c r="W767" s="165"/>
      <c r="X767" s="165"/>
      <c r="Y767" s="165"/>
      <c r="Z767" s="165"/>
    </row>
    <row r="768" spans="16:26">
      <c r="P768" s="165"/>
      <c r="Q768" s="165"/>
      <c r="R768" s="165"/>
      <c r="S768" s="165"/>
      <c r="T768" s="165"/>
      <c r="U768" s="165"/>
      <c r="V768" s="165"/>
      <c r="W768" s="165"/>
      <c r="X768" s="165"/>
      <c r="Y768" s="165"/>
      <c r="Z768" s="165"/>
    </row>
    <row r="769" spans="16:26">
      <c r="P769" s="165"/>
      <c r="Q769" s="165"/>
      <c r="R769" s="165"/>
      <c r="S769" s="165"/>
      <c r="T769" s="165"/>
      <c r="U769" s="165"/>
      <c r="V769" s="165"/>
      <c r="W769" s="165"/>
      <c r="X769" s="165"/>
      <c r="Y769" s="165"/>
      <c r="Z769" s="165"/>
    </row>
    <row r="770" spans="16:26">
      <c r="P770" s="165"/>
      <c r="Q770" s="165"/>
      <c r="R770" s="165"/>
      <c r="S770" s="165"/>
      <c r="T770" s="165"/>
      <c r="U770" s="165"/>
      <c r="V770" s="165"/>
      <c r="W770" s="165"/>
      <c r="X770" s="165"/>
      <c r="Y770" s="165"/>
      <c r="Z770" s="165"/>
    </row>
    <row r="771" spans="16:26">
      <c r="P771" s="165"/>
      <c r="Q771" s="165"/>
      <c r="R771" s="165"/>
      <c r="S771" s="165"/>
      <c r="T771" s="165"/>
      <c r="U771" s="165"/>
      <c r="V771" s="165"/>
      <c r="W771" s="165"/>
      <c r="X771" s="165"/>
      <c r="Y771" s="165"/>
      <c r="Z771" s="165"/>
    </row>
    <row r="772" spans="16:26">
      <c r="P772" s="165"/>
      <c r="Q772" s="165"/>
      <c r="R772" s="165"/>
      <c r="S772" s="165"/>
      <c r="T772" s="165"/>
      <c r="U772" s="165"/>
      <c r="V772" s="165"/>
      <c r="W772" s="165"/>
      <c r="X772" s="165"/>
      <c r="Y772" s="165"/>
      <c r="Z772" s="165"/>
    </row>
    <row r="773" spans="16:26">
      <c r="P773" s="165"/>
      <c r="Q773" s="165"/>
      <c r="R773" s="165"/>
      <c r="S773" s="165"/>
      <c r="T773" s="165"/>
      <c r="U773" s="165"/>
      <c r="V773" s="165"/>
      <c r="W773" s="165"/>
      <c r="X773" s="165"/>
      <c r="Y773" s="165"/>
      <c r="Z773" s="165"/>
    </row>
    <row r="774" spans="16:26">
      <c r="P774" s="165"/>
      <c r="Q774" s="165"/>
      <c r="R774" s="165"/>
      <c r="S774" s="165"/>
      <c r="T774" s="165"/>
      <c r="U774" s="165"/>
      <c r="V774" s="165"/>
      <c r="W774" s="165"/>
      <c r="X774" s="165"/>
      <c r="Y774" s="165"/>
      <c r="Z774" s="165"/>
    </row>
    <row r="775" spans="16:26">
      <c r="P775" s="165"/>
      <c r="Q775" s="165"/>
      <c r="R775" s="165"/>
      <c r="S775" s="165"/>
      <c r="T775" s="165"/>
      <c r="U775" s="165"/>
      <c r="V775" s="165"/>
      <c r="W775" s="165"/>
      <c r="X775" s="165"/>
      <c r="Y775" s="165"/>
      <c r="Z775" s="165"/>
    </row>
    <row r="776" spans="16:26">
      <c r="P776" s="165"/>
      <c r="Q776" s="165"/>
      <c r="R776" s="165"/>
      <c r="S776" s="165"/>
      <c r="T776" s="165"/>
      <c r="U776" s="165"/>
      <c r="V776" s="165"/>
      <c r="W776" s="165"/>
      <c r="X776" s="165"/>
      <c r="Y776" s="165"/>
      <c r="Z776" s="165"/>
    </row>
    <row r="777" spans="16:26">
      <c r="P777" s="165"/>
      <c r="Q777" s="165"/>
      <c r="R777" s="165"/>
      <c r="S777" s="165"/>
      <c r="T777" s="165"/>
      <c r="U777" s="165"/>
      <c r="V777" s="165"/>
      <c r="W777" s="165"/>
      <c r="X777" s="165"/>
      <c r="Y777" s="165"/>
      <c r="Z777" s="165"/>
    </row>
    <row r="778" spans="16:26">
      <c r="P778" s="165"/>
      <c r="Q778" s="165"/>
      <c r="R778" s="165"/>
      <c r="S778" s="165"/>
      <c r="T778" s="165"/>
      <c r="U778" s="165"/>
      <c r="V778" s="165"/>
      <c r="W778" s="165"/>
      <c r="X778" s="165"/>
      <c r="Y778" s="165"/>
      <c r="Z778" s="165"/>
    </row>
    <row r="779" spans="16:26">
      <c r="P779" s="165"/>
      <c r="Q779" s="165"/>
      <c r="R779" s="165"/>
      <c r="S779" s="165"/>
      <c r="T779" s="165"/>
      <c r="U779" s="165"/>
      <c r="V779" s="165"/>
      <c r="W779" s="165"/>
      <c r="X779" s="165"/>
      <c r="Y779" s="165"/>
      <c r="Z779" s="165"/>
    </row>
    <row r="780" spans="16:26">
      <c r="P780" s="165"/>
      <c r="Q780" s="165"/>
      <c r="R780" s="165"/>
      <c r="S780" s="165"/>
      <c r="T780" s="165"/>
      <c r="U780" s="165"/>
      <c r="V780" s="165"/>
      <c r="W780" s="165"/>
      <c r="X780" s="165"/>
      <c r="Y780" s="165"/>
      <c r="Z780" s="165"/>
    </row>
    <row r="781" spans="16:26">
      <c r="P781" s="165"/>
      <c r="Q781" s="165"/>
      <c r="R781" s="165"/>
      <c r="S781" s="165"/>
      <c r="T781" s="165"/>
      <c r="U781" s="165"/>
      <c r="V781" s="165"/>
      <c r="W781" s="165"/>
      <c r="X781" s="165"/>
      <c r="Y781" s="165"/>
      <c r="Z781" s="165"/>
    </row>
    <row r="782" spans="16:26">
      <c r="P782" s="165"/>
      <c r="Q782" s="165"/>
      <c r="R782" s="165"/>
      <c r="S782" s="165"/>
      <c r="T782" s="165"/>
      <c r="U782" s="165"/>
      <c r="V782" s="165"/>
      <c r="W782" s="165"/>
      <c r="X782" s="165"/>
      <c r="Y782" s="165"/>
      <c r="Z782" s="165"/>
    </row>
    <row r="783" spans="16:26">
      <c r="P783" s="165"/>
      <c r="Q783" s="165"/>
      <c r="R783" s="165"/>
      <c r="S783" s="165"/>
      <c r="T783" s="165"/>
      <c r="U783" s="165"/>
      <c r="V783" s="165"/>
      <c r="W783" s="165"/>
      <c r="X783" s="165"/>
      <c r="Y783" s="165"/>
      <c r="Z783" s="165"/>
    </row>
    <row r="784" spans="16:26">
      <c r="P784" s="165"/>
      <c r="Q784" s="165"/>
      <c r="R784" s="165"/>
      <c r="S784" s="165"/>
      <c r="T784" s="165"/>
      <c r="U784" s="165"/>
      <c r="V784" s="165"/>
      <c r="W784" s="165"/>
      <c r="X784" s="165"/>
      <c r="Y784" s="165"/>
      <c r="Z784" s="165"/>
    </row>
    <row r="785" spans="16:26">
      <c r="P785" s="165"/>
      <c r="Q785" s="165"/>
      <c r="R785" s="165"/>
      <c r="S785" s="165"/>
      <c r="T785" s="165"/>
      <c r="U785" s="165"/>
      <c r="V785" s="165"/>
      <c r="W785" s="165"/>
      <c r="X785" s="165"/>
      <c r="Y785" s="165"/>
      <c r="Z785" s="165"/>
    </row>
    <row r="786" spans="16:26">
      <c r="P786" s="165"/>
      <c r="Q786" s="165"/>
      <c r="R786" s="165"/>
      <c r="S786" s="165"/>
      <c r="T786" s="165"/>
      <c r="U786" s="165"/>
      <c r="V786" s="165"/>
      <c r="W786" s="165"/>
      <c r="X786" s="165"/>
      <c r="Y786" s="165"/>
      <c r="Z786" s="165"/>
    </row>
    <row r="787" spans="16:26">
      <c r="P787" s="165"/>
      <c r="Q787" s="165"/>
      <c r="R787" s="165"/>
      <c r="S787" s="165"/>
      <c r="T787" s="165"/>
      <c r="U787" s="165"/>
      <c r="V787" s="165"/>
      <c r="W787" s="165"/>
      <c r="X787" s="165"/>
      <c r="Y787" s="165"/>
      <c r="Z787" s="165"/>
    </row>
    <row r="788" spans="16:26">
      <c r="P788" s="165"/>
      <c r="Q788" s="165"/>
      <c r="R788" s="165"/>
      <c r="S788" s="165"/>
      <c r="T788" s="165"/>
      <c r="U788" s="165"/>
      <c r="V788" s="165"/>
      <c r="W788" s="165"/>
      <c r="X788" s="165"/>
      <c r="Y788" s="165"/>
      <c r="Z788" s="165"/>
    </row>
    <row r="789" spans="16:26">
      <c r="P789" s="165"/>
      <c r="Q789" s="165"/>
      <c r="R789" s="165"/>
      <c r="S789" s="165"/>
      <c r="T789" s="165"/>
      <c r="U789" s="165"/>
      <c r="V789" s="165"/>
      <c r="W789" s="165"/>
      <c r="X789" s="165"/>
      <c r="Y789" s="165"/>
      <c r="Z789" s="165"/>
    </row>
    <row r="790" spans="16:26">
      <c r="P790" s="165"/>
      <c r="Q790" s="165"/>
      <c r="R790" s="165"/>
      <c r="S790" s="165"/>
      <c r="T790" s="165"/>
      <c r="U790" s="165"/>
      <c r="V790" s="165"/>
      <c r="W790" s="165"/>
      <c r="X790" s="165"/>
      <c r="Y790" s="165"/>
      <c r="Z790" s="165"/>
    </row>
    <row r="791" spans="16:26">
      <c r="P791" s="165"/>
      <c r="Q791" s="165"/>
      <c r="R791" s="165"/>
      <c r="S791" s="165"/>
      <c r="T791" s="165"/>
      <c r="U791" s="165"/>
      <c r="V791" s="165"/>
      <c r="W791" s="165"/>
      <c r="X791" s="165"/>
      <c r="Y791" s="165"/>
      <c r="Z791" s="165"/>
    </row>
    <row r="792" spans="16:26">
      <c r="P792" s="165"/>
      <c r="Q792" s="165"/>
      <c r="R792" s="165"/>
      <c r="S792" s="165"/>
      <c r="T792" s="165"/>
      <c r="U792" s="165"/>
      <c r="V792" s="165"/>
      <c r="W792" s="165"/>
      <c r="X792" s="165"/>
      <c r="Y792" s="165"/>
      <c r="Z792" s="165"/>
    </row>
    <row r="793" spans="16:26">
      <c r="P793" s="165"/>
      <c r="Q793" s="165"/>
      <c r="R793" s="165"/>
      <c r="S793" s="165"/>
      <c r="T793" s="165"/>
      <c r="U793" s="165"/>
      <c r="V793" s="165"/>
      <c r="W793" s="165"/>
      <c r="X793" s="165"/>
      <c r="Y793" s="165"/>
      <c r="Z793" s="165"/>
    </row>
    <row r="794" spans="16:26">
      <c r="P794" s="165"/>
      <c r="Q794" s="165"/>
      <c r="R794" s="165"/>
      <c r="S794" s="165"/>
      <c r="T794" s="165"/>
      <c r="U794" s="165"/>
      <c r="V794" s="165"/>
      <c r="W794" s="165"/>
      <c r="X794" s="165"/>
      <c r="Y794" s="165"/>
      <c r="Z794" s="165"/>
    </row>
    <row r="795" spans="16:26">
      <c r="P795" s="165"/>
      <c r="Q795" s="165"/>
      <c r="R795" s="165"/>
      <c r="S795" s="165"/>
      <c r="T795" s="165"/>
      <c r="U795" s="165"/>
      <c r="V795" s="165"/>
      <c r="W795" s="165"/>
      <c r="X795" s="165"/>
      <c r="Y795" s="165"/>
      <c r="Z795" s="165"/>
    </row>
    <row r="796" spans="16:26">
      <c r="P796" s="165"/>
      <c r="Q796" s="165"/>
      <c r="R796" s="165"/>
      <c r="S796" s="165"/>
      <c r="T796" s="165"/>
      <c r="U796" s="165"/>
      <c r="V796" s="165"/>
      <c r="W796" s="165"/>
      <c r="X796" s="165"/>
      <c r="Y796" s="165"/>
      <c r="Z796" s="165"/>
    </row>
    <row r="797" spans="16:26">
      <c r="P797" s="165"/>
      <c r="Q797" s="165"/>
      <c r="R797" s="165"/>
      <c r="S797" s="165"/>
      <c r="T797" s="165"/>
      <c r="U797" s="165"/>
      <c r="V797" s="165"/>
      <c r="W797" s="165"/>
      <c r="X797" s="165"/>
      <c r="Y797" s="165"/>
      <c r="Z797" s="165"/>
    </row>
    <row r="798" spans="16:26">
      <c r="P798" s="165"/>
      <c r="Q798" s="165"/>
      <c r="R798" s="165"/>
      <c r="S798" s="165"/>
      <c r="T798" s="165"/>
      <c r="U798" s="165"/>
      <c r="V798" s="165"/>
      <c r="W798" s="165"/>
      <c r="X798" s="165"/>
      <c r="Y798" s="165"/>
      <c r="Z798" s="165"/>
    </row>
    <row r="799" spans="16:26">
      <c r="P799" s="165"/>
      <c r="Q799" s="165"/>
      <c r="R799" s="165"/>
      <c r="S799" s="165"/>
      <c r="T799" s="165"/>
      <c r="U799" s="165"/>
      <c r="V799" s="165"/>
      <c r="W799" s="165"/>
      <c r="X799" s="165"/>
      <c r="Y799" s="165"/>
      <c r="Z799" s="165"/>
    </row>
    <row r="800" spans="16:26">
      <c r="P800" s="165"/>
      <c r="Q800" s="165"/>
      <c r="R800" s="165"/>
      <c r="S800" s="165"/>
      <c r="T800" s="165"/>
      <c r="U800" s="165"/>
      <c r="V800" s="165"/>
      <c r="W800" s="165"/>
      <c r="X800" s="165"/>
      <c r="Y800" s="165"/>
      <c r="Z800" s="165"/>
    </row>
    <row r="801" spans="16:26">
      <c r="P801" s="165"/>
      <c r="Q801" s="165"/>
      <c r="R801" s="165"/>
      <c r="S801" s="165"/>
      <c r="T801" s="165"/>
      <c r="U801" s="165"/>
      <c r="V801" s="165"/>
      <c r="W801" s="165"/>
      <c r="X801" s="165"/>
      <c r="Y801" s="165"/>
      <c r="Z801" s="165"/>
    </row>
    <row r="802" spans="16:26">
      <c r="P802" s="165"/>
      <c r="Q802" s="165"/>
      <c r="R802" s="165"/>
      <c r="S802" s="165"/>
      <c r="T802" s="165"/>
      <c r="U802" s="165"/>
      <c r="V802" s="165"/>
      <c r="W802" s="165"/>
      <c r="X802" s="165"/>
      <c r="Y802" s="165"/>
      <c r="Z802" s="165"/>
    </row>
    <row r="803" spans="16:26">
      <c r="P803" s="165"/>
      <c r="Q803" s="165"/>
      <c r="R803" s="165"/>
      <c r="S803" s="165"/>
      <c r="T803" s="165"/>
      <c r="U803" s="165"/>
      <c r="V803" s="165"/>
      <c r="W803" s="165"/>
      <c r="X803" s="165"/>
      <c r="Y803" s="165"/>
      <c r="Z803" s="165"/>
    </row>
    <row r="804" spans="16:26">
      <c r="P804" s="165"/>
      <c r="Q804" s="165"/>
      <c r="R804" s="165"/>
      <c r="S804" s="165"/>
      <c r="T804" s="165"/>
      <c r="U804" s="165"/>
      <c r="V804" s="165"/>
      <c r="W804" s="165"/>
      <c r="X804" s="165"/>
      <c r="Y804" s="165"/>
      <c r="Z804" s="165"/>
    </row>
    <row r="805" spans="16:26">
      <c r="P805" s="165"/>
      <c r="Q805" s="165"/>
      <c r="R805" s="165"/>
      <c r="S805" s="165"/>
      <c r="T805" s="165"/>
      <c r="U805" s="165"/>
      <c r="V805" s="165"/>
      <c r="W805" s="165"/>
      <c r="X805" s="165"/>
      <c r="Y805" s="165"/>
      <c r="Z805" s="165"/>
    </row>
    <row r="806" spans="16:26">
      <c r="P806" s="165"/>
      <c r="Q806" s="165"/>
      <c r="R806" s="165"/>
      <c r="S806" s="165"/>
      <c r="T806" s="165"/>
      <c r="U806" s="165"/>
      <c r="V806" s="165"/>
      <c r="W806" s="165"/>
      <c r="X806" s="165"/>
      <c r="Y806" s="165"/>
      <c r="Z806" s="165"/>
    </row>
    <row r="807" spans="16:26">
      <c r="P807" s="165"/>
      <c r="Q807" s="165"/>
      <c r="R807" s="165"/>
      <c r="S807" s="165"/>
      <c r="T807" s="165"/>
      <c r="U807" s="165"/>
      <c r="V807" s="165"/>
      <c r="W807" s="165"/>
      <c r="X807" s="165"/>
      <c r="Y807" s="165"/>
      <c r="Z807" s="165"/>
    </row>
    <row r="808" spans="16:26">
      <c r="P808" s="165"/>
      <c r="Q808" s="165"/>
      <c r="R808" s="165"/>
      <c r="S808" s="165"/>
      <c r="T808" s="165"/>
      <c r="U808" s="165"/>
      <c r="V808" s="165"/>
      <c r="W808" s="165"/>
      <c r="X808" s="165"/>
      <c r="Y808" s="165"/>
      <c r="Z808" s="165"/>
    </row>
    <row r="809" spans="16:26">
      <c r="P809" s="165"/>
      <c r="Q809" s="165"/>
      <c r="R809" s="165"/>
      <c r="S809" s="165"/>
      <c r="T809" s="165"/>
      <c r="U809" s="165"/>
      <c r="V809" s="165"/>
      <c r="W809" s="165"/>
      <c r="X809" s="165"/>
      <c r="Y809" s="165"/>
      <c r="Z809" s="165"/>
    </row>
    <row r="810" spans="16:26">
      <c r="P810" s="165"/>
      <c r="Q810" s="165"/>
      <c r="R810" s="165"/>
      <c r="S810" s="165"/>
      <c r="T810" s="165"/>
      <c r="U810" s="165"/>
      <c r="V810" s="165"/>
      <c r="W810" s="165"/>
      <c r="X810" s="165"/>
      <c r="Y810" s="165"/>
      <c r="Z810" s="165"/>
    </row>
    <row r="811" spans="16:26">
      <c r="P811" s="165"/>
      <c r="Q811" s="165"/>
      <c r="R811" s="165"/>
      <c r="S811" s="165"/>
      <c r="T811" s="165"/>
      <c r="U811" s="165"/>
      <c r="V811" s="165"/>
      <c r="W811" s="165"/>
      <c r="X811" s="165"/>
      <c r="Y811" s="165"/>
      <c r="Z811" s="165"/>
    </row>
    <row r="812" spans="16:26">
      <c r="P812" s="165"/>
      <c r="Q812" s="165"/>
      <c r="R812" s="165"/>
      <c r="S812" s="165"/>
      <c r="T812" s="165"/>
      <c r="U812" s="165"/>
      <c r="V812" s="165"/>
      <c r="W812" s="165"/>
      <c r="X812" s="165"/>
      <c r="Y812" s="165"/>
      <c r="Z812" s="165"/>
    </row>
    <row r="813" spans="16:26">
      <c r="P813" s="165"/>
      <c r="Q813" s="165"/>
      <c r="R813" s="165"/>
      <c r="S813" s="165"/>
      <c r="T813" s="165"/>
      <c r="U813" s="165"/>
      <c r="V813" s="165"/>
      <c r="W813" s="165"/>
      <c r="X813" s="165"/>
      <c r="Y813" s="165"/>
      <c r="Z813" s="165"/>
    </row>
    <row r="814" spans="16:26">
      <c r="P814" s="165"/>
      <c r="Q814" s="165"/>
      <c r="R814" s="165"/>
      <c r="S814" s="165"/>
      <c r="T814" s="165"/>
      <c r="U814" s="165"/>
      <c r="V814" s="165"/>
      <c r="W814" s="165"/>
      <c r="X814" s="165"/>
      <c r="Y814" s="165"/>
      <c r="Z814" s="165"/>
    </row>
    <row r="815" spans="16:26">
      <c r="P815" s="165"/>
      <c r="Q815" s="165"/>
      <c r="R815" s="165"/>
      <c r="S815" s="165"/>
      <c r="T815" s="165"/>
      <c r="U815" s="165"/>
      <c r="V815" s="165"/>
      <c r="W815" s="165"/>
      <c r="X815" s="165"/>
      <c r="Y815" s="165"/>
      <c r="Z815" s="165"/>
    </row>
    <row r="816" spans="16:26">
      <c r="P816" s="165"/>
      <c r="Q816" s="165"/>
      <c r="R816" s="165"/>
      <c r="S816" s="165"/>
      <c r="T816" s="165"/>
      <c r="U816" s="165"/>
      <c r="V816" s="165"/>
      <c r="W816" s="165"/>
      <c r="X816" s="165"/>
      <c r="Y816" s="165"/>
      <c r="Z816" s="165"/>
    </row>
    <row r="817" spans="16:26">
      <c r="P817" s="165"/>
      <c r="Q817" s="165"/>
      <c r="R817" s="165"/>
      <c r="S817" s="165"/>
      <c r="T817" s="165"/>
      <c r="U817" s="165"/>
      <c r="V817" s="165"/>
      <c r="W817" s="165"/>
      <c r="X817" s="165"/>
      <c r="Y817" s="165"/>
      <c r="Z817" s="165"/>
    </row>
    <row r="818" spans="16:26">
      <c r="P818" s="165"/>
      <c r="Q818" s="165"/>
      <c r="R818" s="165"/>
      <c r="S818" s="165"/>
      <c r="T818" s="165"/>
      <c r="U818" s="165"/>
      <c r="V818" s="165"/>
      <c r="W818" s="165"/>
      <c r="X818" s="165"/>
      <c r="Y818" s="165"/>
      <c r="Z818" s="165"/>
    </row>
    <row r="819" spans="16:26">
      <c r="P819" s="165"/>
      <c r="Q819" s="165"/>
      <c r="R819" s="165"/>
      <c r="S819" s="165"/>
      <c r="T819" s="165"/>
      <c r="U819" s="165"/>
      <c r="V819" s="165"/>
      <c r="W819" s="165"/>
      <c r="X819" s="165"/>
      <c r="Y819" s="165"/>
      <c r="Z819" s="165"/>
    </row>
    <row r="820" spans="16:26">
      <c r="P820" s="165"/>
      <c r="Q820" s="165"/>
      <c r="R820" s="165"/>
      <c r="S820" s="165"/>
      <c r="T820" s="165"/>
      <c r="U820" s="165"/>
      <c r="V820" s="165"/>
      <c r="W820" s="165"/>
      <c r="X820" s="165"/>
      <c r="Y820" s="165"/>
      <c r="Z820" s="165"/>
    </row>
    <row r="821" spans="16:26">
      <c r="P821" s="165"/>
      <c r="Q821" s="165"/>
      <c r="R821" s="165"/>
      <c r="S821" s="165"/>
      <c r="T821" s="165"/>
      <c r="U821" s="165"/>
      <c r="V821" s="165"/>
      <c r="W821" s="165"/>
      <c r="X821" s="165"/>
      <c r="Y821" s="165"/>
      <c r="Z821" s="165"/>
    </row>
    <row r="822" spans="16:26">
      <c r="P822" s="165"/>
      <c r="Q822" s="165"/>
      <c r="R822" s="165"/>
      <c r="S822" s="165"/>
      <c r="T822" s="165"/>
      <c r="U822" s="165"/>
      <c r="V822" s="165"/>
      <c r="W822" s="165"/>
      <c r="X822" s="165"/>
      <c r="Y822" s="165"/>
      <c r="Z822" s="165"/>
    </row>
    <row r="823" spans="16:26">
      <c r="P823" s="165"/>
      <c r="Q823" s="165"/>
      <c r="R823" s="165"/>
      <c r="S823" s="165"/>
      <c r="T823" s="165"/>
      <c r="U823" s="165"/>
      <c r="V823" s="165"/>
      <c r="W823" s="165"/>
      <c r="X823" s="165"/>
      <c r="Y823" s="165"/>
      <c r="Z823" s="165"/>
    </row>
    <row r="824" spans="16:26">
      <c r="P824" s="165"/>
      <c r="Q824" s="165"/>
      <c r="R824" s="165"/>
      <c r="S824" s="165"/>
      <c r="T824" s="165"/>
      <c r="U824" s="165"/>
      <c r="V824" s="165"/>
      <c r="W824" s="165"/>
      <c r="X824" s="165"/>
      <c r="Y824" s="165"/>
      <c r="Z824" s="165"/>
    </row>
    <row r="825" spans="16:26">
      <c r="P825" s="165"/>
      <c r="Q825" s="165"/>
      <c r="R825" s="165"/>
      <c r="S825" s="165"/>
      <c r="T825" s="165"/>
      <c r="U825" s="165"/>
      <c r="V825" s="165"/>
      <c r="W825" s="165"/>
      <c r="X825" s="165"/>
      <c r="Y825" s="165"/>
      <c r="Z825" s="165"/>
    </row>
    <row r="826" spans="16:26">
      <c r="P826" s="165"/>
      <c r="Q826" s="165"/>
      <c r="R826" s="165"/>
      <c r="S826" s="165"/>
      <c r="T826" s="165"/>
      <c r="U826" s="165"/>
      <c r="V826" s="165"/>
      <c r="W826" s="165"/>
      <c r="X826" s="165"/>
      <c r="Y826" s="165"/>
      <c r="Z826" s="165"/>
    </row>
    <row r="827" spans="16:26">
      <c r="P827" s="165"/>
      <c r="Q827" s="165"/>
      <c r="R827" s="165"/>
      <c r="S827" s="165"/>
      <c r="T827" s="165"/>
      <c r="U827" s="165"/>
      <c r="V827" s="165"/>
      <c r="W827" s="165"/>
      <c r="X827" s="165"/>
      <c r="Y827" s="165"/>
      <c r="Z827" s="165"/>
    </row>
    <row r="828" spans="16:26">
      <c r="P828" s="165"/>
      <c r="Q828" s="165"/>
      <c r="R828" s="165"/>
      <c r="S828" s="165"/>
      <c r="T828" s="165"/>
      <c r="U828" s="165"/>
      <c r="V828" s="165"/>
      <c r="W828" s="165"/>
      <c r="X828" s="165"/>
      <c r="Y828" s="165"/>
      <c r="Z828" s="165"/>
    </row>
    <row r="829" spans="16:26">
      <c r="P829" s="165"/>
      <c r="Q829" s="165"/>
      <c r="R829" s="165"/>
      <c r="S829" s="165"/>
      <c r="T829" s="165"/>
      <c r="U829" s="165"/>
      <c r="V829" s="165"/>
      <c r="W829" s="165"/>
      <c r="X829" s="165"/>
      <c r="Y829" s="165"/>
      <c r="Z829" s="165"/>
    </row>
    <row r="830" spans="16:26">
      <c r="P830" s="165"/>
      <c r="Q830" s="165"/>
      <c r="R830" s="165"/>
      <c r="S830" s="165"/>
      <c r="T830" s="165"/>
      <c r="U830" s="165"/>
      <c r="V830" s="165"/>
      <c r="W830" s="165"/>
      <c r="X830" s="165"/>
      <c r="Y830" s="165"/>
      <c r="Z830" s="165"/>
    </row>
    <row r="831" spans="16:26">
      <c r="P831" s="165"/>
      <c r="Q831" s="165"/>
      <c r="R831" s="165"/>
      <c r="S831" s="165"/>
      <c r="T831" s="165"/>
      <c r="U831" s="165"/>
      <c r="V831" s="165"/>
      <c r="W831" s="165"/>
      <c r="X831" s="165"/>
      <c r="Y831" s="165"/>
      <c r="Z831" s="165"/>
    </row>
    <row r="832" spans="16:26">
      <c r="P832" s="165"/>
      <c r="Q832" s="165"/>
      <c r="R832" s="165"/>
      <c r="S832" s="165"/>
      <c r="T832" s="165"/>
      <c r="U832" s="165"/>
      <c r="V832" s="165"/>
      <c r="W832" s="165"/>
      <c r="X832" s="165"/>
      <c r="Y832" s="165"/>
      <c r="Z832" s="165"/>
    </row>
    <row r="833" spans="16:26">
      <c r="P833" s="165"/>
      <c r="Q833" s="165"/>
      <c r="R833" s="165"/>
      <c r="S833" s="165"/>
      <c r="T833" s="165"/>
      <c r="U833" s="165"/>
      <c r="V833" s="165"/>
      <c r="W833" s="165"/>
      <c r="X833" s="165"/>
      <c r="Y833" s="165"/>
      <c r="Z833" s="165"/>
    </row>
    <row r="834" spans="16:26">
      <c r="P834" s="165"/>
      <c r="Q834" s="165"/>
      <c r="R834" s="165"/>
      <c r="S834" s="165"/>
      <c r="T834" s="165"/>
      <c r="U834" s="165"/>
      <c r="V834" s="165"/>
      <c r="W834" s="165"/>
      <c r="X834" s="165"/>
      <c r="Y834" s="165"/>
      <c r="Z834" s="165"/>
    </row>
    <row r="835" spans="16:26">
      <c r="P835" s="165"/>
      <c r="Q835" s="165"/>
      <c r="R835" s="165"/>
      <c r="S835" s="165"/>
      <c r="T835" s="165"/>
      <c r="U835" s="165"/>
      <c r="V835" s="165"/>
      <c r="W835" s="165"/>
      <c r="X835" s="165"/>
      <c r="Y835" s="165"/>
      <c r="Z835" s="165"/>
    </row>
    <row r="836" spans="16:26">
      <c r="P836" s="165"/>
      <c r="Q836" s="165"/>
      <c r="R836" s="165"/>
      <c r="S836" s="165"/>
      <c r="T836" s="165"/>
      <c r="U836" s="165"/>
      <c r="V836" s="165"/>
      <c r="W836" s="165"/>
      <c r="X836" s="165"/>
      <c r="Y836" s="165"/>
      <c r="Z836" s="165"/>
    </row>
    <row r="837" spans="16:26">
      <c r="P837" s="165"/>
      <c r="Q837" s="165"/>
      <c r="R837" s="165"/>
      <c r="S837" s="165"/>
      <c r="T837" s="165"/>
      <c r="U837" s="165"/>
      <c r="V837" s="165"/>
      <c r="W837" s="165"/>
      <c r="X837" s="165"/>
      <c r="Y837" s="165"/>
      <c r="Z837" s="165"/>
    </row>
    <row r="838" spans="16:26">
      <c r="P838" s="165"/>
      <c r="Q838" s="165"/>
      <c r="R838" s="165"/>
      <c r="S838" s="165"/>
      <c r="T838" s="165"/>
      <c r="U838" s="165"/>
      <c r="V838" s="165"/>
      <c r="W838" s="165"/>
      <c r="X838" s="165"/>
      <c r="Y838" s="165"/>
      <c r="Z838" s="165"/>
    </row>
    <row r="839" spans="16:26">
      <c r="P839" s="165"/>
      <c r="Q839" s="165"/>
      <c r="R839" s="165"/>
      <c r="S839" s="165"/>
      <c r="T839" s="165"/>
      <c r="U839" s="165"/>
      <c r="V839" s="165"/>
      <c r="W839" s="165"/>
      <c r="X839" s="165"/>
      <c r="Y839" s="165"/>
      <c r="Z839" s="165"/>
    </row>
    <row r="840" spans="16:26">
      <c r="P840" s="165"/>
      <c r="Q840" s="165"/>
      <c r="R840" s="165"/>
      <c r="S840" s="165"/>
      <c r="T840" s="165"/>
      <c r="U840" s="165"/>
      <c r="V840" s="165"/>
      <c r="W840" s="165"/>
      <c r="X840" s="165"/>
      <c r="Y840" s="165"/>
      <c r="Z840" s="165"/>
    </row>
    <row r="841" spans="16:26">
      <c r="P841" s="165"/>
      <c r="Q841" s="165"/>
      <c r="R841" s="165"/>
      <c r="S841" s="165"/>
      <c r="T841" s="165"/>
      <c r="U841" s="165"/>
      <c r="V841" s="165"/>
      <c r="W841" s="165"/>
      <c r="X841" s="165"/>
      <c r="Y841" s="165"/>
      <c r="Z841" s="165"/>
    </row>
    <row r="842" spans="16:26">
      <c r="P842" s="165"/>
      <c r="Q842" s="165"/>
      <c r="R842" s="165"/>
      <c r="S842" s="165"/>
      <c r="T842" s="165"/>
      <c r="U842" s="165"/>
      <c r="V842" s="165"/>
      <c r="W842" s="165"/>
      <c r="X842" s="165"/>
      <c r="Y842" s="165"/>
      <c r="Z842" s="165"/>
    </row>
    <row r="843" spans="16:26">
      <c r="P843" s="165"/>
      <c r="Q843" s="165"/>
      <c r="R843" s="165"/>
      <c r="S843" s="165"/>
      <c r="T843" s="165"/>
      <c r="U843" s="165"/>
      <c r="V843" s="165"/>
      <c r="W843" s="165"/>
      <c r="X843" s="165"/>
      <c r="Y843" s="165"/>
      <c r="Z843" s="165"/>
    </row>
    <row r="844" spans="16:26">
      <c r="P844" s="165"/>
      <c r="Q844" s="165"/>
      <c r="R844" s="165"/>
      <c r="S844" s="165"/>
      <c r="T844" s="165"/>
      <c r="U844" s="165"/>
      <c r="V844" s="165"/>
      <c r="W844" s="165"/>
      <c r="X844" s="165"/>
      <c r="Y844" s="165"/>
      <c r="Z844" s="165"/>
    </row>
    <row r="845" spans="16:26">
      <c r="P845" s="165"/>
      <c r="Q845" s="165"/>
      <c r="R845" s="165"/>
      <c r="S845" s="165"/>
      <c r="T845" s="165"/>
      <c r="U845" s="165"/>
      <c r="V845" s="165"/>
      <c r="W845" s="165"/>
      <c r="X845" s="165"/>
      <c r="Y845" s="165"/>
      <c r="Z845" s="165"/>
    </row>
    <row r="846" spans="16:26">
      <c r="P846" s="165"/>
      <c r="Q846" s="165"/>
      <c r="R846" s="165"/>
      <c r="S846" s="165"/>
      <c r="T846" s="165"/>
      <c r="U846" s="165"/>
      <c r="V846" s="165"/>
      <c r="W846" s="165"/>
      <c r="X846" s="165"/>
      <c r="Y846" s="165"/>
      <c r="Z846" s="165"/>
    </row>
    <row r="847" spans="16:26">
      <c r="P847" s="165"/>
      <c r="Q847" s="165"/>
      <c r="R847" s="165"/>
      <c r="S847" s="165"/>
      <c r="T847" s="165"/>
      <c r="U847" s="165"/>
      <c r="V847" s="165"/>
      <c r="W847" s="165"/>
      <c r="X847" s="165"/>
      <c r="Y847" s="165"/>
      <c r="Z847" s="165"/>
    </row>
    <row r="848" spans="16:26">
      <c r="P848" s="165"/>
      <c r="Q848" s="165"/>
      <c r="R848" s="165"/>
      <c r="S848" s="165"/>
      <c r="T848" s="165"/>
      <c r="U848" s="165"/>
      <c r="V848" s="165"/>
      <c r="W848" s="165"/>
      <c r="X848" s="165"/>
      <c r="Y848" s="165"/>
      <c r="Z848" s="165"/>
    </row>
    <row r="849" spans="16:26">
      <c r="P849" s="165"/>
      <c r="Q849" s="165"/>
      <c r="R849" s="165"/>
      <c r="S849" s="165"/>
      <c r="T849" s="165"/>
      <c r="U849" s="165"/>
      <c r="V849" s="165"/>
      <c r="W849" s="165"/>
      <c r="X849" s="165"/>
      <c r="Y849" s="165"/>
      <c r="Z849" s="165"/>
    </row>
    <row r="850" spans="16:26">
      <c r="P850" s="165"/>
      <c r="Q850" s="165"/>
      <c r="R850" s="165"/>
      <c r="S850" s="165"/>
      <c r="T850" s="165"/>
      <c r="U850" s="165"/>
      <c r="V850" s="165"/>
      <c r="W850" s="165"/>
      <c r="X850" s="165"/>
      <c r="Y850" s="165"/>
      <c r="Z850" s="165"/>
    </row>
    <row r="851" spans="16:26">
      <c r="P851" s="165"/>
      <c r="Q851" s="165"/>
      <c r="R851" s="165"/>
      <c r="S851" s="165"/>
      <c r="T851" s="165"/>
      <c r="U851" s="165"/>
      <c r="V851" s="165"/>
      <c r="W851" s="165"/>
      <c r="X851" s="165"/>
      <c r="Y851" s="165"/>
      <c r="Z851" s="165"/>
    </row>
    <row r="852" spans="16:26">
      <c r="P852" s="165"/>
      <c r="Q852" s="165"/>
      <c r="R852" s="165"/>
      <c r="S852" s="165"/>
      <c r="T852" s="165"/>
      <c r="U852" s="165"/>
      <c r="V852" s="165"/>
      <c r="W852" s="165"/>
      <c r="X852" s="165"/>
      <c r="Y852" s="165"/>
      <c r="Z852" s="165"/>
    </row>
    <row r="853" spans="16:26">
      <c r="P853" s="165"/>
      <c r="Q853" s="165"/>
      <c r="R853" s="165"/>
      <c r="S853" s="165"/>
      <c r="T853" s="165"/>
      <c r="U853" s="165"/>
      <c r="V853" s="165"/>
      <c r="W853" s="165"/>
      <c r="X853" s="165"/>
      <c r="Y853" s="165"/>
      <c r="Z853" s="165"/>
    </row>
    <row r="854" spans="16:26">
      <c r="P854" s="165"/>
      <c r="Q854" s="165"/>
      <c r="R854" s="165"/>
      <c r="S854" s="165"/>
      <c r="T854" s="165"/>
      <c r="U854" s="165"/>
      <c r="V854" s="165"/>
      <c r="W854" s="165"/>
      <c r="X854" s="165"/>
      <c r="Y854" s="165"/>
      <c r="Z854" s="165"/>
    </row>
    <row r="855" spans="16:26">
      <c r="P855" s="165"/>
      <c r="Q855" s="165"/>
      <c r="R855" s="165"/>
      <c r="S855" s="165"/>
      <c r="T855" s="165"/>
      <c r="U855" s="165"/>
      <c r="V855" s="165"/>
      <c r="W855" s="165"/>
      <c r="X855" s="165"/>
      <c r="Y855" s="165"/>
      <c r="Z855" s="165"/>
    </row>
    <row r="856" spans="16:26">
      <c r="P856" s="165"/>
      <c r="Q856" s="165"/>
      <c r="R856" s="165"/>
      <c r="S856" s="165"/>
      <c r="T856" s="165"/>
      <c r="U856" s="165"/>
      <c r="V856" s="165"/>
      <c r="W856" s="165"/>
      <c r="X856" s="165"/>
      <c r="Y856" s="165"/>
      <c r="Z856" s="165"/>
    </row>
    <row r="857" spans="16:26">
      <c r="P857" s="165"/>
      <c r="Q857" s="165"/>
      <c r="R857" s="165"/>
      <c r="S857" s="165"/>
      <c r="T857" s="165"/>
      <c r="U857" s="165"/>
      <c r="V857" s="165"/>
      <c r="W857" s="165"/>
      <c r="X857" s="165"/>
      <c r="Y857" s="165"/>
      <c r="Z857" s="165"/>
    </row>
    <row r="858" spans="16:26">
      <c r="P858" s="165"/>
      <c r="Q858" s="165"/>
      <c r="R858" s="165"/>
      <c r="S858" s="165"/>
      <c r="T858" s="165"/>
      <c r="U858" s="165"/>
      <c r="V858" s="165"/>
      <c r="W858" s="165"/>
      <c r="X858" s="165"/>
      <c r="Y858" s="165"/>
      <c r="Z858" s="165"/>
    </row>
    <row r="859" spans="16:26">
      <c r="P859" s="165"/>
      <c r="Q859" s="165"/>
      <c r="R859" s="165"/>
      <c r="S859" s="165"/>
      <c r="T859" s="165"/>
      <c r="U859" s="165"/>
      <c r="V859" s="165"/>
      <c r="W859" s="165"/>
      <c r="X859" s="165"/>
      <c r="Y859" s="165"/>
      <c r="Z859" s="165"/>
    </row>
    <row r="860" spans="16:26">
      <c r="P860" s="165"/>
      <c r="Q860" s="165"/>
      <c r="R860" s="165"/>
      <c r="S860" s="165"/>
      <c r="T860" s="165"/>
      <c r="U860" s="165"/>
      <c r="V860" s="165"/>
      <c r="W860" s="165"/>
      <c r="X860" s="165"/>
      <c r="Y860" s="165"/>
      <c r="Z860" s="165"/>
    </row>
    <row r="861" spans="16:26">
      <c r="P861" s="165"/>
      <c r="Q861" s="165"/>
      <c r="R861" s="165"/>
      <c r="S861" s="165"/>
      <c r="T861" s="165"/>
      <c r="U861" s="165"/>
      <c r="V861" s="165"/>
      <c r="W861" s="165"/>
      <c r="X861" s="165"/>
      <c r="Y861" s="165"/>
      <c r="Z861" s="165"/>
    </row>
    <row r="862" spans="16:26">
      <c r="P862" s="165"/>
      <c r="Q862" s="165"/>
      <c r="R862" s="165"/>
      <c r="S862" s="165"/>
      <c r="T862" s="165"/>
      <c r="U862" s="165"/>
      <c r="V862" s="165"/>
      <c r="W862" s="165"/>
      <c r="X862" s="165"/>
      <c r="Y862" s="165"/>
      <c r="Z862" s="165"/>
    </row>
    <row r="863" spans="16:26">
      <c r="P863" s="165"/>
      <c r="Q863" s="165"/>
      <c r="R863" s="165"/>
      <c r="S863" s="165"/>
      <c r="T863" s="165"/>
      <c r="U863" s="165"/>
      <c r="V863" s="165"/>
      <c r="W863" s="165"/>
      <c r="X863" s="165"/>
      <c r="Y863" s="165"/>
      <c r="Z863" s="165"/>
    </row>
    <row r="864" spans="16:26">
      <c r="P864" s="165"/>
      <c r="Q864" s="165"/>
      <c r="R864" s="165"/>
      <c r="S864" s="165"/>
      <c r="T864" s="165"/>
      <c r="U864" s="165"/>
      <c r="V864" s="165"/>
      <c r="W864" s="165"/>
      <c r="X864" s="165"/>
      <c r="Y864" s="165"/>
      <c r="Z864" s="165"/>
    </row>
    <row r="865" spans="16:26">
      <c r="P865" s="165"/>
      <c r="Q865" s="165"/>
      <c r="R865" s="165"/>
      <c r="S865" s="165"/>
      <c r="T865" s="165"/>
      <c r="U865" s="165"/>
      <c r="V865" s="165"/>
      <c r="W865" s="165"/>
      <c r="X865" s="165"/>
      <c r="Y865" s="165"/>
      <c r="Z865" s="165"/>
    </row>
    <row r="866" spans="16:26">
      <c r="P866" s="165"/>
      <c r="Q866" s="165"/>
      <c r="R866" s="165"/>
      <c r="S866" s="165"/>
      <c r="T866" s="165"/>
      <c r="U866" s="165"/>
      <c r="V866" s="165"/>
      <c r="W866" s="165"/>
      <c r="X866" s="165"/>
      <c r="Y866" s="165"/>
      <c r="Z866" s="165"/>
    </row>
    <row r="867" spans="16:26">
      <c r="P867" s="165"/>
      <c r="Q867" s="165"/>
      <c r="R867" s="165"/>
      <c r="S867" s="165"/>
      <c r="T867" s="165"/>
      <c r="U867" s="165"/>
      <c r="V867" s="165"/>
      <c r="W867" s="165"/>
      <c r="X867" s="165"/>
      <c r="Y867" s="165"/>
      <c r="Z867" s="165"/>
    </row>
    <row r="868" spans="16:26">
      <c r="P868" s="165"/>
      <c r="Q868" s="165"/>
      <c r="R868" s="165"/>
      <c r="S868" s="165"/>
      <c r="T868" s="165"/>
      <c r="U868" s="165"/>
      <c r="V868" s="165"/>
      <c r="W868" s="165"/>
      <c r="X868" s="165"/>
      <c r="Y868" s="165"/>
      <c r="Z868" s="165"/>
    </row>
    <row r="869" spans="16:26">
      <c r="P869" s="165"/>
      <c r="Q869" s="165"/>
      <c r="R869" s="165"/>
      <c r="S869" s="165"/>
      <c r="T869" s="165"/>
      <c r="U869" s="165"/>
      <c r="V869" s="165"/>
      <c r="W869" s="165"/>
      <c r="X869" s="165"/>
      <c r="Y869" s="165"/>
      <c r="Z869" s="165"/>
    </row>
    <row r="870" spans="16:26">
      <c r="P870" s="165"/>
      <c r="Q870" s="165"/>
      <c r="R870" s="165"/>
      <c r="S870" s="165"/>
      <c r="T870" s="165"/>
      <c r="U870" s="165"/>
      <c r="V870" s="165"/>
      <c r="W870" s="165"/>
      <c r="X870" s="165"/>
      <c r="Y870" s="165"/>
      <c r="Z870" s="165"/>
    </row>
    <row r="871" spans="16:26">
      <c r="P871" s="165"/>
      <c r="Q871" s="165"/>
      <c r="R871" s="165"/>
      <c r="S871" s="165"/>
      <c r="T871" s="165"/>
      <c r="U871" s="165"/>
      <c r="V871" s="165"/>
      <c r="W871" s="165"/>
      <c r="X871" s="165"/>
      <c r="Y871" s="165"/>
      <c r="Z871" s="165"/>
    </row>
    <row r="872" spans="16:26">
      <c r="P872" s="165"/>
      <c r="Q872" s="165"/>
      <c r="R872" s="165"/>
      <c r="S872" s="165"/>
      <c r="T872" s="165"/>
      <c r="U872" s="165"/>
      <c r="V872" s="165"/>
      <c r="W872" s="165"/>
      <c r="X872" s="165"/>
      <c r="Y872" s="165"/>
      <c r="Z872" s="165"/>
    </row>
    <row r="873" spans="16:26">
      <c r="P873" s="165"/>
      <c r="Q873" s="165"/>
      <c r="R873" s="165"/>
      <c r="S873" s="165"/>
      <c r="T873" s="165"/>
      <c r="U873" s="165"/>
      <c r="V873" s="165"/>
      <c r="W873" s="165"/>
      <c r="X873" s="165"/>
      <c r="Y873" s="165"/>
      <c r="Z873" s="165"/>
    </row>
    <row r="874" spans="16:26">
      <c r="P874" s="165"/>
      <c r="Q874" s="165"/>
      <c r="R874" s="165"/>
      <c r="S874" s="165"/>
      <c r="T874" s="165"/>
      <c r="U874" s="165"/>
      <c r="V874" s="165"/>
      <c r="W874" s="165"/>
      <c r="X874" s="165"/>
      <c r="Y874" s="165"/>
      <c r="Z874" s="165"/>
    </row>
    <row r="875" spans="16:26">
      <c r="P875" s="165"/>
      <c r="Q875" s="165"/>
      <c r="R875" s="165"/>
      <c r="S875" s="165"/>
      <c r="T875" s="165"/>
      <c r="U875" s="165"/>
      <c r="V875" s="165"/>
      <c r="W875" s="165"/>
      <c r="X875" s="165"/>
      <c r="Y875" s="165"/>
      <c r="Z875" s="165"/>
    </row>
    <row r="876" spans="16:26">
      <c r="P876" s="165"/>
      <c r="Q876" s="165"/>
      <c r="R876" s="165"/>
      <c r="S876" s="165"/>
      <c r="T876" s="165"/>
      <c r="U876" s="165"/>
      <c r="V876" s="165"/>
      <c r="W876" s="165"/>
      <c r="X876" s="165"/>
      <c r="Y876" s="165"/>
      <c r="Z876" s="165"/>
    </row>
    <row r="877" spans="16:26">
      <c r="P877" s="165"/>
      <c r="Q877" s="165"/>
      <c r="R877" s="165"/>
      <c r="S877" s="165"/>
      <c r="T877" s="165"/>
      <c r="U877" s="165"/>
      <c r="V877" s="165"/>
      <c r="W877" s="165"/>
      <c r="X877" s="165"/>
      <c r="Y877" s="165"/>
      <c r="Z877" s="165"/>
    </row>
    <row r="878" spans="16:26">
      <c r="P878" s="165"/>
      <c r="Q878" s="165"/>
      <c r="R878" s="165"/>
      <c r="S878" s="165"/>
      <c r="T878" s="165"/>
      <c r="U878" s="165"/>
      <c r="V878" s="165"/>
      <c r="W878" s="165"/>
      <c r="X878" s="165"/>
      <c r="Y878" s="165"/>
      <c r="Z878" s="165"/>
    </row>
    <row r="879" spans="16:26">
      <c r="P879" s="165"/>
      <c r="Q879" s="165"/>
      <c r="R879" s="165"/>
      <c r="S879" s="165"/>
      <c r="T879" s="165"/>
      <c r="U879" s="165"/>
      <c r="V879" s="165"/>
      <c r="W879" s="165"/>
      <c r="X879" s="165"/>
      <c r="Y879" s="165"/>
      <c r="Z879" s="165"/>
    </row>
    <row r="880" spans="16:26">
      <c r="P880" s="165"/>
      <c r="Q880" s="165"/>
      <c r="R880" s="165"/>
      <c r="S880" s="165"/>
      <c r="T880" s="165"/>
      <c r="U880" s="165"/>
      <c r="V880" s="165"/>
      <c r="W880" s="165"/>
      <c r="X880" s="165"/>
      <c r="Y880" s="165"/>
      <c r="Z880" s="165"/>
    </row>
    <row r="881" spans="16:26">
      <c r="P881" s="165"/>
      <c r="Q881" s="165"/>
      <c r="R881" s="165"/>
      <c r="S881" s="165"/>
      <c r="T881" s="165"/>
      <c r="U881" s="165"/>
      <c r="V881" s="165"/>
      <c r="W881" s="165"/>
      <c r="X881" s="165"/>
      <c r="Y881" s="165"/>
      <c r="Z881" s="165"/>
    </row>
    <row r="882" spans="16:26">
      <c r="P882" s="165"/>
      <c r="Q882" s="165"/>
      <c r="R882" s="165"/>
      <c r="S882" s="165"/>
      <c r="T882" s="165"/>
      <c r="U882" s="165"/>
      <c r="V882" s="165"/>
      <c r="W882" s="165"/>
      <c r="X882" s="165"/>
      <c r="Y882" s="165"/>
      <c r="Z882" s="165"/>
    </row>
    <row r="883" spans="16:26">
      <c r="P883" s="165"/>
      <c r="Q883" s="165"/>
      <c r="R883" s="165"/>
      <c r="S883" s="165"/>
      <c r="T883" s="165"/>
      <c r="U883" s="165"/>
      <c r="V883" s="165"/>
      <c r="W883" s="165"/>
      <c r="X883" s="165"/>
      <c r="Y883" s="165"/>
      <c r="Z883" s="165"/>
    </row>
    <row r="884" spans="16:26">
      <c r="P884" s="165"/>
      <c r="Q884" s="165"/>
      <c r="R884" s="165"/>
      <c r="S884" s="165"/>
      <c r="T884" s="165"/>
      <c r="U884" s="165"/>
      <c r="V884" s="165"/>
      <c r="W884" s="165"/>
      <c r="X884" s="165"/>
      <c r="Y884" s="165"/>
      <c r="Z884" s="165"/>
    </row>
  </sheetData>
  <sheetProtection password="83B1" sheet="1" objects="1" scenarios="1" selectLockedCells="1"/>
  <pageMargins left="0.75" right="0.75" top="1" bottom="1" header="0.5" footer="0.5"/>
  <pageSetup orientation="portrait" horizontalDpi="1200" verticalDpi="12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Z884"/>
  <sheetViews>
    <sheetView workbookViewId="0">
      <selection activeCell="P1" sqref="P1"/>
    </sheetView>
  </sheetViews>
  <sheetFormatPr defaultColWidth="8" defaultRowHeight="10.199999999999999"/>
  <cols>
    <col min="1" max="15" width="8" style="98"/>
    <col min="16" max="26" width="8" style="166"/>
    <col min="27" max="16384" width="8" style="98"/>
  </cols>
  <sheetData>
    <row r="1" spans="2:26">
      <c r="B1" s="98" t="s">
        <v>144</v>
      </c>
      <c r="C1" s="98" t="s">
        <v>145</v>
      </c>
      <c r="D1" s="98" t="s">
        <v>146</v>
      </c>
      <c r="E1" s="98" t="s">
        <v>147</v>
      </c>
      <c r="F1" s="98" t="s">
        <v>148</v>
      </c>
      <c r="G1" s="98" t="s">
        <v>149</v>
      </c>
      <c r="H1" s="98" t="s">
        <v>150</v>
      </c>
      <c r="I1" s="98" t="s">
        <v>151</v>
      </c>
      <c r="J1" s="98" t="s">
        <v>152</v>
      </c>
      <c r="P1" s="165"/>
      <c r="Q1" s="165"/>
      <c r="R1" s="165"/>
      <c r="S1" s="165"/>
      <c r="T1" s="165"/>
      <c r="U1" s="165"/>
      <c r="V1" s="165"/>
      <c r="W1" s="165"/>
      <c r="X1" s="165"/>
      <c r="Y1" s="165"/>
      <c r="Z1" s="165"/>
    </row>
    <row r="2" spans="2:26">
      <c r="B2" s="98" t="s">
        <v>153</v>
      </c>
      <c r="C2" s="98" t="s">
        <v>154</v>
      </c>
      <c r="D2" s="98" t="s">
        <v>154</v>
      </c>
      <c r="E2" s="98" t="s">
        <v>155</v>
      </c>
      <c r="F2" s="98" t="s">
        <v>155</v>
      </c>
      <c r="G2" s="98" t="s">
        <v>156</v>
      </c>
      <c r="H2" s="98" t="s">
        <v>157</v>
      </c>
      <c r="I2" s="98" t="s">
        <v>158</v>
      </c>
      <c r="J2" s="98" t="s">
        <v>159</v>
      </c>
      <c r="K2" s="98" t="s">
        <v>160</v>
      </c>
      <c r="L2" s="98" t="s">
        <v>161</v>
      </c>
      <c r="P2" s="165"/>
      <c r="Q2" s="165"/>
      <c r="R2" s="165"/>
      <c r="S2" s="165"/>
      <c r="T2" s="165"/>
      <c r="U2" s="165"/>
      <c r="V2" s="165"/>
      <c r="W2" s="165"/>
      <c r="X2" s="165"/>
      <c r="Y2" s="165"/>
      <c r="Z2" s="165"/>
    </row>
    <row r="3" spans="2:26">
      <c r="P3" s="165"/>
      <c r="Q3" s="165"/>
      <c r="R3" s="165"/>
      <c r="S3" s="165"/>
      <c r="T3" s="165"/>
      <c r="U3" s="165"/>
      <c r="V3" s="165"/>
      <c r="W3" s="165"/>
      <c r="X3" s="165"/>
      <c r="Y3" s="165"/>
      <c r="Z3" s="165"/>
    </row>
    <row r="4" spans="2:26">
      <c r="B4" s="98" t="s">
        <v>162</v>
      </c>
      <c r="C4" s="95" t="str">
        <f ca="1">IF(P1="","","L"&amp;MID(INDIRECT("P"&amp;L4),6,2))</f>
        <v/>
      </c>
      <c r="D4" s="95" t="str">
        <f ca="1">IF(P1="","",MID(INDIRECT("P"&amp;L4),SEARCH("(",INDIRECT("P"&amp;L4),1)+1,3))</f>
        <v/>
      </c>
      <c r="E4" s="95" t="str">
        <f ca="1">IF(P1="","",MID(INDIRECT("P"&amp;L4),SEARCH(")",INDIRECT("P"&amp;L4),1)+2,LEN(INDIRECT("P"&amp;L4))))</f>
        <v/>
      </c>
      <c r="F4" s="95"/>
      <c r="G4" s="95"/>
      <c r="H4" s="95"/>
      <c r="I4" s="95"/>
      <c r="J4" s="95"/>
      <c r="K4" s="95"/>
      <c r="L4" s="95" t="str">
        <f>IF(P1="","",MATCH("CASE*",P1:P10,0))</f>
        <v/>
      </c>
      <c r="M4" s="99">
        <f>ROUND(COUNT(P:P)*1.6,0)</f>
        <v>0</v>
      </c>
      <c r="P4" s="165"/>
      <c r="Q4" s="165"/>
      <c r="R4" s="165"/>
      <c r="S4" s="165"/>
      <c r="T4" s="165"/>
      <c r="U4" s="165"/>
      <c r="V4" s="165"/>
      <c r="W4" s="165"/>
      <c r="X4" s="165"/>
      <c r="Y4" s="165"/>
      <c r="Z4" s="165"/>
    </row>
    <row r="5" spans="2:26">
      <c r="P5" s="165"/>
      <c r="Q5" s="165"/>
      <c r="R5" s="165"/>
      <c r="S5" s="165"/>
      <c r="T5" s="165"/>
      <c r="U5" s="165"/>
      <c r="V5" s="165"/>
      <c r="W5" s="165"/>
      <c r="X5" s="165"/>
      <c r="Y5" s="165"/>
      <c r="Z5" s="165"/>
    </row>
    <row r="6" spans="2:26">
      <c r="B6" s="97" t="str">
        <f>IF(Calculation!BE11="","",Calculation!BE11)</f>
        <v/>
      </c>
      <c r="C6" s="99" t="str">
        <f t="shared" ref="C6:L21" ca="1" si="0">IF($M$4=0,"",VLOOKUP($B6,INDIRECT("$P$1:$Z$"&amp;$M$4),COLUMN()-1,0))</f>
        <v/>
      </c>
      <c r="D6" s="99" t="str">
        <f t="shared" ca="1" si="0"/>
        <v/>
      </c>
      <c r="E6" s="99" t="str">
        <f t="shared" ca="1" si="0"/>
        <v/>
      </c>
      <c r="F6" s="99" t="str">
        <f t="shared" ca="1" si="0"/>
        <v/>
      </c>
      <c r="G6" s="99" t="str">
        <f t="shared" ca="1" si="0"/>
        <v/>
      </c>
      <c r="H6" s="99" t="str">
        <f t="shared" ca="1" si="0"/>
        <v/>
      </c>
      <c r="I6" s="99" t="str">
        <f t="shared" ca="1" si="0"/>
        <v/>
      </c>
      <c r="J6" s="99" t="str">
        <f t="shared" ca="1" si="0"/>
        <v/>
      </c>
      <c r="K6" s="99" t="str">
        <f t="shared" ca="1" si="0"/>
        <v/>
      </c>
      <c r="L6" s="99" t="str">
        <f t="shared" ca="1" si="0"/>
        <v/>
      </c>
      <c r="P6" s="165"/>
      <c r="Q6" s="165"/>
      <c r="R6" s="165"/>
      <c r="S6" s="165"/>
      <c r="T6" s="165"/>
      <c r="U6" s="165"/>
      <c r="V6" s="165"/>
      <c r="W6" s="165"/>
      <c r="X6" s="165"/>
      <c r="Y6" s="165"/>
      <c r="Z6" s="165"/>
    </row>
    <row r="7" spans="2:26">
      <c r="B7" s="97" t="str">
        <f>IF(Calculation!BE12="","",Calculation!BE12)</f>
        <v/>
      </c>
      <c r="C7" s="99" t="str">
        <f t="shared" ca="1" si="0"/>
        <v/>
      </c>
      <c r="D7" s="99" t="str">
        <f t="shared" ca="1" si="0"/>
        <v/>
      </c>
      <c r="E7" s="99" t="str">
        <f t="shared" ca="1" si="0"/>
        <v/>
      </c>
      <c r="F7" s="99" t="str">
        <f t="shared" ca="1" si="0"/>
        <v/>
      </c>
      <c r="G7" s="99" t="str">
        <f t="shared" ca="1" si="0"/>
        <v/>
      </c>
      <c r="H7" s="99" t="str">
        <f t="shared" ca="1" si="0"/>
        <v/>
      </c>
      <c r="I7" s="99" t="str">
        <f t="shared" ca="1" si="0"/>
        <v/>
      </c>
      <c r="J7" s="99" t="str">
        <f t="shared" ca="1" si="0"/>
        <v/>
      </c>
      <c r="K7" s="99" t="str">
        <f t="shared" ca="1" si="0"/>
        <v/>
      </c>
      <c r="L7" s="99" t="str">
        <f t="shared" ca="1" si="0"/>
        <v/>
      </c>
      <c r="P7" s="165"/>
      <c r="Q7" s="165"/>
      <c r="R7" s="165"/>
      <c r="S7" s="165"/>
      <c r="T7" s="165"/>
      <c r="U7" s="165"/>
      <c r="V7" s="165"/>
      <c r="W7" s="165"/>
      <c r="X7" s="165"/>
      <c r="Y7" s="165"/>
      <c r="Z7" s="165"/>
    </row>
    <row r="8" spans="2:26">
      <c r="B8" s="97" t="str">
        <f>IF(Calculation!BE13="","",Calculation!BE13)</f>
        <v/>
      </c>
      <c r="C8" s="99" t="str">
        <f t="shared" ca="1" si="0"/>
        <v/>
      </c>
      <c r="D8" s="99" t="str">
        <f t="shared" ca="1" si="0"/>
        <v/>
      </c>
      <c r="E8" s="99" t="str">
        <f t="shared" ca="1" si="0"/>
        <v/>
      </c>
      <c r="F8" s="99" t="str">
        <f t="shared" ca="1" si="0"/>
        <v/>
      </c>
      <c r="G8" s="99" t="str">
        <f t="shared" ca="1" si="0"/>
        <v/>
      </c>
      <c r="H8" s="99" t="str">
        <f t="shared" ca="1" si="0"/>
        <v/>
      </c>
      <c r="I8" s="99" t="str">
        <f t="shared" ca="1" si="0"/>
        <v/>
      </c>
      <c r="J8" s="99" t="str">
        <f t="shared" ca="1" si="0"/>
        <v/>
      </c>
      <c r="K8" s="99" t="str">
        <f t="shared" ca="1" si="0"/>
        <v/>
      </c>
      <c r="L8" s="99" t="str">
        <f t="shared" ca="1" si="0"/>
        <v/>
      </c>
      <c r="P8" s="165"/>
      <c r="Q8" s="165"/>
      <c r="R8" s="165"/>
      <c r="S8" s="165"/>
      <c r="T8" s="165"/>
      <c r="U8" s="165"/>
      <c r="V8" s="165"/>
      <c r="W8" s="165"/>
      <c r="X8" s="165"/>
      <c r="Y8" s="165"/>
      <c r="Z8" s="165"/>
    </row>
    <row r="9" spans="2:26">
      <c r="B9" s="97" t="str">
        <f>IF(Calculation!BE14="","",Calculation!BE14)</f>
        <v/>
      </c>
      <c r="C9" s="99" t="str">
        <f t="shared" ca="1" si="0"/>
        <v/>
      </c>
      <c r="D9" s="99" t="str">
        <f t="shared" ca="1" si="0"/>
        <v/>
      </c>
      <c r="E9" s="99" t="str">
        <f t="shared" ca="1" si="0"/>
        <v/>
      </c>
      <c r="F9" s="99" t="str">
        <f t="shared" ca="1" si="0"/>
        <v/>
      </c>
      <c r="G9" s="99" t="str">
        <f t="shared" ca="1" si="0"/>
        <v/>
      </c>
      <c r="H9" s="99" t="str">
        <f t="shared" ca="1" si="0"/>
        <v/>
      </c>
      <c r="I9" s="99" t="str">
        <f t="shared" ca="1" si="0"/>
        <v/>
      </c>
      <c r="J9" s="99" t="str">
        <f t="shared" ca="1" si="0"/>
        <v/>
      </c>
      <c r="K9" s="99" t="str">
        <f t="shared" ca="1" si="0"/>
        <v/>
      </c>
      <c r="L9" s="99" t="str">
        <f t="shared" ca="1" si="0"/>
        <v/>
      </c>
      <c r="P9" s="165"/>
      <c r="Q9" s="165"/>
      <c r="R9" s="165"/>
      <c r="S9" s="165"/>
      <c r="T9" s="165"/>
      <c r="U9" s="165"/>
      <c r="V9" s="165"/>
      <c r="W9" s="165"/>
      <c r="X9" s="165"/>
      <c r="Y9" s="165"/>
      <c r="Z9" s="165"/>
    </row>
    <row r="10" spans="2:26">
      <c r="B10" s="97" t="str">
        <f>IF(Calculation!BE15="","",Calculation!BE15)</f>
        <v/>
      </c>
      <c r="C10" s="99" t="str">
        <f t="shared" ca="1" si="0"/>
        <v/>
      </c>
      <c r="D10" s="99" t="str">
        <f t="shared" ca="1" si="0"/>
        <v/>
      </c>
      <c r="E10" s="99" t="str">
        <f t="shared" ca="1" si="0"/>
        <v/>
      </c>
      <c r="F10" s="99" t="str">
        <f t="shared" ca="1" si="0"/>
        <v/>
      </c>
      <c r="G10" s="99" t="str">
        <f t="shared" ca="1" si="0"/>
        <v/>
      </c>
      <c r="H10" s="99" t="str">
        <f t="shared" ca="1" si="0"/>
        <v/>
      </c>
      <c r="I10" s="99" t="str">
        <f t="shared" ca="1" si="0"/>
        <v/>
      </c>
      <c r="J10" s="99" t="str">
        <f t="shared" ca="1" si="0"/>
        <v/>
      </c>
      <c r="K10" s="99" t="str">
        <f t="shared" ca="1" si="0"/>
        <v/>
      </c>
      <c r="L10" s="99" t="str">
        <f t="shared" ca="1" si="0"/>
        <v/>
      </c>
      <c r="P10" s="165"/>
      <c r="Q10" s="165"/>
      <c r="R10" s="165"/>
      <c r="S10" s="165"/>
      <c r="T10" s="165"/>
      <c r="U10" s="165"/>
      <c r="V10" s="165"/>
      <c r="W10" s="165"/>
      <c r="X10" s="165"/>
      <c r="Y10" s="165"/>
      <c r="Z10" s="165"/>
    </row>
    <row r="11" spans="2:26">
      <c r="B11" s="97" t="str">
        <f>IF(Calculation!BE16="","",Calculation!BE16)</f>
        <v/>
      </c>
      <c r="C11" s="99" t="str">
        <f t="shared" ca="1" si="0"/>
        <v/>
      </c>
      <c r="D11" s="99" t="str">
        <f t="shared" ca="1" si="0"/>
        <v/>
      </c>
      <c r="E11" s="99" t="str">
        <f t="shared" ca="1" si="0"/>
        <v/>
      </c>
      <c r="F11" s="99" t="str">
        <f t="shared" ca="1" si="0"/>
        <v/>
      </c>
      <c r="G11" s="99" t="str">
        <f t="shared" ca="1" si="0"/>
        <v/>
      </c>
      <c r="H11" s="99" t="str">
        <f t="shared" ca="1" si="0"/>
        <v/>
      </c>
      <c r="I11" s="99" t="str">
        <f t="shared" ca="1" si="0"/>
        <v/>
      </c>
      <c r="J11" s="99" t="str">
        <f t="shared" ca="1" si="0"/>
        <v/>
      </c>
      <c r="K11" s="99" t="str">
        <f t="shared" ca="1" si="0"/>
        <v/>
      </c>
      <c r="L11" s="99" t="str">
        <f t="shared" ca="1" si="0"/>
        <v/>
      </c>
      <c r="P11" s="165"/>
      <c r="Q11" s="165"/>
      <c r="R11" s="165"/>
      <c r="S11" s="165"/>
      <c r="T11" s="165"/>
      <c r="U11" s="165"/>
      <c r="V11" s="165"/>
      <c r="W11" s="165"/>
      <c r="X11" s="165"/>
      <c r="Y11" s="165"/>
      <c r="Z11" s="165"/>
    </row>
    <row r="12" spans="2:26">
      <c r="B12" s="97" t="str">
        <f>IF(Calculation!BE17="","",Calculation!BE17)</f>
        <v/>
      </c>
      <c r="C12" s="99" t="str">
        <f t="shared" ca="1" si="0"/>
        <v/>
      </c>
      <c r="D12" s="99" t="str">
        <f t="shared" ca="1" si="0"/>
        <v/>
      </c>
      <c r="E12" s="99" t="str">
        <f t="shared" ca="1" si="0"/>
        <v/>
      </c>
      <c r="F12" s="99" t="str">
        <f t="shared" ca="1" si="0"/>
        <v/>
      </c>
      <c r="G12" s="99" t="str">
        <f t="shared" ca="1" si="0"/>
        <v/>
      </c>
      <c r="H12" s="99" t="str">
        <f t="shared" ca="1" si="0"/>
        <v/>
      </c>
      <c r="I12" s="99" t="str">
        <f t="shared" ca="1" si="0"/>
        <v/>
      </c>
      <c r="J12" s="99" t="str">
        <f t="shared" ca="1" si="0"/>
        <v/>
      </c>
      <c r="K12" s="99" t="str">
        <f t="shared" ca="1" si="0"/>
        <v/>
      </c>
      <c r="L12" s="99" t="str">
        <f t="shared" ca="1" si="0"/>
        <v/>
      </c>
      <c r="P12" s="165"/>
      <c r="Q12" s="165"/>
      <c r="R12" s="165"/>
      <c r="S12" s="165"/>
      <c r="T12" s="165"/>
      <c r="U12" s="165"/>
      <c r="V12" s="165"/>
      <c r="W12" s="165"/>
      <c r="X12" s="165"/>
      <c r="Y12" s="165"/>
      <c r="Z12" s="165"/>
    </row>
    <row r="13" spans="2:26">
      <c r="B13" s="97" t="str">
        <f>IF(Calculation!BE18="","",Calculation!BE18)</f>
        <v/>
      </c>
      <c r="C13" s="99" t="str">
        <f t="shared" ca="1" si="0"/>
        <v/>
      </c>
      <c r="D13" s="99" t="str">
        <f t="shared" ca="1" si="0"/>
        <v/>
      </c>
      <c r="E13" s="99" t="str">
        <f t="shared" ca="1" si="0"/>
        <v/>
      </c>
      <c r="F13" s="99" t="str">
        <f t="shared" ca="1" si="0"/>
        <v/>
      </c>
      <c r="G13" s="99" t="str">
        <f t="shared" ca="1" si="0"/>
        <v/>
      </c>
      <c r="H13" s="99" t="str">
        <f t="shared" ca="1" si="0"/>
        <v/>
      </c>
      <c r="I13" s="99" t="str">
        <f t="shared" ca="1" si="0"/>
        <v/>
      </c>
      <c r="J13" s="99" t="str">
        <f t="shared" ca="1" si="0"/>
        <v/>
      </c>
      <c r="K13" s="99" t="str">
        <f t="shared" ca="1" si="0"/>
        <v/>
      </c>
      <c r="L13" s="99" t="str">
        <f t="shared" ca="1" si="0"/>
        <v/>
      </c>
      <c r="P13" s="165"/>
      <c r="Q13" s="165"/>
      <c r="R13" s="165"/>
      <c r="S13" s="165"/>
      <c r="T13" s="165"/>
      <c r="U13" s="165"/>
      <c r="V13" s="165"/>
      <c r="W13" s="165"/>
      <c r="X13" s="165"/>
      <c r="Y13" s="165"/>
      <c r="Z13" s="165"/>
    </row>
    <row r="14" spans="2:26">
      <c r="B14" s="97" t="str">
        <f>IF(Calculation!BE19="","",Calculation!BE19)</f>
        <v/>
      </c>
      <c r="C14" s="99" t="str">
        <f t="shared" ca="1" si="0"/>
        <v/>
      </c>
      <c r="D14" s="99" t="str">
        <f t="shared" ca="1" si="0"/>
        <v/>
      </c>
      <c r="E14" s="99" t="str">
        <f t="shared" ca="1" si="0"/>
        <v/>
      </c>
      <c r="F14" s="99" t="str">
        <f t="shared" ca="1" si="0"/>
        <v/>
      </c>
      <c r="G14" s="99" t="str">
        <f t="shared" ca="1" si="0"/>
        <v/>
      </c>
      <c r="H14" s="99" t="str">
        <f t="shared" ca="1" si="0"/>
        <v/>
      </c>
      <c r="I14" s="99" t="str">
        <f t="shared" ca="1" si="0"/>
        <v/>
      </c>
      <c r="J14" s="99" t="str">
        <f t="shared" ca="1" si="0"/>
        <v/>
      </c>
      <c r="K14" s="99" t="str">
        <f t="shared" ca="1" si="0"/>
        <v/>
      </c>
      <c r="L14" s="99" t="str">
        <f t="shared" ca="1" si="0"/>
        <v/>
      </c>
      <c r="P14" s="165"/>
      <c r="Q14" s="165"/>
      <c r="R14" s="165"/>
      <c r="S14" s="165"/>
      <c r="T14" s="165"/>
      <c r="U14" s="165"/>
      <c r="V14" s="165"/>
      <c r="W14" s="165"/>
      <c r="X14" s="165"/>
      <c r="Y14" s="165"/>
      <c r="Z14" s="165"/>
    </row>
    <row r="15" spans="2:26">
      <c r="B15" s="97" t="str">
        <f>IF(Calculation!BE20="","",Calculation!BE20)</f>
        <v/>
      </c>
      <c r="C15" s="99" t="str">
        <f t="shared" ca="1" si="0"/>
        <v/>
      </c>
      <c r="D15" s="99" t="str">
        <f t="shared" ca="1" si="0"/>
        <v/>
      </c>
      <c r="E15" s="99" t="str">
        <f t="shared" ca="1" si="0"/>
        <v/>
      </c>
      <c r="F15" s="99" t="str">
        <f t="shared" ca="1" si="0"/>
        <v/>
      </c>
      <c r="G15" s="99" t="str">
        <f t="shared" ca="1" si="0"/>
        <v/>
      </c>
      <c r="H15" s="99" t="str">
        <f t="shared" ca="1" si="0"/>
        <v/>
      </c>
      <c r="I15" s="99" t="str">
        <f t="shared" ca="1" si="0"/>
        <v/>
      </c>
      <c r="J15" s="99" t="str">
        <f t="shared" ca="1" si="0"/>
        <v/>
      </c>
      <c r="K15" s="99" t="str">
        <f t="shared" ca="1" si="0"/>
        <v/>
      </c>
      <c r="L15" s="99" t="str">
        <f t="shared" ca="1" si="0"/>
        <v/>
      </c>
      <c r="P15" s="165"/>
      <c r="Q15" s="165"/>
      <c r="R15" s="165"/>
      <c r="S15" s="165"/>
      <c r="T15" s="165"/>
      <c r="U15" s="165"/>
      <c r="V15" s="165"/>
      <c r="W15" s="165"/>
      <c r="X15" s="165"/>
      <c r="Y15" s="165"/>
      <c r="Z15" s="165"/>
    </row>
    <row r="16" spans="2:26">
      <c r="B16" s="97" t="str">
        <f>IF(Calculation!BE21="","",Calculation!BE21)</f>
        <v/>
      </c>
      <c r="C16" s="99" t="str">
        <f t="shared" ca="1" si="0"/>
        <v/>
      </c>
      <c r="D16" s="99" t="str">
        <f t="shared" ca="1" si="0"/>
        <v/>
      </c>
      <c r="E16" s="99" t="str">
        <f t="shared" ca="1" si="0"/>
        <v/>
      </c>
      <c r="F16" s="99" t="str">
        <f t="shared" ca="1" si="0"/>
        <v/>
      </c>
      <c r="G16" s="99" t="str">
        <f t="shared" ca="1" si="0"/>
        <v/>
      </c>
      <c r="H16" s="99" t="str">
        <f t="shared" ca="1" si="0"/>
        <v/>
      </c>
      <c r="I16" s="99" t="str">
        <f t="shared" ca="1" si="0"/>
        <v/>
      </c>
      <c r="J16" s="99" t="str">
        <f t="shared" ca="1" si="0"/>
        <v/>
      </c>
      <c r="K16" s="99" t="str">
        <f t="shared" ca="1" si="0"/>
        <v/>
      </c>
      <c r="L16" s="99" t="str">
        <f t="shared" ca="1" si="0"/>
        <v/>
      </c>
      <c r="P16" s="165"/>
      <c r="Q16" s="165"/>
      <c r="R16" s="165"/>
      <c r="S16" s="165"/>
      <c r="T16" s="165"/>
      <c r="U16" s="165"/>
      <c r="V16" s="165"/>
      <c r="W16" s="165"/>
      <c r="X16" s="165"/>
      <c r="Y16" s="165"/>
      <c r="Z16" s="165"/>
    </row>
    <row r="17" spans="2:26">
      <c r="B17" s="97" t="str">
        <f>IF(Calculation!BE22="","",Calculation!BE22)</f>
        <v/>
      </c>
      <c r="C17" s="99" t="str">
        <f t="shared" ca="1" si="0"/>
        <v/>
      </c>
      <c r="D17" s="99" t="str">
        <f t="shared" ca="1" si="0"/>
        <v/>
      </c>
      <c r="E17" s="99" t="str">
        <f t="shared" ca="1" si="0"/>
        <v/>
      </c>
      <c r="F17" s="99" t="str">
        <f t="shared" ca="1" si="0"/>
        <v/>
      </c>
      <c r="G17" s="99" t="str">
        <f t="shared" ca="1" si="0"/>
        <v/>
      </c>
      <c r="H17" s="99" t="str">
        <f t="shared" ca="1" si="0"/>
        <v/>
      </c>
      <c r="I17" s="99" t="str">
        <f t="shared" ca="1" si="0"/>
        <v/>
      </c>
      <c r="J17" s="99" t="str">
        <f t="shared" ca="1" si="0"/>
        <v/>
      </c>
      <c r="K17" s="99" t="str">
        <f t="shared" ca="1" si="0"/>
        <v/>
      </c>
      <c r="L17" s="99" t="str">
        <f t="shared" ca="1" si="0"/>
        <v/>
      </c>
      <c r="P17" s="165"/>
      <c r="Q17" s="165"/>
      <c r="R17" s="165"/>
      <c r="S17" s="165"/>
      <c r="T17" s="165"/>
      <c r="U17" s="165"/>
      <c r="V17" s="165"/>
      <c r="W17" s="165"/>
      <c r="X17" s="165"/>
      <c r="Y17" s="165"/>
      <c r="Z17" s="165"/>
    </row>
    <row r="18" spans="2:26">
      <c r="B18" s="97" t="str">
        <f>IF(Calculation!BE23="","",Calculation!BE23)</f>
        <v/>
      </c>
      <c r="C18" s="99" t="str">
        <f t="shared" ca="1" si="0"/>
        <v/>
      </c>
      <c r="D18" s="99" t="str">
        <f t="shared" ca="1" si="0"/>
        <v/>
      </c>
      <c r="E18" s="99" t="str">
        <f t="shared" ca="1" si="0"/>
        <v/>
      </c>
      <c r="F18" s="99" t="str">
        <f t="shared" ca="1" si="0"/>
        <v/>
      </c>
      <c r="G18" s="99" t="str">
        <f t="shared" ca="1" si="0"/>
        <v/>
      </c>
      <c r="H18" s="99" t="str">
        <f t="shared" ca="1" si="0"/>
        <v/>
      </c>
      <c r="I18" s="99" t="str">
        <f t="shared" ca="1" si="0"/>
        <v/>
      </c>
      <c r="J18" s="99" t="str">
        <f t="shared" ca="1" si="0"/>
        <v/>
      </c>
      <c r="K18" s="99" t="str">
        <f t="shared" ca="1" si="0"/>
        <v/>
      </c>
      <c r="L18" s="99" t="str">
        <f t="shared" ca="1" si="0"/>
        <v/>
      </c>
      <c r="P18" s="165"/>
      <c r="Q18" s="165"/>
      <c r="R18" s="165"/>
      <c r="S18" s="165"/>
      <c r="T18" s="165"/>
      <c r="U18" s="165"/>
      <c r="V18" s="165"/>
      <c r="W18" s="165"/>
      <c r="X18" s="165"/>
      <c r="Y18" s="165"/>
      <c r="Z18" s="165"/>
    </row>
    <row r="19" spans="2:26">
      <c r="B19" s="97" t="str">
        <f>IF(Calculation!BE24="","",Calculation!BE24)</f>
        <v/>
      </c>
      <c r="C19" s="99" t="str">
        <f t="shared" ca="1" si="0"/>
        <v/>
      </c>
      <c r="D19" s="99" t="str">
        <f t="shared" ca="1" si="0"/>
        <v/>
      </c>
      <c r="E19" s="99" t="str">
        <f t="shared" ca="1" si="0"/>
        <v/>
      </c>
      <c r="F19" s="99" t="str">
        <f t="shared" ca="1" si="0"/>
        <v/>
      </c>
      <c r="G19" s="99" t="str">
        <f t="shared" ca="1" si="0"/>
        <v/>
      </c>
      <c r="H19" s="99" t="str">
        <f t="shared" ca="1" si="0"/>
        <v/>
      </c>
      <c r="I19" s="99" t="str">
        <f t="shared" ca="1" si="0"/>
        <v/>
      </c>
      <c r="J19" s="99" t="str">
        <f t="shared" ca="1" si="0"/>
        <v/>
      </c>
      <c r="K19" s="99" t="str">
        <f t="shared" ca="1" si="0"/>
        <v/>
      </c>
      <c r="L19" s="99" t="str">
        <f t="shared" ca="1" si="0"/>
        <v/>
      </c>
      <c r="P19" s="165"/>
      <c r="Q19" s="165"/>
      <c r="R19" s="165"/>
      <c r="S19" s="165"/>
      <c r="T19" s="165"/>
      <c r="U19" s="165"/>
      <c r="V19" s="165"/>
      <c r="W19" s="165"/>
      <c r="X19" s="165"/>
      <c r="Y19" s="165"/>
      <c r="Z19" s="165"/>
    </row>
    <row r="20" spans="2:26">
      <c r="B20" s="97" t="str">
        <f>IF(Calculation!BE25="","",Calculation!BE25)</f>
        <v/>
      </c>
      <c r="C20" s="99" t="str">
        <f t="shared" ca="1" si="0"/>
        <v/>
      </c>
      <c r="D20" s="99" t="str">
        <f t="shared" ca="1" si="0"/>
        <v/>
      </c>
      <c r="E20" s="99" t="str">
        <f t="shared" ca="1" si="0"/>
        <v/>
      </c>
      <c r="F20" s="99" t="str">
        <f t="shared" ca="1" si="0"/>
        <v/>
      </c>
      <c r="G20" s="99" t="str">
        <f t="shared" ca="1" si="0"/>
        <v/>
      </c>
      <c r="H20" s="99" t="str">
        <f t="shared" ca="1" si="0"/>
        <v/>
      </c>
      <c r="I20" s="99" t="str">
        <f t="shared" ca="1" si="0"/>
        <v/>
      </c>
      <c r="J20" s="99" t="str">
        <f t="shared" ca="1" si="0"/>
        <v/>
      </c>
      <c r="K20" s="99" t="str">
        <f t="shared" ca="1" si="0"/>
        <v/>
      </c>
      <c r="L20" s="99" t="str">
        <f t="shared" ca="1" si="0"/>
        <v/>
      </c>
      <c r="P20" s="165"/>
      <c r="Q20" s="165"/>
      <c r="R20" s="165"/>
      <c r="S20" s="165"/>
      <c r="T20" s="165"/>
      <c r="U20" s="165"/>
      <c r="V20" s="165"/>
      <c r="W20" s="165"/>
      <c r="X20" s="165"/>
      <c r="Y20" s="165"/>
      <c r="Z20" s="165"/>
    </row>
    <row r="21" spans="2:26">
      <c r="B21" s="97" t="str">
        <f>IF(Calculation!BE26="","",Calculation!BE26)</f>
        <v/>
      </c>
      <c r="C21" s="99" t="str">
        <f t="shared" ca="1" si="0"/>
        <v/>
      </c>
      <c r="D21" s="99" t="str">
        <f t="shared" ca="1" si="0"/>
        <v/>
      </c>
      <c r="E21" s="99" t="str">
        <f t="shared" ca="1" si="0"/>
        <v/>
      </c>
      <c r="F21" s="99" t="str">
        <f t="shared" ca="1" si="0"/>
        <v/>
      </c>
      <c r="G21" s="99" t="str">
        <f t="shared" ca="1" si="0"/>
        <v/>
      </c>
      <c r="H21" s="99" t="str">
        <f t="shared" ca="1" si="0"/>
        <v/>
      </c>
      <c r="I21" s="99" t="str">
        <f t="shared" ca="1" si="0"/>
        <v/>
      </c>
      <c r="J21" s="99" t="str">
        <f t="shared" ca="1" si="0"/>
        <v/>
      </c>
      <c r="K21" s="99" t="str">
        <f t="shared" ca="1" si="0"/>
        <v/>
      </c>
      <c r="L21" s="99" t="str">
        <f t="shared" ca="1" si="0"/>
        <v/>
      </c>
      <c r="P21" s="165"/>
      <c r="Q21" s="165"/>
      <c r="R21" s="165"/>
      <c r="S21" s="165"/>
      <c r="T21" s="165"/>
      <c r="U21" s="165"/>
      <c r="V21" s="165"/>
      <c r="W21" s="165"/>
      <c r="X21" s="165"/>
      <c r="Y21" s="165"/>
      <c r="Z21" s="165"/>
    </row>
    <row r="22" spans="2:26">
      <c r="B22" s="97" t="str">
        <f>IF(Calculation!BE27="","",Calculation!BE27)</f>
        <v/>
      </c>
      <c r="C22" s="99" t="str">
        <f t="shared" ref="C22:L37" ca="1" si="1">IF($M$4=0,"",VLOOKUP($B22,INDIRECT("$P$1:$Z$"&amp;$M$4),COLUMN()-1,0))</f>
        <v/>
      </c>
      <c r="D22" s="99" t="str">
        <f t="shared" ca="1" si="1"/>
        <v/>
      </c>
      <c r="E22" s="99" t="str">
        <f t="shared" ca="1" si="1"/>
        <v/>
      </c>
      <c r="F22" s="99" t="str">
        <f t="shared" ca="1" si="1"/>
        <v/>
      </c>
      <c r="G22" s="99" t="str">
        <f t="shared" ca="1" si="1"/>
        <v/>
      </c>
      <c r="H22" s="99" t="str">
        <f t="shared" ca="1" si="1"/>
        <v/>
      </c>
      <c r="I22" s="99" t="str">
        <f t="shared" ca="1" si="1"/>
        <v/>
      </c>
      <c r="J22" s="99" t="str">
        <f t="shared" ca="1" si="1"/>
        <v/>
      </c>
      <c r="K22" s="99" t="str">
        <f t="shared" ca="1" si="1"/>
        <v/>
      </c>
      <c r="L22" s="99" t="str">
        <f t="shared" ca="1" si="1"/>
        <v/>
      </c>
      <c r="P22" s="165"/>
      <c r="Q22" s="165"/>
      <c r="R22" s="165"/>
      <c r="S22" s="165"/>
      <c r="T22" s="165"/>
      <c r="U22" s="165"/>
      <c r="V22" s="165"/>
      <c r="W22" s="165"/>
      <c r="X22" s="165"/>
      <c r="Y22" s="165"/>
      <c r="Z22" s="165"/>
    </row>
    <row r="23" spans="2:26">
      <c r="B23" s="97" t="str">
        <f>IF(Calculation!BE28="","",Calculation!BE28)</f>
        <v/>
      </c>
      <c r="C23" s="99" t="str">
        <f t="shared" ca="1" si="1"/>
        <v/>
      </c>
      <c r="D23" s="99" t="str">
        <f t="shared" ca="1" si="1"/>
        <v/>
      </c>
      <c r="E23" s="99" t="str">
        <f t="shared" ca="1" si="1"/>
        <v/>
      </c>
      <c r="F23" s="99" t="str">
        <f t="shared" ca="1" si="1"/>
        <v/>
      </c>
      <c r="G23" s="99" t="str">
        <f t="shared" ca="1" si="1"/>
        <v/>
      </c>
      <c r="H23" s="99" t="str">
        <f t="shared" ca="1" si="1"/>
        <v/>
      </c>
      <c r="I23" s="99" t="str">
        <f t="shared" ca="1" si="1"/>
        <v/>
      </c>
      <c r="J23" s="99" t="str">
        <f t="shared" ca="1" si="1"/>
        <v/>
      </c>
      <c r="K23" s="99" t="str">
        <f t="shared" ca="1" si="1"/>
        <v/>
      </c>
      <c r="L23" s="99" t="str">
        <f t="shared" ca="1" si="1"/>
        <v/>
      </c>
      <c r="P23" s="165"/>
      <c r="Q23" s="165"/>
      <c r="R23" s="165"/>
      <c r="S23" s="165"/>
      <c r="T23" s="165"/>
      <c r="U23" s="165"/>
      <c r="V23" s="165"/>
      <c r="W23" s="165"/>
      <c r="X23" s="165"/>
      <c r="Y23" s="165"/>
      <c r="Z23" s="165"/>
    </row>
    <row r="24" spans="2:26">
      <c r="B24" s="97" t="str">
        <f>IF(Calculation!BE29="","",Calculation!BE29)</f>
        <v/>
      </c>
      <c r="C24" s="99" t="str">
        <f t="shared" ca="1" si="1"/>
        <v/>
      </c>
      <c r="D24" s="99" t="str">
        <f t="shared" ca="1" si="1"/>
        <v/>
      </c>
      <c r="E24" s="99" t="str">
        <f t="shared" ca="1" si="1"/>
        <v/>
      </c>
      <c r="F24" s="99" t="str">
        <f t="shared" ca="1" si="1"/>
        <v/>
      </c>
      <c r="G24" s="99" t="str">
        <f t="shared" ca="1" si="1"/>
        <v/>
      </c>
      <c r="H24" s="99" t="str">
        <f t="shared" ca="1" si="1"/>
        <v/>
      </c>
      <c r="I24" s="99" t="str">
        <f t="shared" ca="1" si="1"/>
        <v/>
      </c>
      <c r="J24" s="99" t="str">
        <f t="shared" ca="1" si="1"/>
        <v/>
      </c>
      <c r="K24" s="99" t="str">
        <f t="shared" ca="1" si="1"/>
        <v/>
      </c>
      <c r="L24" s="99" t="str">
        <f t="shared" ca="1" si="1"/>
        <v/>
      </c>
      <c r="P24" s="165"/>
      <c r="Q24" s="165"/>
      <c r="R24" s="165"/>
      <c r="S24" s="165"/>
      <c r="T24" s="165"/>
      <c r="U24" s="165"/>
      <c r="V24" s="165"/>
      <c r="W24" s="165"/>
      <c r="X24" s="165"/>
      <c r="Y24" s="165"/>
      <c r="Z24" s="165"/>
    </row>
    <row r="25" spans="2:26">
      <c r="B25" s="97" t="str">
        <f>IF(Calculation!BE30="","",Calculation!BE30)</f>
        <v/>
      </c>
      <c r="C25" s="99" t="str">
        <f t="shared" ca="1" si="1"/>
        <v/>
      </c>
      <c r="D25" s="99" t="str">
        <f t="shared" ca="1" si="1"/>
        <v/>
      </c>
      <c r="E25" s="99" t="str">
        <f t="shared" ca="1" si="1"/>
        <v/>
      </c>
      <c r="F25" s="99" t="str">
        <f t="shared" ca="1" si="1"/>
        <v/>
      </c>
      <c r="G25" s="99" t="str">
        <f t="shared" ca="1" si="1"/>
        <v/>
      </c>
      <c r="H25" s="99" t="str">
        <f t="shared" ca="1" si="1"/>
        <v/>
      </c>
      <c r="I25" s="99" t="str">
        <f t="shared" ca="1" si="1"/>
        <v/>
      </c>
      <c r="J25" s="99" t="str">
        <f t="shared" ca="1" si="1"/>
        <v/>
      </c>
      <c r="K25" s="99" t="str">
        <f t="shared" ca="1" si="1"/>
        <v/>
      </c>
      <c r="L25" s="99" t="str">
        <f t="shared" ca="1" si="1"/>
        <v/>
      </c>
      <c r="P25" s="165"/>
      <c r="Q25" s="165"/>
      <c r="R25" s="165"/>
      <c r="S25" s="165"/>
      <c r="T25" s="165"/>
      <c r="U25" s="165"/>
      <c r="V25" s="165"/>
      <c r="W25" s="165"/>
      <c r="X25" s="165"/>
      <c r="Y25" s="165"/>
      <c r="Z25" s="165"/>
    </row>
    <row r="26" spans="2:26">
      <c r="B26" s="97" t="str">
        <f>IF(Calculation!BE31="","",Calculation!BE31)</f>
        <v/>
      </c>
      <c r="C26" s="99" t="str">
        <f t="shared" ca="1" si="1"/>
        <v/>
      </c>
      <c r="D26" s="99" t="str">
        <f t="shared" ca="1" si="1"/>
        <v/>
      </c>
      <c r="E26" s="99" t="str">
        <f t="shared" ca="1" si="1"/>
        <v/>
      </c>
      <c r="F26" s="99" t="str">
        <f t="shared" ca="1" si="1"/>
        <v/>
      </c>
      <c r="G26" s="99" t="str">
        <f t="shared" ca="1" si="1"/>
        <v/>
      </c>
      <c r="H26" s="99" t="str">
        <f t="shared" ca="1" si="1"/>
        <v/>
      </c>
      <c r="I26" s="99" t="str">
        <f t="shared" ca="1" si="1"/>
        <v/>
      </c>
      <c r="J26" s="99" t="str">
        <f t="shared" ca="1" si="1"/>
        <v/>
      </c>
      <c r="K26" s="99" t="str">
        <f t="shared" ca="1" si="1"/>
        <v/>
      </c>
      <c r="L26" s="99" t="str">
        <f t="shared" ca="1" si="1"/>
        <v/>
      </c>
      <c r="P26" s="165"/>
      <c r="Q26" s="165"/>
      <c r="R26" s="165"/>
      <c r="S26" s="165"/>
      <c r="T26" s="165"/>
      <c r="U26" s="165"/>
      <c r="V26" s="165"/>
      <c r="W26" s="165"/>
      <c r="X26" s="165"/>
      <c r="Y26" s="165"/>
      <c r="Z26" s="165"/>
    </row>
    <row r="27" spans="2:26">
      <c r="B27" s="97" t="str">
        <f>IF(Calculation!BE32="","",Calculation!BE32)</f>
        <v/>
      </c>
      <c r="C27" s="99" t="str">
        <f t="shared" ca="1" si="1"/>
        <v/>
      </c>
      <c r="D27" s="99" t="str">
        <f t="shared" ca="1" si="1"/>
        <v/>
      </c>
      <c r="E27" s="99" t="str">
        <f t="shared" ca="1" si="1"/>
        <v/>
      </c>
      <c r="F27" s="99" t="str">
        <f t="shared" ca="1" si="1"/>
        <v/>
      </c>
      <c r="G27" s="99" t="str">
        <f t="shared" ca="1" si="1"/>
        <v/>
      </c>
      <c r="H27" s="99" t="str">
        <f t="shared" ca="1" si="1"/>
        <v/>
      </c>
      <c r="I27" s="99" t="str">
        <f t="shared" ca="1" si="1"/>
        <v/>
      </c>
      <c r="J27" s="99" t="str">
        <f t="shared" ca="1" si="1"/>
        <v/>
      </c>
      <c r="K27" s="99" t="str">
        <f t="shared" ca="1" si="1"/>
        <v/>
      </c>
      <c r="L27" s="99" t="str">
        <f t="shared" ca="1" si="1"/>
        <v/>
      </c>
      <c r="P27" s="165"/>
      <c r="Q27" s="165"/>
      <c r="R27" s="165"/>
      <c r="S27" s="165"/>
      <c r="T27" s="165"/>
      <c r="U27" s="165"/>
      <c r="V27" s="165"/>
      <c r="W27" s="165"/>
      <c r="X27" s="165"/>
      <c r="Y27" s="165"/>
      <c r="Z27" s="165"/>
    </row>
    <row r="28" spans="2:26">
      <c r="B28" s="97" t="str">
        <f>IF(Calculation!BE33="","",Calculation!BE33)</f>
        <v/>
      </c>
      <c r="C28" s="99" t="str">
        <f t="shared" ca="1" si="1"/>
        <v/>
      </c>
      <c r="D28" s="99" t="str">
        <f t="shared" ca="1" si="1"/>
        <v/>
      </c>
      <c r="E28" s="99" t="str">
        <f t="shared" ca="1" si="1"/>
        <v/>
      </c>
      <c r="F28" s="99" t="str">
        <f t="shared" ca="1" si="1"/>
        <v/>
      </c>
      <c r="G28" s="99" t="str">
        <f t="shared" ca="1" si="1"/>
        <v/>
      </c>
      <c r="H28" s="99" t="str">
        <f t="shared" ca="1" si="1"/>
        <v/>
      </c>
      <c r="I28" s="99" t="str">
        <f t="shared" ca="1" si="1"/>
        <v/>
      </c>
      <c r="J28" s="99" t="str">
        <f t="shared" ca="1" si="1"/>
        <v/>
      </c>
      <c r="K28" s="99" t="str">
        <f t="shared" ca="1" si="1"/>
        <v/>
      </c>
      <c r="L28" s="99" t="str">
        <f t="shared" ca="1" si="1"/>
        <v/>
      </c>
      <c r="P28" s="165"/>
      <c r="Q28" s="165"/>
      <c r="R28" s="165"/>
      <c r="S28" s="165"/>
      <c r="T28" s="165"/>
      <c r="U28" s="165"/>
      <c r="V28" s="165"/>
      <c r="W28" s="165"/>
      <c r="X28" s="165"/>
      <c r="Y28" s="165"/>
      <c r="Z28" s="165"/>
    </row>
    <row r="29" spans="2:26">
      <c r="B29" s="97" t="str">
        <f>IF(Calculation!BE34="","",Calculation!BE34)</f>
        <v/>
      </c>
      <c r="C29" s="99" t="str">
        <f t="shared" ca="1" si="1"/>
        <v/>
      </c>
      <c r="D29" s="99" t="str">
        <f t="shared" ca="1" si="1"/>
        <v/>
      </c>
      <c r="E29" s="99" t="str">
        <f t="shared" ca="1" si="1"/>
        <v/>
      </c>
      <c r="F29" s="99" t="str">
        <f t="shared" ca="1" si="1"/>
        <v/>
      </c>
      <c r="G29" s="99" t="str">
        <f t="shared" ca="1" si="1"/>
        <v/>
      </c>
      <c r="H29" s="99" t="str">
        <f t="shared" ca="1" si="1"/>
        <v/>
      </c>
      <c r="I29" s="99" t="str">
        <f t="shared" ca="1" si="1"/>
        <v/>
      </c>
      <c r="J29" s="99" t="str">
        <f t="shared" ca="1" si="1"/>
        <v/>
      </c>
      <c r="K29" s="99" t="str">
        <f t="shared" ca="1" si="1"/>
        <v/>
      </c>
      <c r="L29" s="99" t="str">
        <f t="shared" ca="1" si="1"/>
        <v/>
      </c>
      <c r="P29" s="165"/>
      <c r="Q29" s="165"/>
      <c r="R29" s="165"/>
      <c r="S29" s="165"/>
      <c r="T29" s="165"/>
      <c r="U29" s="165"/>
      <c r="V29" s="165"/>
      <c r="W29" s="165"/>
      <c r="X29" s="165"/>
      <c r="Y29" s="165"/>
      <c r="Z29" s="165"/>
    </row>
    <row r="30" spans="2:26">
      <c r="B30" s="97" t="str">
        <f>IF(Calculation!BE35="","",Calculation!BE35)</f>
        <v/>
      </c>
      <c r="C30" s="99" t="str">
        <f t="shared" ca="1" si="1"/>
        <v/>
      </c>
      <c r="D30" s="99" t="str">
        <f t="shared" ca="1" si="1"/>
        <v/>
      </c>
      <c r="E30" s="99" t="str">
        <f t="shared" ca="1" si="1"/>
        <v/>
      </c>
      <c r="F30" s="99" t="str">
        <f t="shared" ca="1" si="1"/>
        <v/>
      </c>
      <c r="G30" s="99" t="str">
        <f t="shared" ca="1" si="1"/>
        <v/>
      </c>
      <c r="H30" s="99" t="str">
        <f t="shared" ca="1" si="1"/>
        <v/>
      </c>
      <c r="I30" s="99" t="str">
        <f t="shared" ca="1" si="1"/>
        <v/>
      </c>
      <c r="J30" s="99" t="str">
        <f t="shared" ca="1" si="1"/>
        <v/>
      </c>
      <c r="K30" s="99" t="str">
        <f t="shared" ca="1" si="1"/>
        <v/>
      </c>
      <c r="L30" s="99" t="str">
        <f t="shared" ca="1" si="1"/>
        <v/>
      </c>
      <c r="P30" s="165"/>
      <c r="Q30" s="165"/>
      <c r="R30" s="165"/>
      <c r="S30" s="165"/>
      <c r="T30" s="165"/>
      <c r="U30" s="165"/>
      <c r="V30" s="165"/>
      <c r="W30" s="165"/>
      <c r="X30" s="165"/>
      <c r="Y30" s="165"/>
      <c r="Z30" s="165"/>
    </row>
    <row r="31" spans="2:26">
      <c r="B31" s="97" t="str">
        <f>IF(Calculation!BE36="","",Calculation!BE36)</f>
        <v/>
      </c>
      <c r="C31" s="99" t="str">
        <f t="shared" ca="1" si="1"/>
        <v/>
      </c>
      <c r="D31" s="99" t="str">
        <f t="shared" ca="1" si="1"/>
        <v/>
      </c>
      <c r="E31" s="99" t="str">
        <f t="shared" ca="1" si="1"/>
        <v/>
      </c>
      <c r="F31" s="99" t="str">
        <f t="shared" ca="1" si="1"/>
        <v/>
      </c>
      <c r="G31" s="99" t="str">
        <f t="shared" ca="1" si="1"/>
        <v/>
      </c>
      <c r="H31" s="99" t="str">
        <f t="shared" ca="1" si="1"/>
        <v/>
      </c>
      <c r="I31" s="99" t="str">
        <f t="shared" ca="1" si="1"/>
        <v/>
      </c>
      <c r="J31" s="99" t="str">
        <f t="shared" ca="1" si="1"/>
        <v/>
      </c>
      <c r="K31" s="99" t="str">
        <f t="shared" ca="1" si="1"/>
        <v/>
      </c>
      <c r="L31" s="99" t="str">
        <f t="shared" ca="1" si="1"/>
        <v/>
      </c>
      <c r="P31" s="165"/>
      <c r="Q31" s="165"/>
      <c r="R31" s="165"/>
      <c r="S31" s="165"/>
      <c r="T31" s="165"/>
      <c r="U31" s="165"/>
      <c r="V31" s="165"/>
      <c r="W31" s="165"/>
      <c r="X31" s="165"/>
      <c r="Y31" s="165"/>
      <c r="Z31" s="165"/>
    </row>
    <row r="32" spans="2:26">
      <c r="B32" s="97" t="str">
        <f>IF(Calculation!BE37="","",Calculation!BE37)</f>
        <v/>
      </c>
      <c r="C32" s="99" t="str">
        <f t="shared" ca="1" si="1"/>
        <v/>
      </c>
      <c r="D32" s="99" t="str">
        <f t="shared" ca="1" si="1"/>
        <v/>
      </c>
      <c r="E32" s="99" t="str">
        <f t="shared" ca="1" si="1"/>
        <v/>
      </c>
      <c r="F32" s="99" t="str">
        <f t="shared" ca="1" si="1"/>
        <v/>
      </c>
      <c r="G32" s="99" t="str">
        <f t="shared" ca="1" si="1"/>
        <v/>
      </c>
      <c r="H32" s="99" t="str">
        <f t="shared" ca="1" si="1"/>
        <v/>
      </c>
      <c r="I32" s="99" t="str">
        <f t="shared" ca="1" si="1"/>
        <v/>
      </c>
      <c r="J32" s="99" t="str">
        <f t="shared" ca="1" si="1"/>
        <v/>
      </c>
      <c r="K32" s="99" t="str">
        <f t="shared" ca="1" si="1"/>
        <v/>
      </c>
      <c r="L32" s="99" t="str">
        <f t="shared" ca="1" si="1"/>
        <v/>
      </c>
      <c r="P32" s="165"/>
      <c r="Q32" s="165"/>
      <c r="R32" s="165"/>
      <c r="S32" s="165"/>
      <c r="T32" s="165"/>
      <c r="U32" s="165"/>
      <c r="V32" s="165"/>
      <c r="W32" s="165"/>
      <c r="X32" s="165"/>
      <c r="Y32" s="165"/>
      <c r="Z32" s="165"/>
    </row>
    <row r="33" spans="2:26">
      <c r="B33" s="97" t="str">
        <f>IF(Calculation!BE38="","",Calculation!BE38)</f>
        <v/>
      </c>
      <c r="C33" s="99" t="str">
        <f t="shared" ca="1" si="1"/>
        <v/>
      </c>
      <c r="D33" s="99" t="str">
        <f t="shared" ca="1" si="1"/>
        <v/>
      </c>
      <c r="E33" s="99" t="str">
        <f t="shared" ca="1" si="1"/>
        <v/>
      </c>
      <c r="F33" s="99" t="str">
        <f t="shared" ca="1" si="1"/>
        <v/>
      </c>
      <c r="G33" s="99" t="str">
        <f t="shared" ca="1" si="1"/>
        <v/>
      </c>
      <c r="H33" s="99" t="str">
        <f t="shared" ca="1" si="1"/>
        <v/>
      </c>
      <c r="I33" s="99" t="str">
        <f t="shared" ca="1" si="1"/>
        <v/>
      </c>
      <c r="J33" s="99" t="str">
        <f t="shared" ca="1" si="1"/>
        <v/>
      </c>
      <c r="K33" s="99" t="str">
        <f t="shared" ca="1" si="1"/>
        <v/>
      </c>
      <c r="L33" s="99" t="str">
        <f t="shared" ca="1" si="1"/>
        <v/>
      </c>
      <c r="P33" s="165"/>
      <c r="Q33" s="165"/>
      <c r="R33" s="165"/>
      <c r="S33" s="165"/>
      <c r="T33" s="165"/>
      <c r="U33" s="165"/>
      <c r="V33" s="165"/>
      <c r="W33" s="165"/>
      <c r="X33" s="165"/>
      <c r="Y33" s="165"/>
      <c r="Z33" s="165"/>
    </row>
    <row r="34" spans="2:26">
      <c r="B34" s="97" t="str">
        <f>IF(Calculation!BE39="","",Calculation!BE39)</f>
        <v/>
      </c>
      <c r="C34" s="99" t="str">
        <f t="shared" ca="1" si="1"/>
        <v/>
      </c>
      <c r="D34" s="99" t="str">
        <f t="shared" ca="1" si="1"/>
        <v/>
      </c>
      <c r="E34" s="99" t="str">
        <f t="shared" ca="1" si="1"/>
        <v/>
      </c>
      <c r="F34" s="99" t="str">
        <f t="shared" ca="1" si="1"/>
        <v/>
      </c>
      <c r="G34" s="99" t="str">
        <f t="shared" ca="1" si="1"/>
        <v/>
      </c>
      <c r="H34" s="99" t="str">
        <f t="shared" ca="1" si="1"/>
        <v/>
      </c>
      <c r="I34" s="99" t="str">
        <f t="shared" ca="1" si="1"/>
        <v/>
      </c>
      <c r="J34" s="99" t="str">
        <f t="shared" ca="1" si="1"/>
        <v/>
      </c>
      <c r="K34" s="99" t="str">
        <f t="shared" ca="1" si="1"/>
        <v/>
      </c>
      <c r="L34" s="99" t="str">
        <f t="shared" ca="1" si="1"/>
        <v/>
      </c>
      <c r="P34" s="165"/>
      <c r="Q34" s="165"/>
      <c r="R34" s="165"/>
      <c r="S34" s="165"/>
      <c r="T34" s="165"/>
      <c r="U34" s="165"/>
      <c r="V34" s="165"/>
      <c r="W34" s="165"/>
      <c r="X34" s="165"/>
      <c r="Y34" s="165"/>
      <c r="Z34" s="165"/>
    </row>
    <row r="35" spans="2:26">
      <c r="B35" s="97" t="str">
        <f>IF(Calculation!BE40="","",Calculation!BE40)</f>
        <v/>
      </c>
      <c r="C35" s="99" t="str">
        <f t="shared" ca="1" si="1"/>
        <v/>
      </c>
      <c r="D35" s="99" t="str">
        <f t="shared" ca="1" si="1"/>
        <v/>
      </c>
      <c r="E35" s="99" t="str">
        <f t="shared" ca="1" si="1"/>
        <v/>
      </c>
      <c r="F35" s="99" t="str">
        <f t="shared" ca="1" si="1"/>
        <v/>
      </c>
      <c r="G35" s="99" t="str">
        <f t="shared" ca="1" si="1"/>
        <v/>
      </c>
      <c r="H35" s="99" t="str">
        <f t="shared" ca="1" si="1"/>
        <v/>
      </c>
      <c r="I35" s="99" t="str">
        <f t="shared" ca="1" si="1"/>
        <v/>
      </c>
      <c r="J35" s="99" t="str">
        <f t="shared" ca="1" si="1"/>
        <v/>
      </c>
      <c r="K35" s="99" t="str">
        <f t="shared" ca="1" si="1"/>
        <v/>
      </c>
      <c r="L35" s="99" t="str">
        <f t="shared" ca="1" si="1"/>
        <v/>
      </c>
      <c r="P35" s="165"/>
      <c r="Q35" s="165"/>
      <c r="R35" s="165"/>
      <c r="S35" s="165"/>
      <c r="T35" s="165"/>
      <c r="U35" s="165"/>
      <c r="V35" s="165"/>
      <c r="W35" s="165"/>
      <c r="X35" s="165"/>
      <c r="Y35" s="165"/>
      <c r="Z35" s="165"/>
    </row>
    <row r="36" spans="2:26">
      <c r="B36" s="97" t="str">
        <f>IF(Calculation!BE41="","",Calculation!BE41)</f>
        <v/>
      </c>
      <c r="C36" s="99" t="str">
        <f t="shared" ca="1" si="1"/>
        <v/>
      </c>
      <c r="D36" s="99" t="str">
        <f t="shared" ca="1" si="1"/>
        <v/>
      </c>
      <c r="E36" s="99" t="str">
        <f t="shared" ca="1" si="1"/>
        <v/>
      </c>
      <c r="F36" s="99" t="str">
        <f t="shared" ca="1" si="1"/>
        <v/>
      </c>
      <c r="G36" s="99" t="str">
        <f t="shared" ca="1" si="1"/>
        <v/>
      </c>
      <c r="H36" s="99" t="str">
        <f t="shared" ca="1" si="1"/>
        <v/>
      </c>
      <c r="I36" s="99" t="str">
        <f t="shared" ca="1" si="1"/>
        <v/>
      </c>
      <c r="J36" s="99" t="str">
        <f t="shared" ca="1" si="1"/>
        <v/>
      </c>
      <c r="K36" s="99" t="str">
        <f t="shared" ca="1" si="1"/>
        <v/>
      </c>
      <c r="L36" s="99" t="str">
        <f t="shared" ca="1" si="1"/>
        <v/>
      </c>
      <c r="P36" s="165"/>
      <c r="Q36" s="165"/>
      <c r="R36" s="165"/>
      <c r="S36" s="165"/>
      <c r="T36" s="165"/>
      <c r="U36" s="165"/>
      <c r="V36" s="165"/>
      <c r="W36" s="165"/>
      <c r="X36" s="165"/>
      <c r="Y36" s="165"/>
      <c r="Z36" s="165"/>
    </row>
    <row r="37" spans="2:26">
      <c r="B37" s="97" t="str">
        <f>IF(Calculation!BE42="","",Calculation!BE42)</f>
        <v/>
      </c>
      <c r="C37" s="99" t="str">
        <f t="shared" ca="1" si="1"/>
        <v/>
      </c>
      <c r="D37" s="99" t="str">
        <f t="shared" ca="1" si="1"/>
        <v/>
      </c>
      <c r="E37" s="99" t="str">
        <f t="shared" ca="1" si="1"/>
        <v/>
      </c>
      <c r="F37" s="99" t="str">
        <f t="shared" ca="1" si="1"/>
        <v/>
      </c>
      <c r="G37" s="99" t="str">
        <f t="shared" ca="1" si="1"/>
        <v/>
      </c>
      <c r="H37" s="99" t="str">
        <f t="shared" ca="1" si="1"/>
        <v/>
      </c>
      <c r="I37" s="99" t="str">
        <f t="shared" ca="1" si="1"/>
        <v/>
      </c>
      <c r="J37" s="99" t="str">
        <f t="shared" ca="1" si="1"/>
        <v/>
      </c>
      <c r="K37" s="99" t="str">
        <f t="shared" ca="1" si="1"/>
        <v/>
      </c>
      <c r="L37" s="99" t="str">
        <f t="shared" ca="1" si="1"/>
        <v/>
      </c>
      <c r="P37" s="165"/>
      <c r="Q37" s="165"/>
      <c r="R37" s="165"/>
      <c r="S37" s="165"/>
      <c r="T37" s="165"/>
      <c r="U37" s="165"/>
      <c r="V37" s="165"/>
      <c r="W37" s="165"/>
      <c r="X37" s="165"/>
      <c r="Y37" s="165"/>
      <c r="Z37" s="165"/>
    </row>
    <row r="38" spans="2:26">
      <c r="B38" s="97" t="str">
        <f>IF(Calculation!BE43="","",Calculation!BE43)</f>
        <v/>
      </c>
      <c r="C38" s="99" t="str">
        <f t="shared" ref="C38:L53" ca="1" si="2">IF($M$4=0,"",VLOOKUP($B38,INDIRECT("$P$1:$Z$"&amp;$M$4),COLUMN()-1,0))</f>
        <v/>
      </c>
      <c r="D38" s="99" t="str">
        <f t="shared" ca="1" si="2"/>
        <v/>
      </c>
      <c r="E38" s="99" t="str">
        <f t="shared" ca="1" si="2"/>
        <v/>
      </c>
      <c r="F38" s="99" t="str">
        <f t="shared" ca="1" si="2"/>
        <v/>
      </c>
      <c r="G38" s="99" t="str">
        <f t="shared" ca="1" si="2"/>
        <v/>
      </c>
      <c r="H38" s="99" t="str">
        <f t="shared" ca="1" si="2"/>
        <v/>
      </c>
      <c r="I38" s="99" t="str">
        <f t="shared" ca="1" si="2"/>
        <v/>
      </c>
      <c r="J38" s="99" t="str">
        <f t="shared" ca="1" si="2"/>
        <v/>
      </c>
      <c r="K38" s="99" t="str">
        <f t="shared" ca="1" si="2"/>
        <v/>
      </c>
      <c r="L38" s="99" t="str">
        <f t="shared" ca="1" si="2"/>
        <v/>
      </c>
      <c r="P38" s="165"/>
      <c r="Q38" s="165"/>
      <c r="R38" s="165"/>
      <c r="S38" s="165"/>
      <c r="T38" s="165"/>
      <c r="U38" s="165"/>
      <c r="V38" s="165"/>
      <c r="W38" s="165"/>
      <c r="X38" s="165"/>
      <c r="Y38" s="165"/>
      <c r="Z38" s="165"/>
    </row>
    <row r="39" spans="2:26">
      <c r="B39" s="97" t="str">
        <f>IF(Calculation!BE44="","",Calculation!BE44)</f>
        <v/>
      </c>
      <c r="C39" s="99" t="str">
        <f t="shared" ca="1" si="2"/>
        <v/>
      </c>
      <c r="D39" s="99" t="str">
        <f t="shared" ca="1" si="2"/>
        <v/>
      </c>
      <c r="E39" s="99" t="str">
        <f t="shared" ca="1" si="2"/>
        <v/>
      </c>
      <c r="F39" s="99" t="str">
        <f t="shared" ca="1" si="2"/>
        <v/>
      </c>
      <c r="G39" s="99" t="str">
        <f t="shared" ca="1" si="2"/>
        <v/>
      </c>
      <c r="H39" s="99" t="str">
        <f t="shared" ca="1" si="2"/>
        <v/>
      </c>
      <c r="I39" s="99" t="str">
        <f t="shared" ca="1" si="2"/>
        <v/>
      </c>
      <c r="J39" s="99" t="str">
        <f t="shared" ca="1" si="2"/>
        <v/>
      </c>
      <c r="K39" s="99" t="str">
        <f t="shared" ca="1" si="2"/>
        <v/>
      </c>
      <c r="L39" s="99" t="str">
        <f t="shared" ca="1" si="2"/>
        <v/>
      </c>
      <c r="P39" s="165"/>
      <c r="Q39" s="165"/>
      <c r="R39" s="165"/>
      <c r="S39" s="165"/>
      <c r="T39" s="165"/>
      <c r="U39" s="165"/>
      <c r="V39" s="165"/>
      <c r="W39" s="165"/>
      <c r="X39" s="165"/>
      <c r="Y39" s="165"/>
      <c r="Z39" s="165"/>
    </row>
    <row r="40" spans="2:26">
      <c r="B40" s="97" t="str">
        <f>IF(Calculation!BE45="","",Calculation!BE45)</f>
        <v/>
      </c>
      <c r="C40" s="99" t="str">
        <f t="shared" ca="1" si="2"/>
        <v/>
      </c>
      <c r="D40" s="99" t="str">
        <f t="shared" ca="1" si="2"/>
        <v/>
      </c>
      <c r="E40" s="99" t="str">
        <f t="shared" ca="1" si="2"/>
        <v/>
      </c>
      <c r="F40" s="99" t="str">
        <f t="shared" ca="1" si="2"/>
        <v/>
      </c>
      <c r="G40" s="99" t="str">
        <f t="shared" ca="1" si="2"/>
        <v/>
      </c>
      <c r="H40" s="99" t="str">
        <f t="shared" ca="1" si="2"/>
        <v/>
      </c>
      <c r="I40" s="99" t="str">
        <f t="shared" ca="1" si="2"/>
        <v/>
      </c>
      <c r="J40" s="99" t="str">
        <f t="shared" ca="1" si="2"/>
        <v/>
      </c>
      <c r="K40" s="99" t="str">
        <f t="shared" ca="1" si="2"/>
        <v/>
      </c>
      <c r="L40" s="99" t="str">
        <f t="shared" ca="1" si="2"/>
        <v/>
      </c>
      <c r="P40" s="165"/>
      <c r="Q40" s="165"/>
      <c r="R40" s="165"/>
      <c r="S40" s="165"/>
      <c r="T40" s="165"/>
      <c r="U40" s="165"/>
      <c r="V40" s="165"/>
      <c r="W40" s="165"/>
      <c r="X40" s="165"/>
      <c r="Y40" s="165"/>
      <c r="Z40" s="165"/>
    </row>
    <row r="41" spans="2:26">
      <c r="B41" s="97" t="str">
        <f>IF(Calculation!BE47="","",Calculation!BE47)</f>
        <v/>
      </c>
      <c r="C41" s="99" t="str">
        <f t="shared" ca="1" si="2"/>
        <v/>
      </c>
      <c r="D41" s="99" t="str">
        <f t="shared" ca="1" si="2"/>
        <v/>
      </c>
      <c r="E41" s="99" t="str">
        <f t="shared" ca="1" si="2"/>
        <v/>
      </c>
      <c r="F41" s="99" t="str">
        <f t="shared" ca="1" si="2"/>
        <v/>
      </c>
      <c r="G41" s="99" t="str">
        <f t="shared" ca="1" si="2"/>
        <v/>
      </c>
      <c r="H41" s="99" t="str">
        <f t="shared" ca="1" si="2"/>
        <v/>
      </c>
      <c r="I41" s="99" t="str">
        <f t="shared" ca="1" si="2"/>
        <v/>
      </c>
      <c r="J41" s="99" t="str">
        <f t="shared" ca="1" si="2"/>
        <v/>
      </c>
      <c r="K41" s="99" t="str">
        <f t="shared" ca="1" si="2"/>
        <v/>
      </c>
      <c r="L41" s="99" t="str">
        <f t="shared" ca="1" si="2"/>
        <v/>
      </c>
      <c r="P41" s="165"/>
      <c r="Q41" s="165"/>
      <c r="R41" s="165"/>
      <c r="S41" s="165"/>
      <c r="T41" s="165"/>
      <c r="U41" s="165"/>
      <c r="V41" s="165"/>
      <c r="W41" s="165"/>
      <c r="X41" s="165"/>
      <c r="Y41" s="165"/>
      <c r="Z41" s="165"/>
    </row>
    <row r="42" spans="2:26">
      <c r="B42" s="97" t="str">
        <f>IF(Calculation!BE48="","",Calculation!BE48)</f>
        <v/>
      </c>
      <c r="C42" s="99" t="str">
        <f t="shared" ca="1" si="2"/>
        <v/>
      </c>
      <c r="D42" s="99" t="str">
        <f t="shared" ca="1" si="2"/>
        <v/>
      </c>
      <c r="E42" s="99" t="str">
        <f t="shared" ca="1" si="2"/>
        <v/>
      </c>
      <c r="F42" s="99" t="str">
        <f t="shared" ca="1" si="2"/>
        <v/>
      </c>
      <c r="G42" s="99" t="str">
        <f t="shared" ca="1" si="2"/>
        <v/>
      </c>
      <c r="H42" s="99" t="str">
        <f t="shared" ca="1" si="2"/>
        <v/>
      </c>
      <c r="I42" s="99" t="str">
        <f t="shared" ca="1" si="2"/>
        <v/>
      </c>
      <c r="J42" s="99" t="str">
        <f t="shared" ca="1" si="2"/>
        <v/>
      </c>
      <c r="K42" s="99" t="str">
        <f t="shared" ca="1" si="2"/>
        <v/>
      </c>
      <c r="L42" s="99" t="str">
        <f t="shared" ca="1" si="2"/>
        <v/>
      </c>
      <c r="P42" s="165"/>
      <c r="Q42" s="165"/>
      <c r="R42" s="165"/>
      <c r="S42" s="165"/>
      <c r="T42" s="165"/>
      <c r="U42" s="165"/>
      <c r="V42" s="165"/>
      <c r="W42" s="165"/>
      <c r="X42" s="165"/>
      <c r="Y42" s="165"/>
      <c r="Z42" s="165"/>
    </row>
    <row r="43" spans="2:26">
      <c r="B43" s="97" t="str">
        <f>IF(Calculation!BE49="","",Calculation!BE49)</f>
        <v/>
      </c>
      <c r="C43" s="99" t="str">
        <f t="shared" ca="1" si="2"/>
        <v/>
      </c>
      <c r="D43" s="99" t="str">
        <f t="shared" ca="1" si="2"/>
        <v/>
      </c>
      <c r="E43" s="99" t="str">
        <f t="shared" ca="1" si="2"/>
        <v/>
      </c>
      <c r="F43" s="99" t="str">
        <f t="shared" ca="1" si="2"/>
        <v/>
      </c>
      <c r="G43" s="99" t="str">
        <f t="shared" ca="1" si="2"/>
        <v/>
      </c>
      <c r="H43" s="99" t="str">
        <f t="shared" ca="1" si="2"/>
        <v/>
      </c>
      <c r="I43" s="99" t="str">
        <f t="shared" ca="1" si="2"/>
        <v/>
      </c>
      <c r="J43" s="99" t="str">
        <f t="shared" ca="1" si="2"/>
        <v/>
      </c>
      <c r="K43" s="99" t="str">
        <f t="shared" ca="1" si="2"/>
        <v/>
      </c>
      <c r="L43" s="99" t="str">
        <f t="shared" ca="1" si="2"/>
        <v/>
      </c>
      <c r="P43" s="165"/>
      <c r="Q43" s="165"/>
      <c r="R43" s="165"/>
      <c r="S43" s="165"/>
      <c r="T43" s="165"/>
      <c r="U43" s="165"/>
      <c r="V43" s="165"/>
      <c r="W43" s="165"/>
      <c r="X43" s="165"/>
      <c r="Y43" s="165"/>
      <c r="Z43" s="165"/>
    </row>
    <row r="44" spans="2:26">
      <c r="B44" s="97" t="str">
        <f>IF(Calculation!BE50="","",Calculation!BE50)</f>
        <v/>
      </c>
      <c r="C44" s="99" t="str">
        <f t="shared" ca="1" si="2"/>
        <v/>
      </c>
      <c r="D44" s="99" t="str">
        <f t="shared" ca="1" si="2"/>
        <v/>
      </c>
      <c r="E44" s="99" t="str">
        <f t="shared" ca="1" si="2"/>
        <v/>
      </c>
      <c r="F44" s="99" t="str">
        <f t="shared" ca="1" si="2"/>
        <v/>
      </c>
      <c r="G44" s="99" t="str">
        <f t="shared" ca="1" si="2"/>
        <v/>
      </c>
      <c r="H44" s="99" t="str">
        <f t="shared" ca="1" si="2"/>
        <v/>
      </c>
      <c r="I44" s="99" t="str">
        <f t="shared" ca="1" si="2"/>
        <v/>
      </c>
      <c r="J44" s="99" t="str">
        <f t="shared" ca="1" si="2"/>
        <v/>
      </c>
      <c r="K44" s="99" t="str">
        <f t="shared" ca="1" si="2"/>
        <v/>
      </c>
      <c r="L44" s="99" t="str">
        <f t="shared" ca="1" si="2"/>
        <v/>
      </c>
      <c r="P44" s="165"/>
      <c r="Q44" s="165"/>
      <c r="R44" s="165"/>
      <c r="S44" s="165"/>
      <c r="T44" s="165"/>
      <c r="U44" s="165"/>
      <c r="V44" s="165"/>
      <c r="W44" s="165"/>
      <c r="X44" s="165"/>
      <c r="Y44" s="165"/>
      <c r="Z44" s="165"/>
    </row>
    <row r="45" spans="2:26">
      <c r="B45" s="97" t="str">
        <f>IF(Calculation!BE51="","",Calculation!BE51)</f>
        <v/>
      </c>
      <c r="C45" s="99" t="str">
        <f t="shared" ca="1" si="2"/>
        <v/>
      </c>
      <c r="D45" s="99" t="str">
        <f t="shared" ca="1" si="2"/>
        <v/>
      </c>
      <c r="E45" s="99" t="str">
        <f t="shared" ca="1" si="2"/>
        <v/>
      </c>
      <c r="F45" s="99" t="str">
        <f t="shared" ca="1" si="2"/>
        <v/>
      </c>
      <c r="G45" s="99" t="str">
        <f t="shared" ca="1" si="2"/>
        <v/>
      </c>
      <c r="H45" s="99" t="str">
        <f t="shared" ca="1" si="2"/>
        <v/>
      </c>
      <c r="I45" s="99" t="str">
        <f t="shared" ca="1" si="2"/>
        <v/>
      </c>
      <c r="J45" s="99" t="str">
        <f t="shared" ca="1" si="2"/>
        <v/>
      </c>
      <c r="K45" s="99" t="str">
        <f t="shared" ca="1" si="2"/>
        <v/>
      </c>
      <c r="L45" s="99" t="str">
        <f t="shared" ca="1" si="2"/>
        <v/>
      </c>
      <c r="P45" s="165"/>
      <c r="Q45" s="165"/>
      <c r="R45" s="165"/>
      <c r="S45" s="165"/>
      <c r="T45" s="165"/>
      <c r="U45" s="165"/>
      <c r="V45" s="165"/>
      <c r="W45" s="165"/>
      <c r="X45" s="165"/>
      <c r="Y45" s="165"/>
      <c r="Z45" s="165"/>
    </row>
    <row r="46" spans="2:26">
      <c r="B46" s="97" t="str">
        <f>IF(Calculation!BE52="","",Calculation!BE52)</f>
        <v/>
      </c>
      <c r="C46" s="99" t="str">
        <f t="shared" ca="1" si="2"/>
        <v/>
      </c>
      <c r="D46" s="99" t="str">
        <f t="shared" ca="1" si="2"/>
        <v/>
      </c>
      <c r="E46" s="99" t="str">
        <f t="shared" ca="1" si="2"/>
        <v/>
      </c>
      <c r="F46" s="99" t="str">
        <f t="shared" ca="1" si="2"/>
        <v/>
      </c>
      <c r="G46" s="99" t="str">
        <f t="shared" ca="1" si="2"/>
        <v/>
      </c>
      <c r="H46" s="99" t="str">
        <f t="shared" ca="1" si="2"/>
        <v/>
      </c>
      <c r="I46" s="99" t="str">
        <f t="shared" ca="1" si="2"/>
        <v/>
      </c>
      <c r="J46" s="99" t="str">
        <f t="shared" ca="1" si="2"/>
        <v/>
      </c>
      <c r="K46" s="99" t="str">
        <f t="shared" ca="1" si="2"/>
        <v/>
      </c>
      <c r="L46" s="99" t="str">
        <f t="shared" ca="1" si="2"/>
        <v/>
      </c>
      <c r="P46" s="165"/>
      <c r="Q46" s="165"/>
      <c r="R46" s="165"/>
      <c r="S46" s="165"/>
      <c r="T46" s="165"/>
      <c r="U46" s="165"/>
      <c r="V46" s="165"/>
      <c r="W46" s="165"/>
      <c r="X46" s="165"/>
      <c r="Y46" s="165"/>
      <c r="Z46" s="165"/>
    </row>
    <row r="47" spans="2:26">
      <c r="B47" s="97" t="str">
        <f>IF(Calculation!BE53="","",Calculation!BE53)</f>
        <v/>
      </c>
      <c r="C47" s="99" t="str">
        <f t="shared" ca="1" si="2"/>
        <v/>
      </c>
      <c r="D47" s="99" t="str">
        <f t="shared" ca="1" si="2"/>
        <v/>
      </c>
      <c r="E47" s="99" t="str">
        <f t="shared" ca="1" si="2"/>
        <v/>
      </c>
      <c r="F47" s="99" t="str">
        <f t="shared" ca="1" si="2"/>
        <v/>
      </c>
      <c r="G47" s="99" t="str">
        <f t="shared" ca="1" si="2"/>
        <v/>
      </c>
      <c r="H47" s="99" t="str">
        <f t="shared" ca="1" si="2"/>
        <v/>
      </c>
      <c r="I47" s="99" t="str">
        <f t="shared" ca="1" si="2"/>
        <v/>
      </c>
      <c r="J47" s="99" t="str">
        <f t="shared" ca="1" si="2"/>
        <v/>
      </c>
      <c r="K47" s="99" t="str">
        <f t="shared" ca="1" si="2"/>
        <v/>
      </c>
      <c r="L47" s="99" t="str">
        <f t="shared" ca="1" si="2"/>
        <v/>
      </c>
      <c r="P47" s="165"/>
      <c r="Q47" s="165"/>
      <c r="R47" s="165"/>
      <c r="S47" s="165"/>
      <c r="T47" s="165"/>
      <c r="U47" s="165"/>
      <c r="V47" s="165"/>
      <c r="W47" s="165"/>
      <c r="X47" s="165"/>
      <c r="Y47" s="165"/>
      <c r="Z47" s="165"/>
    </row>
    <row r="48" spans="2:26">
      <c r="B48" s="97" t="str">
        <f>IF(Calculation!BE54="","",Calculation!BE54)</f>
        <v/>
      </c>
      <c r="C48" s="99" t="str">
        <f t="shared" ca="1" si="2"/>
        <v/>
      </c>
      <c r="D48" s="99" t="str">
        <f t="shared" ca="1" si="2"/>
        <v/>
      </c>
      <c r="E48" s="99" t="str">
        <f t="shared" ca="1" si="2"/>
        <v/>
      </c>
      <c r="F48" s="99" t="str">
        <f t="shared" ca="1" si="2"/>
        <v/>
      </c>
      <c r="G48" s="99" t="str">
        <f t="shared" ca="1" si="2"/>
        <v/>
      </c>
      <c r="H48" s="99" t="str">
        <f t="shared" ca="1" si="2"/>
        <v/>
      </c>
      <c r="I48" s="99" t="str">
        <f t="shared" ca="1" si="2"/>
        <v/>
      </c>
      <c r="J48" s="99" t="str">
        <f t="shared" ca="1" si="2"/>
        <v/>
      </c>
      <c r="K48" s="99" t="str">
        <f t="shared" ca="1" si="2"/>
        <v/>
      </c>
      <c r="L48" s="99" t="str">
        <f t="shared" ca="1" si="2"/>
        <v/>
      </c>
      <c r="P48" s="165"/>
      <c r="Q48" s="165"/>
      <c r="R48" s="165"/>
      <c r="S48" s="165"/>
      <c r="T48" s="165"/>
      <c r="U48" s="165"/>
      <c r="V48" s="165"/>
      <c r="W48" s="165"/>
      <c r="X48" s="165"/>
      <c r="Y48" s="165"/>
      <c r="Z48" s="165"/>
    </row>
    <row r="49" spans="2:26">
      <c r="B49" s="97" t="str">
        <f>IF(Calculation!BE55="","",Calculation!BE55)</f>
        <v/>
      </c>
      <c r="C49" s="99" t="str">
        <f t="shared" ca="1" si="2"/>
        <v/>
      </c>
      <c r="D49" s="99" t="str">
        <f t="shared" ca="1" si="2"/>
        <v/>
      </c>
      <c r="E49" s="99" t="str">
        <f t="shared" ca="1" si="2"/>
        <v/>
      </c>
      <c r="F49" s="99" t="str">
        <f t="shared" ca="1" si="2"/>
        <v/>
      </c>
      <c r="G49" s="99" t="str">
        <f t="shared" ca="1" si="2"/>
        <v/>
      </c>
      <c r="H49" s="99" t="str">
        <f t="shared" ca="1" si="2"/>
        <v/>
      </c>
      <c r="I49" s="99" t="str">
        <f t="shared" ca="1" si="2"/>
        <v/>
      </c>
      <c r="J49" s="99" t="str">
        <f t="shared" ca="1" si="2"/>
        <v/>
      </c>
      <c r="K49" s="99" t="str">
        <f t="shared" ca="1" si="2"/>
        <v/>
      </c>
      <c r="L49" s="99" t="str">
        <f t="shared" ca="1" si="2"/>
        <v/>
      </c>
      <c r="P49" s="165"/>
      <c r="Q49" s="165"/>
      <c r="R49" s="165"/>
      <c r="S49" s="165"/>
      <c r="T49" s="165"/>
      <c r="U49" s="165"/>
      <c r="V49" s="165"/>
      <c r="W49" s="165"/>
      <c r="X49" s="165"/>
      <c r="Y49" s="165"/>
      <c r="Z49" s="165"/>
    </row>
    <row r="50" spans="2:26">
      <c r="B50" s="97" t="str">
        <f>IF(Calculation!BE56="","",Calculation!BE56)</f>
        <v/>
      </c>
      <c r="C50" s="99" t="str">
        <f t="shared" ca="1" si="2"/>
        <v/>
      </c>
      <c r="D50" s="99" t="str">
        <f t="shared" ca="1" si="2"/>
        <v/>
      </c>
      <c r="E50" s="99" t="str">
        <f t="shared" ca="1" si="2"/>
        <v/>
      </c>
      <c r="F50" s="99" t="str">
        <f t="shared" ca="1" si="2"/>
        <v/>
      </c>
      <c r="G50" s="99" t="str">
        <f t="shared" ca="1" si="2"/>
        <v/>
      </c>
      <c r="H50" s="99" t="str">
        <f t="shared" ca="1" si="2"/>
        <v/>
      </c>
      <c r="I50" s="99" t="str">
        <f t="shared" ca="1" si="2"/>
        <v/>
      </c>
      <c r="J50" s="99" t="str">
        <f t="shared" ca="1" si="2"/>
        <v/>
      </c>
      <c r="K50" s="99" t="str">
        <f t="shared" ca="1" si="2"/>
        <v/>
      </c>
      <c r="L50" s="99" t="str">
        <f t="shared" ca="1" si="2"/>
        <v/>
      </c>
      <c r="P50" s="165"/>
      <c r="Q50" s="165"/>
      <c r="R50" s="165"/>
      <c r="S50" s="165"/>
      <c r="T50" s="165"/>
      <c r="U50" s="165"/>
      <c r="V50" s="165"/>
      <c r="W50" s="165"/>
      <c r="X50" s="165"/>
      <c r="Y50" s="165"/>
      <c r="Z50" s="165"/>
    </row>
    <row r="51" spans="2:26">
      <c r="B51" s="97" t="str">
        <f>IF(Calculation!BE57="","",Calculation!BE57)</f>
        <v/>
      </c>
      <c r="C51" s="99" t="str">
        <f t="shared" ca="1" si="2"/>
        <v/>
      </c>
      <c r="D51" s="99" t="str">
        <f t="shared" ca="1" si="2"/>
        <v/>
      </c>
      <c r="E51" s="99" t="str">
        <f t="shared" ca="1" si="2"/>
        <v/>
      </c>
      <c r="F51" s="99" t="str">
        <f t="shared" ca="1" si="2"/>
        <v/>
      </c>
      <c r="G51" s="99" t="str">
        <f t="shared" ca="1" si="2"/>
        <v/>
      </c>
      <c r="H51" s="99" t="str">
        <f t="shared" ca="1" si="2"/>
        <v/>
      </c>
      <c r="I51" s="99" t="str">
        <f t="shared" ca="1" si="2"/>
        <v/>
      </c>
      <c r="J51" s="99" t="str">
        <f t="shared" ca="1" si="2"/>
        <v/>
      </c>
      <c r="K51" s="99" t="str">
        <f t="shared" ca="1" si="2"/>
        <v/>
      </c>
      <c r="L51" s="99" t="str">
        <f t="shared" ca="1" si="2"/>
        <v/>
      </c>
      <c r="P51" s="165"/>
      <c r="Q51" s="165"/>
      <c r="R51" s="165"/>
      <c r="S51" s="165"/>
      <c r="T51" s="165"/>
      <c r="U51" s="165"/>
      <c r="V51" s="165"/>
      <c r="W51" s="165"/>
      <c r="X51" s="165"/>
      <c r="Y51" s="165"/>
      <c r="Z51" s="165"/>
    </row>
    <row r="52" spans="2:26">
      <c r="B52" s="97" t="str">
        <f>IF(Calculation!BE58="","",Calculation!BE58)</f>
        <v/>
      </c>
      <c r="C52" s="99" t="str">
        <f t="shared" ca="1" si="2"/>
        <v/>
      </c>
      <c r="D52" s="99" t="str">
        <f t="shared" ca="1" si="2"/>
        <v/>
      </c>
      <c r="E52" s="99" t="str">
        <f t="shared" ca="1" si="2"/>
        <v/>
      </c>
      <c r="F52" s="99" t="str">
        <f t="shared" ca="1" si="2"/>
        <v/>
      </c>
      <c r="G52" s="99" t="str">
        <f t="shared" ca="1" si="2"/>
        <v/>
      </c>
      <c r="H52" s="99" t="str">
        <f t="shared" ca="1" si="2"/>
        <v/>
      </c>
      <c r="I52" s="99" t="str">
        <f t="shared" ca="1" si="2"/>
        <v/>
      </c>
      <c r="J52" s="99" t="str">
        <f t="shared" ca="1" si="2"/>
        <v/>
      </c>
      <c r="K52" s="99" t="str">
        <f t="shared" ca="1" si="2"/>
        <v/>
      </c>
      <c r="L52" s="99" t="str">
        <f t="shared" ca="1" si="2"/>
        <v/>
      </c>
      <c r="P52" s="165"/>
      <c r="Q52" s="165"/>
      <c r="R52" s="165"/>
      <c r="S52" s="165"/>
      <c r="T52" s="165"/>
      <c r="U52" s="165"/>
      <c r="V52" s="165"/>
      <c r="W52" s="165"/>
      <c r="X52" s="165"/>
      <c r="Y52" s="165"/>
      <c r="Z52" s="165"/>
    </row>
    <row r="53" spans="2:26">
      <c r="B53" s="97" t="str">
        <f>IF(Calculation!BE59="","",Calculation!BE59)</f>
        <v/>
      </c>
      <c r="C53" s="99" t="str">
        <f t="shared" ca="1" si="2"/>
        <v/>
      </c>
      <c r="D53" s="99" t="str">
        <f t="shared" ca="1" si="2"/>
        <v/>
      </c>
      <c r="E53" s="99" t="str">
        <f t="shared" ca="1" si="2"/>
        <v/>
      </c>
      <c r="F53" s="99" t="str">
        <f t="shared" ca="1" si="2"/>
        <v/>
      </c>
      <c r="G53" s="99" t="str">
        <f t="shared" ca="1" si="2"/>
        <v/>
      </c>
      <c r="H53" s="99" t="str">
        <f t="shared" ca="1" si="2"/>
        <v/>
      </c>
      <c r="I53" s="99" t="str">
        <f t="shared" ca="1" si="2"/>
        <v/>
      </c>
      <c r="J53" s="99" t="str">
        <f t="shared" ca="1" si="2"/>
        <v/>
      </c>
      <c r="K53" s="99" t="str">
        <f t="shared" ca="1" si="2"/>
        <v/>
      </c>
      <c r="L53" s="99" t="str">
        <f t="shared" ca="1" si="2"/>
        <v/>
      </c>
      <c r="P53" s="165"/>
      <c r="Q53" s="165"/>
      <c r="R53" s="165"/>
      <c r="S53" s="165"/>
      <c r="T53" s="165"/>
      <c r="U53" s="165"/>
      <c r="V53" s="165"/>
      <c r="W53" s="165"/>
      <c r="X53" s="165"/>
      <c r="Y53" s="165"/>
      <c r="Z53" s="165"/>
    </row>
    <row r="54" spans="2:26">
      <c r="B54" s="97" t="str">
        <f>IF(Calculation!BE60="","",Calculation!BE60)</f>
        <v/>
      </c>
      <c r="C54" s="99" t="str">
        <f t="shared" ref="C54:L55" ca="1" si="3">IF($M$4=0,"",VLOOKUP($B54,INDIRECT("$P$1:$Z$"&amp;$M$4),COLUMN()-1,0))</f>
        <v/>
      </c>
      <c r="D54" s="99" t="str">
        <f t="shared" ca="1" si="3"/>
        <v/>
      </c>
      <c r="E54" s="99" t="str">
        <f t="shared" ca="1" si="3"/>
        <v/>
      </c>
      <c r="F54" s="99" t="str">
        <f t="shared" ca="1" si="3"/>
        <v/>
      </c>
      <c r="G54" s="99" t="str">
        <f t="shared" ca="1" si="3"/>
        <v/>
      </c>
      <c r="H54" s="99" t="str">
        <f t="shared" ca="1" si="3"/>
        <v/>
      </c>
      <c r="I54" s="99" t="str">
        <f t="shared" ca="1" si="3"/>
        <v/>
      </c>
      <c r="J54" s="99" t="str">
        <f t="shared" ca="1" si="3"/>
        <v/>
      </c>
      <c r="K54" s="99" t="str">
        <f t="shared" ca="1" si="3"/>
        <v/>
      </c>
      <c r="L54" s="99" t="str">
        <f t="shared" ca="1" si="3"/>
        <v/>
      </c>
      <c r="P54" s="165"/>
      <c r="Q54" s="165"/>
      <c r="R54" s="165"/>
      <c r="S54" s="165"/>
      <c r="T54" s="165"/>
      <c r="U54" s="165"/>
      <c r="V54" s="165"/>
      <c r="W54" s="165"/>
      <c r="X54" s="165"/>
      <c r="Y54" s="165"/>
      <c r="Z54" s="165"/>
    </row>
    <row r="55" spans="2:26">
      <c r="B55" s="97" t="str">
        <f>IF(Calculation!BE61="","",Calculation!BE61)</f>
        <v/>
      </c>
      <c r="C55" s="99" t="str">
        <f t="shared" ca="1" si="3"/>
        <v/>
      </c>
      <c r="D55" s="99" t="str">
        <f t="shared" ca="1" si="3"/>
        <v/>
      </c>
      <c r="E55" s="99" t="str">
        <f t="shared" ca="1" si="3"/>
        <v/>
      </c>
      <c r="F55" s="99" t="str">
        <f t="shared" ca="1" si="3"/>
        <v/>
      </c>
      <c r="G55" s="99" t="str">
        <f t="shared" ca="1" si="3"/>
        <v/>
      </c>
      <c r="H55" s="99" t="str">
        <f t="shared" ca="1" si="3"/>
        <v/>
      </c>
      <c r="I55" s="99" t="str">
        <f t="shared" ca="1" si="3"/>
        <v/>
      </c>
      <c r="J55" s="99" t="str">
        <f t="shared" ca="1" si="3"/>
        <v/>
      </c>
      <c r="K55" s="99" t="str">
        <f t="shared" ca="1" si="3"/>
        <v/>
      </c>
      <c r="L55" s="99" t="str">
        <f t="shared" ca="1" si="3"/>
        <v/>
      </c>
      <c r="P55" s="165"/>
      <c r="Q55" s="165"/>
      <c r="R55" s="165"/>
      <c r="S55" s="165"/>
      <c r="T55" s="165"/>
      <c r="U55" s="165"/>
      <c r="V55" s="165"/>
      <c r="W55" s="165"/>
      <c r="X55" s="165"/>
      <c r="Y55" s="165"/>
      <c r="Z55" s="165"/>
    </row>
    <row r="56" spans="2:26">
      <c r="P56" s="165"/>
      <c r="Q56" s="165"/>
      <c r="R56" s="165"/>
      <c r="S56" s="165"/>
      <c r="T56" s="165"/>
      <c r="U56" s="165"/>
      <c r="V56" s="165"/>
      <c r="W56" s="165"/>
      <c r="X56" s="165"/>
      <c r="Y56" s="165"/>
      <c r="Z56" s="165"/>
    </row>
    <row r="57" spans="2:26">
      <c r="P57" s="165"/>
      <c r="Q57" s="165"/>
      <c r="R57" s="165"/>
      <c r="S57" s="165"/>
      <c r="T57" s="165"/>
      <c r="U57" s="165"/>
      <c r="V57" s="165"/>
      <c r="W57" s="165"/>
      <c r="X57" s="165"/>
      <c r="Y57" s="165"/>
      <c r="Z57" s="165"/>
    </row>
    <row r="58" spans="2:26">
      <c r="P58" s="165"/>
      <c r="Q58" s="165"/>
      <c r="R58" s="165"/>
      <c r="S58" s="165"/>
      <c r="T58" s="165"/>
      <c r="U58" s="165"/>
      <c r="V58" s="165"/>
      <c r="W58" s="165"/>
      <c r="X58" s="165"/>
      <c r="Y58" s="165"/>
      <c r="Z58" s="165"/>
    </row>
    <row r="59" spans="2:26">
      <c r="P59" s="165"/>
      <c r="Q59" s="165"/>
      <c r="R59" s="165"/>
      <c r="S59" s="165"/>
      <c r="T59" s="165"/>
      <c r="U59" s="165"/>
      <c r="V59" s="165"/>
      <c r="W59" s="165"/>
      <c r="X59" s="165"/>
      <c r="Y59" s="165"/>
      <c r="Z59" s="165"/>
    </row>
    <row r="60" spans="2:26">
      <c r="P60" s="165"/>
      <c r="Q60" s="165"/>
      <c r="R60" s="165"/>
      <c r="S60" s="165"/>
      <c r="T60" s="165"/>
      <c r="U60" s="165"/>
      <c r="V60" s="165"/>
      <c r="W60" s="165"/>
      <c r="X60" s="165"/>
      <c r="Y60" s="165"/>
      <c r="Z60" s="165"/>
    </row>
    <row r="61" spans="2:26">
      <c r="P61" s="165"/>
      <c r="Q61" s="165"/>
      <c r="R61" s="165"/>
      <c r="S61" s="165"/>
      <c r="T61" s="165"/>
      <c r="U61" s="165"/>
      <c r="V61" s="165"/>
      <c r="W61" s="165"/>
      <c r="X61" s="165"/>
      <c r="Y61" s="165"/>
      <c r="Z61" s="165"/>
    </row>
    <row r="62" spans="2:26">
      <c r="P62" s="165"/>
      <c r="Q62" s="165"/>
      <c r="R62" s="165"/>
      <c r="S62" s="165"/>
      <c r="T62" s="165"/>
      <c r="U62" s="165"/>
      <c r="V62" s="165"/>
      <c r="W62" s="165"/>
      <c r="X62" s="165"/>
      <c r="Y62" s="165"/>
      <c r="Z62" s="165"/>
    </row>
    <row r="63" spans="2:26">
      <c r="P63" s="165"/>
      <c r="Q63" s="165"/>
      <c r="R63" s="165"/>
      <c r="S63" s="165"/>
      <c r="T63" s="165"/>
      <c r="U63" s="165"/>
      <c r="V63" s="165"/>
      <c r="W63" s="165"/>
      <c r="X63" s="165"/>
      <c r="Y63" s="165"/>
      <c r="Z63" s="165"/>
    </row>
    <row r="64" spans="2:26">
      <c r="P64" s="165"/>
      <c r="Q64" s="165"/>
      <c r="R64" s="165"/>
      <c r="S64" s="165"/>
      <c r="T64" s="165"/>
      <c r="U64" s="165"/>
      <c r="V64" s="165"/>
      <c r="W64" s="165"/>
      <c r="X64" s="165"/>
      <c r="Y64" s="165"/>
      <c r="Z64" s="165"/>
    </row>
    <row r="65" spans="16:26">
      <c r="P65" s="165"/>
      <c r="Q65" s="165"/>
      <c r="R65" s="165"/>
      <c r="S65" s="165"/>
      <c r="T65" s="165"/>
      <c r="U65" s="165"/>
      <c r="V65" s="165"/>
      <c r="W65" s="165"/>
      <c r="X65" s="165"/>
      <c r="Y65" s="165"/>
      <c r="Z65" s="165"/>
    </row>
    <row r="66" spans="16:26">
      <c r="P66" s="165"/>
      <c r="Q66" s="165"/>
      <c r="R66" s="165"/>
      <c r="S66" s="165"/>
      <c r="T66" s="165"/>
      <c r="U66" s="165"/>
      <c r="V66" s="165"/>
      <c r="W66" s="165"/>
      <c r="X66" s="165"/>
      <c r="Y66" s="165"/>
      <c r="Z66" s="165"/>
    </row>
    <row r="67" spans="16:26">
      <c r="P67" s="165"/>
      <c r="Q67" s="165"/>
      <c r="R67" s="165"/>
      <c r="S67" s="165"/>
      <c r="T67" s="165"/>
      <c r="U67" s="165"/>
      <c r="V67" s="165"/>
      <c r="W67" s="165"/>
      <c r="X67" s="165"/>
      <c r="Y67" s="165"/>
      <c r="Z67" s="165"/>
    </row>
    <row r="68" spans="16:26">
      <c r="P68" s="165"/>
      <c r="Q68" s="165"/>
      <c r="R68" s="165"/>
      <c r="S68" s="165"/>
      <c r="T68" s="165"/>
      <c r="U68" s="165"/>
      <c r="V68" s="165"/>
      <c r="W68" s="165"/>
      <c r="X68" s="165"/>
      <c r="Y68" s="165"/>
      <c r="Z68" s="165"/>
    </row>
    <row r="69" spans="16:26">
      <c r="P69" s="165"/>
      <c r="Q69" s="165"/>
      <c r="R69" s="165"/>
      <c r="S69" s="165"/>
      <c r="T69" s="165"/>
      <c r="U69" s="165"/>
      <c r="V69" s="165"/>
      <c r="W69" s="165"/>
      <c r="X69" s="165"/>
      <c r="Y69" s="165"/>
      <c r="Z69" s="165"/>
    </row>
    <row r="70" spans="16:26">
      <c r="P70" s="165"/>
      <c r="Q70" s="165"/>
      <c r="R70" s="165"/>
      <c r="S70" s="165"/>
      <c r="T70" s="165"/>
      <c r="U70" s="165"/>
      <c r="V70" s="165"/>
      <c r="W70" s="165"/>
      <c r="X70" s="165"/>
      <c r="Y70" s="165"/>
      <c r="Z70" s="165"/>
    </row>
    <row r="71" spans="16:26">
      <c r="P71" s="165"/>
      <c r="Q71" s="165"/>
      <c r="R71" s="165"/>
      <c r="S71" s="165"/>
      <c r="T71" s="165"/>
      <c r="U71" s="165"/>
      <c r="V71" s="165"/>
      <c r="W71" s="165"/>
      <c r="X71" s="165"/>
      <c r="Y71" s="165"/>
      <c r="Z71" s="165"/>
    </row>
    <row r="72" spans="16:26">
      <c r="P72" s="165"/>
      <c r="Q72" s="165"/>
      <c r="R72" s="165"/>
      <c r="S72" s="165"/>
      <c r="T72" s="165"/>
      <c r="U72" s="165"/>
      <c r="V72" s="165"/>
      <c r="W72" s="165"/>
      <c r="X72" s="165"/>
      <c r="Y72" s="165"/>
      <c r="Z72" s="165"/>
    </row>
    <row r="73" spans="16:26">
      <c r="P73" s="165"/>
      <c r="Q73" s="165"/>
      <c r="R73" s="165"/>
      <c r="S73" s="165"/>
      <c r="T73" s="165"/>
      <c r="U73" s="165"/>
      <c r="V73" s="165"/>
      <c r="W73" s="165"/>
      <c r="X73" s="165"/>
      <c r="Y73" s="165"/>
      <c r="Z73" s="165"/>
    </row>
    <row r="74" spans="16:26">
      <c r="P74" s="165"/>
      <c r="Q74" s="165"/>
      <c r="R74" s="165"/>
      <c r="S74" s="165"/>
      <c r="T74" s="165"/>
      <c r="U74" s="165"/>
      <c r="V74" s="165"/>
      <c r="W74" s="165"/>
      <c r="X74" s="165"/>
      <c r="Y74" s="165"/>
      <c r="Z74" s="165"/>
    </row>
    <row r="75" spans="16:26">
      <c r="P75" s="165"/>
      <c r="Q75" s="165"/>
      <c r="R75" s="165"/>
      <c r="S75" s="165"/>
      <c r="T75" s="165"/>
      <c r="U75" s="165"/>
      <c r="V75" s="165"/>
      <c r="W75" s="165"/>
      <c r="X75" s="165"/>
      <c r="Y75" s="165"/>
      <c r="Z75" s="165"/>
    </row>
    <row r="76" spans="16:26">
      <c r="P76" s="165"/>
      <c r="Q76" s="165"/>
      <c r="R76" s="165"/>
      <c r="S76" s="165"/>
      <c r="T76" s="165"/>
      <c r="U76" s="165"/>
      <c r="V76" s="165"/>
      <c r="W76" s="165"/>
      <c r="X76" s="165"/>
      <c r="Y76" s="165"/>
      <c r="Z76" s="165"/>
    </row>
    <row r="77" spans="16:26">
      <c r="P77" s="165"/>
      <c r="Q77" s="165"/>
      <c r="R77" s="165"/>
      <c r="S77" s="165"/>
      <c r="T77" s="165"/>
      <c r="U77" s="165"/>
      <c r="V77" s="165"/>
      <c r="W77" s="165"/>
      <c r="X77" s="165"/>
      <c r="Y77" s="165"/>
      <c r="Z77" s="165"/>
    </row>
    <row r="78" spans="16:26">
      <c r="P78" s="165"/>
      <c r="Q78" s="165"/>
      <c r="R78" s="165"/>
      <c r="S78" s="165"/>
      <c r="T78" s="165"/>
      <c r="U78" s="165"/>
      <c r="V78" s="165"/>
      <c r="W78" s="165"/>
      <c r="X78" s="165"/>
      <c r="Y78" s="165"/>
      <c r="Z78" s="165"/>
    </row>
    <row r="79" spans="16:26">
      <c r="P79" s="165"/>
      <c r="Q79" s="165"/>
      <c r="R79" s="165"/>
      <c r="S79" s="165"/>
      <c r="T79" s="165"/>
      <c r="U79" s="165"/>
      <c r="V79" s="165"/>
      <c r="W79" s="165"/>
      <c r="X79" s="165"/>
      <c r="Y79" s="165"/>
      <c r="Z79" s="165"/>
    </row>
    <row r="80" spans="16:26">
      <c r="P80" s="165"/>
      <c r="Q80" s="165"/>
      <c r="R80" s="165"/>
      <c r="S80" s="165"/>
      <c r="T80" s="165"/>
      <c r="U80" s="165"/>
      <c r="V80" s="165"/>
      <c r="W80" s="165"/>
      <c r="X80" s="165"/>
      <c r="Y80" s="165"/>
      <c r="Z80" s="165"/>
    </row>
    <row r="81" spans="16:26">
      <c r="P81" s="165"/>
      <c r="Q81" s="165"/>
      <c r="R81" s="165"/>
      <c r="S81" s="165"/>
      <c r="T81" s="165"/>
      <c r="U81" s="165"/>
      <c r="V81" s="165"/>
      <c r="W81" s="165"/>
      <c r="X81" s="165"/>
      <c r="Y81" s="165"/>
      <c r="Z81" s="165"/>
    </row>
    <row r="82" spans="16:26">
      <c r="P82" s="165"/>
      <c r="Q82" s="165"/>
      <c r="R82" s="165"/>
      <c r="S82" s="165"/>
      <c r="T82" s="165"/>
      <c r="U82" s="165"/>
      <c r="V82" s="165"/>
      <c r="W82" s="165"/>
      <c r="X82" s="165"/>
      <c r="Y82" s="165"/>
      <c r="Z82" s="165"/>
    </row>
    <row r="83" spans="16:26">
      <c r="P83" s="165"/>
      <c r="Q83" s="165"/>
      <c r="R83" s="165"/>
      <c r="S83" s="165"/>
      <c r="T83" s="165"/>
      <c r="U83" s="165"/>
      <c r="V83" s="165"/>
      <c r="W83" s="165"/>
      <c r="X83" s="165"/>
      <c r="Y83" s="165"/>
      <c r="Z83" s="165"/>
    </row>
    <row r="84" spans="16:26">
      <c r="P84" s="165"/>
      <c r="Q84" s="165"/>
      <c r="R84" s="165"/>
      <c r="S84" s="165"/>
      <c r="T84" s="165"/>
      <c r="U84" s="165"/>
      <c r="V84" s="165"/>
      <c r="W84" s="165"/>
      <c r="X84" s="165"/>
      <c r="Y84" s="165"/>
      <c r="Z84" s="165"/>
    </row>
    <row r="85" spans="16:26">
      <c r="P85" s="165"/>
      <c r="Q85" s="165"/>
      <c r="R85" s="165"/>
      <c r="S85" s="165"/>
      <c r="T85" s="165"/>
      <c r="U85" s="165"/>
      <c r="V85" s="165"/>
      <c r="W85" s="165"/>
      <c r="X85" s="165"/>
      <c r="Y85" s="165"/>
      <c r="Z85" s="165"/>
    </row>
    <row r="86" spans="16:26">
      <c r="P86" s="165"/>
      <c r="Q86" s="165"/>
      <c r="R86" s="165"/>
      <c r="S86" s="165"/>
      <c r="T86" s="165"/>
      <c r="U86" s="165"/>
      <c r="V86" s="165"/>
      <c r="W86" s="165"/>
      <c r="X86" s="165"/>
      <c r="Y86" s="165"/>
      <c r="Z86" s="165"/>
    </row>
    <row r="87" spans="16:26">
      <c r="P87" s="165"/>
      <c r="Q87" s="165"/>
      <c r="R87" s="165"/>
      <c r="S87" s="165"/>
      <c r="T87" s="165"/>
      <c r="U87" s="165"/>
      <c r="V87" s="165"/>
      <c r="W87" s="165"/>
      <c r="X87" s="165"/>
      <c r="Y87" s="165"/>
      <c r="Z87" s="165"/>
    </row>
    <row r="88" spans="16:26">
      <c r="P88" s="165"/>
      <c r="Q88" s="165"/>
      <c r="R88" s="165"/>
      <c r="S88" s="165"/>
      <c r="T88" s="165"/>
      <c r="U88" s="165"/>
      <c r="V88" s="165"/>
      <c r="W88" s="165"/>
      <c r="X88" s="165"/>
      <c r="Y88" s="165"/>
      <c r="Z88" s="165"/>
    </row>
    <row r="89" spans="16:26">
      <c r="P89" s="165"/>
      <c r="Q89" s="165"/>
      <c r="R89" s="165"/>
      <c r="S89" s="165"/>
      <c r="T89" s="165"/>
      <c r="U89" s="165"/>
      <c r="V89" s="165"/>
      <c r="W89" s="165"/>
      <c r="X89" s="165"/>
      <c r="Y89" s="165"/>
      <c r="Z89" s="165"/>
    </row>
    <row r="90" spans="16:26">
      <c r="P90" s="165"/>
      <c r="Q90" s="165"/>
      <c r="R90" s="165"/>
      <c r="S90" s="165"/>
      <c r="T90" s="165"/>
      <c r="U90" s="165"/>
      <c r="V90" s="165"/>
      <c r="W90" s="165"/>
      <c r="X90" s="165"/>
      <c r="Y90" s="165"/>
      <c r="Z90" s="165"/>
    </row>
    <row r="91" spans="16:26">
      <c r="P91" s="165"/>
      <c r="Q91" s="165"/>
      <c r="R91" s="165"/>
      <c r="S91" s="165"/>
      <c r="T91" s="165"/>
      <c r="U91" s="165"/>
      <c r="V91" s="165"/>
      <c r="W91" s="165"/>
      <c r="X91" s="165"/>
      <c r="Y91" s="165"/>
      <c r="Z91" s="165"/>
    </row>
    <row r="92" spans="16:26">
      <c r="P92" s="165"/>
      <c r="Q92" s="165"/>
      <c r="R92" s="165"/>
      <c r="S92" s="165"/>
      <c r="T92" s="165"/>
      <c r="U92" s="165"/>
      <c r="V92" s="165"/>
      <c r="W92" s="165"/>
      <c r="X92" s="165"/>
      <c r="Y92" s="165"/>
      <c r="Z92" s="165"/>
    </row>
    <row r="93" spans="16:26">
      <c r="P93" s="165"/>
      <c r="Q93" s="165"/>
      <c r="R93" s="165"/>
      <c r="S93" s="165"/>
      <c r="T93" s="165"/>
      <c r="U93" s="165"/>
      <c r="V93" s="165"/>
      <c r="W93" s="165"/>
      <c r="X93" s="165"/>
      <c r="Y93" s="165"/>
      <c r="Z93" s="165"/>
    </row>
    <row r="94" spans="16:26">
      <c r="P94" s="165"/>
      <c r="Q94" s="165"/>
      <c r="R94" s="165"/>
      <c r="S94" s="165"/>
      <c r="T94" s="165"/>
      <c r="U94" s="165"/>
      <c r="V94" s="165"/>
      <c r="W94" s="165"/>
      <c r="X94" s="165"/>
      <c r="Y94" s="165"/>
      <c r="Z94" s="165"/>
    </row>
    <row r="95" spans="16:26">
      <c r="P95" s="165"/>
      <c r="Q95" s="165"/>
      <c r="R95" s="165"/>
      <c r="S95" s="165"/>
      <c r="T95" s="165"/>
      <c r="U95" s="165"/>
      <c r="V95" s="165"/>
      <c r="W95" s="165"/>
      <c r="X95" s="165"/>
      <c r="Y95" s="165"/>
      <c r="Z95" s="165"/>
    </row>
    <row r="96" spans="16:26">
      <c r="P96" s="165"/>
      <c r="Q96" s="165"/>
      <c r="R96" s="165"/>
      <c r="S96" s="165"/>
      <c r="T96" s="165"/>
      <c r="U96" s="165"/>
      <c r="V96" s="165"/>
      <c r="W96" s="165"/>
      <c r="X96" s="165"/>
      <c r="Y96" s="165"/>
      <c r="Z96" s="165"/>
    </row>
    <row r="97" spans="16:26">
      <c r="P97" s="165"/>
      <c r="Q97" s="165"/>
      <c r="R97" s="165"/>
      <c r="S97" s="165"/>
      <c r="T97" s="165"/>
      <c r="U97" s="165"/>
      <c r="V97" s="165"/>
      <c r="W97" s="165"/>
      <c r="X97" s="165"/>
      <c r="Y97" s="165"/>
      <c r="Z97" s="165"/>
    </row>
    <row r="98" spans="16:26">
      <c r="P98" s="165"/>
      <c r="Q98" s="165"/>
      <c r="R98" s="165"/>
      <c r="S98" s="165"/>
      <c r="T98" s="165"/>
      <c r="U98" s="165"/>
      <c r="V98" s="165"/>
      <c r="W98" s="165"/>
      <c r="X98" s="165"/>
      <c r="Y98" s="165"/>
      <c r="Z98" s="165"/>
    </row>
    <row r="99" spans="16:26">
      <c r="P99" s="165"/>
      <c r="Q99" s="165"/>
      <c r="R99" s="165"/>
      <c r="S99" s="165"/>
      <c r="T99" s="165"/>
      <c r="U99" s="165"/>
      <c r="V99" s="165"/>
      <c r="W99" s="165"/>
      <c r="X99" s="165"/>
      <c r="Y99" s="165"/>
      <c r="Z99" s="165"/>
    </row>
    <row r="100" spans="16:26">
      <c r="P100" s="165"/>
      <c r="Q100" s="165"/>
      <c r="R100" s="165"/>
      <c r="S100" s="165"/>
      <c r="T100" s="165"/>
      <c r="U100" s="165"/>
      <c r="V100" s="165"/>
      <c r="W100" s="165"/>
      <c r="X100" s="165"/>
      <c r="Y100" s="165"/>
      <c r="Z100" s="165"/>
    </row>
    <row r="101" spans="16:26">
      <c r="P101" s="165"/>
      <c r="Q101" s="165"/>
      <c r="R101" s="165"/>
      <c r="S101" s="165"/>
      <c r="T101" s="165"/>
      <c r="U101" s="165"/>
      <c r="V101" s="165"/>
      <c r="W101" s="165"/>
      <c r="X101" s="165"/>
      <c r="Y101" s="165"/>
      <c r="Z101" s="165"/>
    </row>
    <row r="102" spans="16:26">
      <c r="P102" s="165"/>
      <c r="Q102" s="165"/>
      <c r="R102" s="165"/>
      <c r="S102" s="165"/>
      <c r="T102" s="165"/>
      <c r="U102" s="165"/>
      <c r="V102" s="165"/>
      <c r="W102" s="165"/>
      <c r="X102" s="165"/>
      <c r="Y102" s="165"/>
      <c r="Z102" s="165"/>
    </row>
    <row r="103" spans="16:26">
      <c r="P103" s="165"/>
      <c r="Q103" s="165"/>
      <c r="R103" s="165"/>
      <c r="S103" s="165"/>
      <c r="T103" s="165"/>
      <c r="U103" s="165"/>
      <c r="V103" s="165"/>
      <c r="W103" s="165"/>
      <c r="X103" s="165"/>
      <c r="Y103" s="165"/>
      <c r="Z103" s="165"/>
    </row>
    <row r="104" spans="16:26">
      <c r="P104" s="165"/>
      <c r="Q104" s="165"/>
      <c r="R104" s="165"/>
      <c r="S104" s="165"/>
      <c r="T104" s="165"/>
      <c r="U104" s="165"/>
      <c r="V104" s="165"/>
      <c r="W104" s="165"/>
      <c r="X104" s="165"/>
      <c r="Y104" s="165"/>
      <c r="Z104" s="165"/>
    </row>
    <row r="105" spans="16:26">
      <c r="P105" s="165"/>
      <c r="Q105" s="165"/>
      <c r="R105" s="165"/>
      <c r="S105" s="165"/>
      <c r="T105" s="165"/>
      <c r="U105" s="165"/>
      <c r="V105" s="165"/>
      <c r="W105" s="165"/>
      <c r="X105" s="165"/>
      <c r="Y105" s="165"/>
      <c r="Z105" s="165"/>
    </row>
    <row r="106" spans="16:26">
      <c r="P106" s="165"/>
      <c r="Q106" s="165"/>
      <c r="R106" s="165"/>
      <c r="S106" s="165"/>
      <c r="T106" s="165"/>
      <c r="U106" s="165"/>
      <c r="V106" s="165"/>
      <c r="W106" s="165"/>
      <c r="X106" s="165"/>
      <c r="Y106" s="165"/>
      <c r="Z106" s="165"/>
    </row>
    <row r="107" spans="16:26">
      <c r="P107" s="165"/>
      <c r="Q107" s="165"/>
      <c r="R107" s="165"/>
      <c r="S107" s="165"/>
      <c r="T107" s="165"/>
      <c r="U107" s="165"/>
      <c r="V107" s="165"/>
      <c r="W107" s="165"/>
      <c r="X107" s="165"/>
      <c r="Y107" s="165"/>
      <c r="Z107" s="165"/>
    </row>
    <row r="108" spans="16:26">
      <c r="P108" s="165"/>
      <c r="Q108" s="165"/>
      <c r="R108" s="165"/>
      <c r="S108" s="165"/>
      <c r="T108" s="165"/>
      <c r="U108" s="165"/>
      <c r="V108" s="165"/>
      <c r="W108" s="165"/>
      <c r="X108" s="165"/>
      <c r="Y108" s="165"/>
      <c r="Z108" s="165"/>
    </row>
    <row r="109" spans="16:26">
      <c r="P109" s="165"/>
      <c r="Q109" s="165"/>
      <c r="R109" s="165"/>
      <c r="S109" s="165"/>
      <c r="T109" s="165"/>
      <c r="U109" s="165"/>
      <c r="V109" s="165"/>
      <c r="W109" s="165"/>
      <c r="X109" s="165"/>
      <c r="Y109" s="165"/>
      <c r="Z109" s="165"/>
    </row>
    <row r="110" spans="16:26">
      <c r="P110" s="165"/>
      <c r="Q110" s="165"/>
      <c r="R110" s="165"/>
      <c r="S110" s="165"/>
      <c r="T110" s="165"/>
      <c r="U110" s="165"/>
      <c r="V110" s="165"/>
      <c r="W110" s="165"/>
      <c r="X110" s="165"/>
      <c r="Y110" s="165"/>
      <c r="Z110" s="165"/>
    </row>
    <row r="111" spans="16:26">
      <c r="P111" s="165"/>
      <c r="Q111" s="165"/>
      <c r="R111" s="165"/>
      <c r="S111" s="165"/>
      <c r="T111" s="165"/>
      <c r="U111" s="165"/>
      <c r="V111" s="165"/>
      <c r="W111" s="165"/>
      <c r="X111" s="165"/>
      <c r="Y111" s="165"/>
      <c r="Z111" s="165"/>
    </row>
    <row r="112" spans="16:26">
      <c r="P112" s="165"/>
      <c r="Q112" s="165"/>
      <c r="R112" s="165"/>
      <c r="S112" s="165"/>
      <c r="T112" s="165"/>
      <c r="U112" s="165"/>
      <c r="V112" s="165"/>
      <c r="W112" s="165"/>
      <c r="X112" s="165"/>
      <c r="Y112" s="165"/>
      <c r="Z112" s="165"/>
    </row>
    <row r="113" spans="16:26">
      <c r="P113" s="165"/>
      <c r="Q113" s="165"/>
      <c r="R113" s="165"/>
      <c r="S113" s="165"/>
      <c r="T113" s="165"/>
      <c r="U113" s="165"/>
      <c r="V113" s="165"/>
      <c r="W113" s="165"/>
      <c r="X113" s="165"/>
      <c r="Y113" s="165"/>
      <c r="Z113" s="165"/>
    </row>
    <row r="114" spans="16:26">
      <c r="P114" s="165"/>
      <c r="Q114" s="165"/>
      <c r="R114" s="165"/>
      <c r="S114" s="165"/>
      <c r="T114" s="165"/>
      <c r="U114" s="165"/>
      <c r="V114" s="165"/>
      <c r="W114" s="165"/>
      <c r="X114" s="165"/>
      <c r="Y114" s="165"/>
      <c r="Z114" s="165"/>
    </row>
    <row r="115" spans="16:26">
      <c r="P115" s="165"/>
      <c r="Q115" s="165"/>
      <c r="R115" s="165"/>
      <c r="S115" s="165"/>
      <c r="T115" s="165"/>
      <c r="U115" s="165"/>
      <c r="V115" s="165"/>
      <c r="W115" s="165"/>
      <c r="X115" s="165"/>
      <c r="Y115" s="165"/>
      <c r="Z115" s="165"/>
    </row>
    <row r="116" spans="16:26">
      <c r="P116" s="165"/>
      <c r="Q116" s="165"/>
      <c r="R116" s="165"/>
      <c r="S116" s="165"/>
      <c r="T116" s="165"/>
      <c r="U116" s="165"/>
      <c r="V116" s="165"/>
      <c r="W116" s="165"/>
      <c r="X116" s="165"/>
      <c r="Y116" s="165"/>
      <c r="Z116" s="165"/>
    </row>
    <row r="117" spans="16:26">
      <c r="P117" s="165"/>
      <c r="Q117" s="165"/>
      <c r="R117" s="165"/>
      <c r="S117" s="165"/>
      <c r="T117" s="165"/>
      <c r="U117" s="165"/>
      <c r="V117" s="165"/>
      <c r="W117" s="165"/>
      <c r="X117" s="165"/>
      <c r="Y117" s="165"/>
      <c r="Z117" s="165"/>
    </row>
    <row r="118" spans="16:26">
      <c r="P118" s="165"/>
      <c r="Q118" s="165"/>
      <c r="R118" s="165"/>
      <c r="S118" s="165"/>
      <c r="T118" s="165"/>
      <c r="U118" s="165"/>
      <c r="V118" s="165"/>
      <c r="W118" s="165"/>
      <c r="X118" s="165"/>
      <c r="Y118" s="165"/>
      <c r="Z118" s="165"/>
    </row>
    <row r="119" spans="16:26">
      <c r="P119" s="165"/>
      <c r="Q119" s="165"/>
      <c r="R119" s="165"/>
      <c r="S119" s="165"/>
      <c r="T119" s="165"/>
      <c r="U119" s="165"/>
      <c r="V119" s="165"/>
      <c r="W119" s="165"/>
      <c r="X119" s="165"/>
      <c r="Y119" s="165"/>
      <c r="Z119" s="165"/>
    </row>
    <row r="120" spans="16:26">
      <c r="P120" s="165"/>
      <c r="Q120" s="165"/>
      <c r="R120" s="165"/>
      <c r="S120" s="165"/>
      <c r="T120" s="165"/>
      <c r="U120" s="165"/>
      <c r="V120" s="165"/>
      <c r="W120" s="165"/>
      <c r="X120" s="165"/>
      <c r="Y120" s="165"/>
      <c r="Z120" s="165"/>
    </row>
    <row r="121" spans="16:26">
      <c r="P121" s="165"/>
      <c r="Q121" s="165"/>
      <c r="R121" s="165"/>
      <c r="S121" s="165"/>
      <c r="T121" s="165"/>
      <c r="U121" s="165"/>
      <c r="V121" s="165"/>
      <c r="W121" s="165"/>
      <c r="X121" s="165"/>
      <c r="Y121" s="165"/>
      <c r="Z121" s="165"/>
    </row>
    <row r="122" spans="16:26">
      <c r="P122" s="165"/>
      <c r="Q122" s="165"/>
      <c r="R122" s="165"/>
      <c r="S122" s="165"/>
      <c r="T122" s="165"/>
      <c r="U122" s="165"/>
      <c r="V122" s="165"/>
      <c r="W122" s="165"/>
      <c r="X122" s="165"/>
      <c r="Y122" s="165"/>
      <c r="Z122" s="165"/>
    </row>
    <row r="123" spans="16:26">
      <c r="P123" s="165"/>
      <c r="Q123" s="165"/>
      <c r="R123" s="165"/>
      <c r="S123" s="165"/>
      <c r="T123" s="165"/>
      <c r="U123" s="165"/>
      <c r="V123" s="165"/>
      <c r="W123" s="165"/>
      <c r="X123" s="165"/>
      <c r="Y123" s="165"/>
      <c r="Z123" s="165"/>
    </row>
    <row r="124" spans="16:26">
      <c r="P124" s="165"/>
      <c r="Q124" s="165"/>
      <c r="R124" s="165"/>
      <c r="S124" s="165"/>
      <c r="T124" s="165"/>
      <c r="U124" s="165"/>
      <c r="V124" s="165"/>
      <c r="W124" s="165"/>
      <c r="X124" s="165"/>
      <c r="Y124" s="165"/>
      <c r="Z124" s="165"/>
    </row>
    <row r="125" spans="16:26">
      <c r="P125" s="165"/>
      <c r="Q125" s="165"/>
      <c r="R125" s="165"/>
      <c r="S125" s="165"/>
      <c r="T125" s="165"/>
      <c r="U125" s="165"/>
      <c r="V125" s="165"/>
      <c r="W125" s="165"/>
      <c r="X125" s="165"/>
      <c r="Y125" s="165"/>
      <c r="Z125" s="165"/>
    </row>
    <row r="126" spans="16:26">
      <c r="P126" s="165"/>
      <c r="Q126" s="165"/>
      <c r="R126" s="165"/>
      <c r="S126" s="165"/>
      <c r="T126" s="165"/>
      <c r="U126" s="165"/>
      <c r="V126" s="165"/>
      <c r="W126" s="165"/>
      <c r="X126" s="165"/>
      <c r="Y126" s="165"/>
      <c r="Z126" s="165"/>
    </row>
    <row r="127" spans="16:26">
      <c r="P127" s="165"/>
      <c r="Q127" s="165"/>
      <c r="R127" s="165"/>
      <c r="S127" s="165"/>
      <c r="T127" s="165"/>
      <c r="U127" s="165"/>
      <c r="V127" s="165"/>
      <c r="W127" s="165"/>
      <c r="X127" s="165"/>
      <c r="Y127" s="165"/>
      <c r="Z127" s="165"/>
    </row>
    <row r="128" spans="16:26">
      <c r="P128" s="165"/>
      <c r="Q128" s="165"/>
      <c r="R128" s="165"/>
      <c r="S128" s="165"/>
      <c r="T128" s="165"/>
      <c r="U128" s="165"/>
      <c r="V128" s="165"/>
      <c r="W128" s="165"/>
      <c r="X128" s="165"/>
      <c r="Y128" s="165"/>
      <c r="Z128" s="165"/>
    </row>
    <row r="129" spans="16:26">
      <c r="P129" s="165"/>
      <c r="Q129" s="165"/>
      <c r="R129" s="165"/>
      <c r="S129" s="165"/>
      <c r="T129" s="165"/>
      <c r="U129" s="165"/>
      <c r="V129" s="165"/>
      <c r="W129" s="165"/>
      <c r="X129" s="165"/>
      <c r="Y129" s="165"/>
      <c r="Z129" s="165"/>
    </row>
    <row r="130" spans="16:26">
      <c r="P130" s="165"/>
      <c r="Q130" s="165"/>
      <c r="R130" s="165"/>
      <c r="S130" s="165"/>
      <c r="T130" s="165"/>
      <c r="U130" s="165"/>
      <c r="V130" s="165"/>
      <c r="W130" s="165"/>
      <c r="X130" s="165"/>
      <c r="Y130" s="165"/>
      <c r="Z130" s="165"/>
    </row>
    <row r="131" spans="16:26">
      <c r="P131" s="165"/>
      <c r="Q131" s="165"/>
      <c r="R131" s="165"/>
      <c r="S131" s="165"/>
      <c r="T131" s="165"/>
      <c r="U131" s="165"/>
      <c r="V131" s="165"/>
      <c r="W131" s="165"/>
      <c r="X131" s="165"/>
      <c r="Y131" s="165"/>
      <c r="Z131" s="165"/>
    </row>
    <row r="132" spans="16:26">
      <c r="P132" s="165"/>
      <c r="Q132" s="165"/>
      <c r="R132" s="165"/>
      <c r="S132" s="165"/>
      <c r="T132" s="165"/>
      <c r="U132" s="165"/>
      <c r="V132" s="165"/>
      <c r="W132" s="165"/>
      <c r="X132" s="165"/>
      <c r="Y132" s="165"/>
      <c r="Z132" s="165"/>
    </row>
    <row r="133" spans="16:26">
      <c r="P133" s="165"/>
      <c r="Q133" s="165"/>
      <c r="R133" s="165"/>
      <c r="S133" s="165"/>
      <c r="T133" s="165"/>
      <c r="U133" s="165"/>
      <c r="V133" s="165"/>
      <c r="W133" s="165"/>
      <c r="X133" s="165"/>
      <c r="Y133" s="165"/>
      <c r="Z133" s="165"/>
    </row>
    <row r="134" spans="16:26">
      <c r="P134" s="165"/>
      <c r="Q134" s="165"/>
      <c r="R134" s="165"/>
      <c r="S134" s="165"/>
      <c r="T134" s="165"/>
      <c r="U134" s="165"/>
      <c r="V134" s="165"/>
      <c r="W134" s="165"/>
      <c r="X134" s="165"/>
      <c r="Y134" s="165"/>
      <c r="Z134" s="165"/>
    </row>
    <row r="135" spans="16:26">
      <c r="P135" s="165"/>
      <c r="Q135" s="165"/>
      <c r="R135" s="165"/>
      <c r="S135" s="165"/>
      <c r="T135" s="165"/>
      <c r="U135" s="165"/>
      <c r="V135" s="165"/>
      <c r="W135" s="165"/>
      <c r="X135" s="165"/>
      <c r="Y135" s="165"/>
      <c r="Z135" s="165"/>
    </row>
    <row r="136" spans="16:26">
      <c r="P136" s="165"/>
      <c r="Q136" s="165"/>
      <c r="R136" s="165"/>
      <c r="S136" s="165"/>
      <c r="T136" s="165"/>
      <c r="U136" s="165"/>
      <c r="V136" s="165"/>
      <c r="W136" s="165"/>
      <c r="X136" s="165"/>
      <c r="Y136" s="165"/>
      <c r="Z136" s="165"/>
    </row>
    <row r="137" spans="16:26">
      <c r="P137" s="165"/>
      <c r="Q137" s="165"/>
      <c r="R137" s="165"/>
      <c r="S137" s="165"/>
      <c r="T137" s="165"/>
      <c r="U137" s="165"/>
      <c r="V137" s="165"/>
      <c r="W137" s="165"/>
      <c r="X137" s="165"/>
      <c r="Y137" s="165"/>
      <c r="Z137" s="165"/>
    </row>
    <row r="138" spans="16:26">
      <c r="P138" s="165"/>
      <c r="Q138" s="165"/>
      <c r="R138" s="165"/>
      <c r="S138" s="165"/>
      <c r="T138" s="165"/>
      <c r="U138" s="165"/>
      <c r="V138" s="165"/>
      <c r="W138" s="165"/>
      <c r="X138" s="165"/>
      <c r="Y138" s="165"/>
      <c r="Z138" s="165"/>
    </row>
    <row r="139" spans="16:26">
      <c r="P139" s="165"/>
      <c r="Q139" s="165"/>
      <c r="R139" s="165"/>
      <c r="S139" s="165"/>
      <c r="T139" s="165"/>
      <c r="U139" s="165"/>
      <c r="V139" s="165"/>
      <c r="W139" s="165"/>
      <c r="X139" s="165"/>
      <c r="Y139" s="165"/>
      <c r="Z139" s="165"/>
    </row>
    <row r="140" spans="16:26">
      <c r="P140" s="165"/>
      <c r="Q140" s="165"/>
      <c r="R140" s="165"/>
      <c r="S140" s="165"/>
      <c r="T140" s="165"/>
      <c r="U140" s="165"/>
      <c r="V140" s="165"/>
      <c r="W140" s="165"/>
      <c r="X140" s="165"/>
      <c r="Y140" s="165"/>
      <c r="Z140" s="165"/>
    </row>
    <row r="141" spans="16:26">
      <c r="P141" s="165"/>
      <c r="Q141" s="165"/>
      <c r="R141" s="165"/>
      <c r="S141" s="165"/>
      <c r="T141" s="165"/>
      <c r="U141" s="165"/>
      <c r="V141" s="165"/>
      <c r="W141" s="165"/>
      <c r="X141" s="165"/>
      <c r="Y141" s="165"/>
      <c r="Z141" s="165"/>
    </row>
    <row r="142" spans="16:26">
      <c r="P142" s="165"/>
      <c r="Q142" s="165"/>
      <c r="R142" s="165"/>
      <c r="S142" s="165"/>
      <c r="T142" s="165"/>
      <c r="U142" s="165"/>
      <c r="V142" s="165"/>
      <c r="W142" s="165"/>
      <c r="X142" s="165"/>
      <c r="Y142" s="165"/>
      <c r="Z142" s="165"/>
    </row>
    <row r="143" spans="16:26">
      <c r="P143" s="165"/>
      <c r="Q143" s="165"/>
      <c r="R143" s="165"/>
      <c r="S143" s="165"/>
      <c r="T143" s="165"/>
      <c r="U143" s="165"/>
      <c r="V143" s="165"/>
      <c r="W143" s="165"/>
      <c r="X143" s="165"/>
      <c r="Y143" s="165"/>
      <c r="Z143" s="165"/>
    </row>
    <row r="144" spans="16:26">
      <c r="P144" s="165"/>
      <c r="Q144" s="165"/>
      <c r="R144" s="165"/>
      <c r="S144" s="165"/>
      <c r="T144" s="165"/>
      <c r="U144" s="165"/>
      <c r="V144" s="165"/>
      <c r="W144" s="165"/>
      <c r="X144" s="165"/>
      <c r="Y144" s="165"/>
      <c r="Z144" s="165"/>
    </row>
    <row r="145" spans="16:26">
      <c r="P145" s="165"/>
      <c r="Q145" s="165"/>
      <c r="R145" s="165"/>
      <c r="S145" s="165"/>
      <c r="T145" s="165"/>
      <c r="U145" s="165"/>
      <c r="V145" s="165"/>
      <c r="W145" s="165"/>
      <c r="X145" s="165"/>
      <c r="Y145" s="165"/>
      <c r="Z145" s="165"/>
    </row>
    <row r="146" spans="16:26">
      <c r="P146" s="165"/>
      <c r="Q146" s="165"/>
      <c r="R146" s="165"/>
      <c r="S146" s="165"/>
      <c r="T146" s="165"/>
      <c r="U146" s="165"/>
      <c r="V146" s="165"/>
      <c r="W146" s="165"/>
      <c r="X146" s="165"/>
      <c r="Y146" s="165"/>
      <c r="Z146" s="165"/>
    </row>
    <row r="147" spans="16:26">
      <c r="P147" s="165"/>
      <c r="Q147" s="165"/>
      <c r="R147" s="165"/>
      <c r="S147" s="165"/>
      <c r="T147" s="165"/>
      <c r="U147" s="165"/>
      <c r="V147" s="165"/>
      <c r="W147" s="165"/>
      <c r="X147" s="165"/>
      <c r="Y147" s="165"/>
      <c r="Z147" s="165"/>
    </row>
    <row r="148" spans="16:26">
      <c r="P148" s="165"/>
      <c r="Q148" s="165"/>
      <c r="R148" s="165"/>
      <c r="S148" s="165"/>
      <c r="T148" s="165"/>
      <c r="U148" s="165"/>
      <c r="V148" s="165"/>
      <c r="W148" s="165"/>
      <c r="X148" s="165"/>
      <c r="Y148" s="165"/>
      <c r="Z148" s="165"/>
    </row>
    <row r="149" spans="16:26">
      <c r="P149" s="165"/>
      <c r="Q149" s="165"/>
      <c r="R149" s="165"/>
      <c r="S149" s="165"/>
      <c r="T149" s="165"/>
      <c r="U149" s="165"/>
      <c r="V149" s="165"/>
      <c r="W149" s="165"/>
      <c r="X149" s="165"/>
      <c r="Y149" s="165"/>
      <c r="Z149" s="165"/>
    </row>
    <row r="150" spans="16:26">
      <c r="P150" s="165"/>
      <c r="Q150" s="165"/>
      <c r="R150" s="165"/>
      <c r="S150" s="165"/>
      <c r="T150" s="165"/>
      <c r="U150" s="165"/>
      <c r="V150" s="165"/>
      <c r="W150" s="165"/>
      <c r="X150" s="165"/>
      <c r="Y150" s="165"/>
      <c r="Z150" s="165"/>
    </row>
    <row r="151" spans="16:26">
      <c r="P151" s="165"/>
      <c r="Q151" s="165"/>
      <c r="R151" s="165"/>
      <c r="S151" s="165"/>
      <c r="T151" s="165"/>
      <c r="U151" s="165"/>
      <c r="V151" s="165"/>
      <c r="W151" s="165"/>
      <c r="X151" s="165"/>
      <c r="Y151" s="165"/>
      <c r="Z151" s="165"/>
    </row>
    <row r="152" spans="16:26">
      <c r="P152" s="165"/>
      <c r="Q152" s="165"/>
      <c r="R152" s="165"/>
      <c r="S152" s="165"/>
      <c r="T152" s="165"/>
      <c r="U152" s="165"/>
      <c r="V152" s="165"/>
      <c r="W152" s="165"/>
      <c r="X152" s="165"/>
      <c r="Y152" s="165"/>
      <c r="Z152" s="165"/>
    </row>
    <row r="153" spans="16:26">
      <c r="P153" s="165"/>
      <c r="Q153" s="165"/>
      <c r="R153" s="165"/>
      <c r="S153" s="165"/>
      <c r="T153" s="165"/>
      <c r="U153" s="165"/>
      <c r="V153" s="165"/>
      <c r="W153" s="165"/>
      <c r="X153" s="165"/>
      <c r="Y153" s="165"/>
      <c r="Z153" s="165"/>
    </row>
    <row r="154" spans="16:26">
      <c r="P154" s="165"/>
      <c r="Q154" s="165"/>
      <c r="R154" s="165"/>
      <c r="S154" s="165"/>
      <c r="T154" s="165"/>
      <c r="U154" s="165"/>
      <c r="V154" s="165"/>
      <c r="W154" s="165"/>
      <c r="X154" s="165"/>
      <c r="Y154" s="165"/>
      <c r="Z154" s="165"/>
    </row>
    <row r="155" spans="16:26">
      <c r="P155" s="165"/>
      <c r="Q155" s="165"/>
      <c r="R155" s="165"/>
      <c r="S155" s="165"/>
      <c r="T155" s="165"/>
      <c r="U155" s="165"/>
      <c r="V155" s="165"/>
      <c r="W155" s="165"/>
      <c r="X155" s="165"/>
      <c r="Y155" s="165"/>
      <c r="Z155" s="165"/>
    </row>
    <row r="156" spans="16:26">
      <c r="P156" s="165"/>
      <c r="Q156" s="165"/>
      <c r="R156" s="165"/>
      <c r="S156" s="165"/>
      <c r="T156" s="165"/>
      <c r="U156" s="165"/>
      <c r="V156" s="165"/>
      <c r="W156" s="165"/>
      <c r="X156" s="165"/>
      <c r="Y156" s="165"/>
      <c r="Z156" s="165"/>
    </row>
    <row r="157" spans="16:26">
      <c r="P157" s="165"/>
      <c r="Q157" s="165"/>
      <c r="R157" s="165"/>
      <c r="S157" s="165"/>
      <c r="T157" s="165"/>
      <c r="U157" s="165"/>
      <c r="V157" s="165"/>
      <c r="W157" s="165"/>
      <c r="X157" s="165"/>
      <c r="Y157" s="165"/>
      <c r="Z157" s="165"/>
    </row>
    <row r="158" spans="16:26">
      <c r="P158" s="165"/>
      <c r="Q158" s="165"/>
      <c r="R158" s="165"/>
      <c r="S158" s="165"/>
      <c r="T158" s="165"/>
      <c r="U158" s="165"/>
      <c r="V158" s="165"/>
      <c r="W158" s="165"/>
      <c r="X158" s="165"/>
      <c r="Y158" s="165"/>
      <c r="Z158" s="165"/>
    </row>
    <row r="159" spans="16:26">
      <c r="P159" s="165"/>
      <c r="Q159" s="165"/>
      <c r="R159" s="165"/>
      <c r="S159" s="165"/>
      <c r="T159" s="165"/>
      <c r="U159" s="165"/>
      <c r="V159" s="165"/>
      <c r="W159" s="165"/>
      <c r="X159" s="165"/>
      <c r="Y159" s="165"/>
      <c r="Z159" s="165"/>
    </row>
    <row r="160" spans="16:26">
      <c r="P160" s="165"/>
      <c r="Q160" s="165"/>
      <c r="R160" s="165"/>
      <c r="S160" s="165"/>
      <c r="T160" s="165"/>
      <c r="U160" s="165"/>
      <c r="V160" s="165"/>
      <c r="W160" s="165"/>
      <c r="X160" s="165"/>
      <c r="Y160" s="165"/>
      <c r="Z160" s="165"/>
    </row>
    <row r="161" spans="16:26">
      <c r="P161" s="165"/>
      <c r="Q161" s="165"/>
      <c r="R161" s="165"/>
      <c r="S161" s="165"/>
      <c r="T161" s="165"/>
      <c r="U161" s="165"/>
      <c r="V161" s="165"/>
      <c r="W161" s="165"/>
      <c r="X161" s="165"/>
      <c r="Y161" s="165"/>
      <c r="Z161" s="165"/>
    </row>
    <row r="162" spans="16:26">
      <c r="P162" s="165"/>
      <c r="Q162" s="165"/>
      <c r="R162" s="165"/>
      <c r="S162" s="165"/>
      <c r="T162" s="165"/>
      <c r="U162" s="165"/>
      <c r="V162" s="165"/>
      <c r="W162" s="165"/>
      <c r="X162" s="165"/>
      <c r="Y162" s="165"/>
      <c r="Z162" s="165"/>
    </row>
    <row r="163" spans="16:26">
      <c r="P163" s="165"/>
      <c r="Q163" s="165"/>
      <c r="R163" s="165"/>
      <c r="S163" s="165"/>
      <c r="T163" s="165"/>
      <c r="U163" s="165"/>
      <c r="V163" s="165"/>
      <c r="W163" s="165"/>
      <c r="X163" s="165"/>
      <c r="Y163" s="165"/>
      <c r="Z163" s="165"/>
    </row>
    <row r="164" spans="16:26">
      <c r="P164" s="165"/>
      <c r="Q164" s="165"/>
      <c r="R164" s="165"/>
      <c r="S164" s="165"/>
      <c r="T164" s="165"/>
      <c r="U164" s="165"/>
      <c r="V164" s="165"/>
      <c r="W164" s="165"/>
      <c r="X164" s="165"/>
      <c r="Y164" s="165"/>
      <c r="Z164" s="165"/>
    </row>
    <row r="165" spans="16:26">
      <c r="P165" s="165"/>
      <c r="Q165" s="165"/>
      <c r="R165" s="165"/>
      <c r="S165" s="165"/>
      <c r="T165" s="165"/>
      <c r="U165" s="165"/>
      <c r="V165" s="165"/>
      <c r="W165" s="165"/>
      <c r="X165" s="165"/>
      <c r="Y165" s="165"/>
      <c r="Z165" s="165"/>
    </row>
    <row r="166" spans="16:26">
      <c r="P166" s="165"/>
      <c r="Q166" s="165"/>
      <c r="R166" s="165"/>
      <c r="S166" s="165"/>
      <c r="T166" s="165"/>
      <c r="U166" s="165"/>
      <c r="V166" s="165"/>
      <c r="W166" s="165"/>
      <c r="X166" s="165"/>
      <c r="Y166" s="165"/>
      <c r="Z166" s="165"/>
    </row>
    <row r="167" spans="16:26">
      <c r="P167" s="165"/>
      <c r="Q167" s="165"/>
      <c r="R167" s="165"/>
      <c r="S167" s="165"/>
      <c r="T167" s="165"/>
      <c r="U167" s="165"/>
      <c r="V167" s="165"/>
      <c r="W167" s="165"/>
      <c r="X167" s="165"/>
      <c r="Y167" s="165"/>
      <c r="Z167" s="165"/>
    </row>
    <row r="168" spans="16:26">
      <c r="P168" s="165"/>
      <c r="Q168" s="165"/>
      <c r="R168" s="165"/>
      <c r="S168" s="165"/>
      <c r="T168" s="165"/>
      <c r="U168" s="165"/>
      <c r="V168" s="165"/>
      <c r="W168" s="165"/>
      <c r="X168" s="165"/>
      <c r="Y168" s="165"/>
      <c r="Z168" s="165"/>
    </row>
    <row r="169" spans="16:26">
      <c r="P169" s="165"/>
      <c r="Q169" s="165"/>
      <c r="R169" s="165"/>
      <c r="S169" s="165"/>
      <c r="T169" s="165"/>
      <c r="U169" s="165"/>
      <c r="V169" s="165"/>
      <c r="W169" s="165"/>
      <c r="X169" s="165"/>
      <c r="Y169" s="165"/>
      <c r="Z169" s="165"/>
    </row>
    <row r="170" spans="16:26">
      <c r="P170" s="165"/>
      <c r="Q170" s="165"/>
      <c r="R170" s="165"/>
      <c r="S170" s="165"/>
      <c r="T170" s="165"/>
      <c r="U170" s="165"/>
      <c r="V170" s="165"/>
      <c r="W170" s="165"/>
      <c r="X170" s="165"/>
      <c r="Y170" s="165"/>
      <c r="Z170" s="165"/>
    </row>
    <row r="171" spans="16:26">
      <c r="P171" s="165"/>
      <c r="Q171" s="165"/>
      <c r="R171" s="165"/>
      <c r="S171" s="165"/>
      <c r="T171" s="165"/>
      <c r="U171" s="165"/>
      <c r="V171" s="165"/>
      <c r="W171" s="165"/>
      <c r="X171" s="165"/>
      <c r="Y171" s="165"/>
      <c r="Z171" s="165"/>
    </row>
    <row r="172" spans="16:26">
      <c r="P172" s="165"/>
      <c r="Q172" s="165"/>
      <c r="R172" s="165"/>
      <c r="S172" s="165"/>
      <c r="T172" s="165"/>
      <c r="U172" s="165"/>
      <c r="V172" s="165"/>
      <c r="W172" s="165"/>
      <c r="X172" s="165"/>
      <c r="Y172" s="165"/>
      <c r="Z172" s="165"/>
    </row>
    <row r="173" spans="16:26">
      <c r="P173" s="165"/>
      <c r="Q173" s="165"/>
      <c r="R173" s="165"/>
      <c r="S173" s="165"/>
      <c r="T173" s="165"/>
      <c r="U173" s="165"/>
      <c r="V173" s="165"/>
      <c r="W173" s="165"/>
      <c r="X173" s="165"/>
      <c r="Y173" s="165"/>
      <c r="Z173" s="165"/>
    </row>
    <row r="174" spans="16:26">
      <c r="P174" s="165"/>
      <c r="Q174" s="165"/>
      <c r="R174" s="165"/>
      <c r="S174" s="165"/>
      <c r="T174" s="165"/>
      <c r="U174" s="165"/>
      <c r="V174" s="165"/>
      <c r="W174" s="165"/>
      <c r="X174" s="165"/>
      <c r="Y174" s="165"/>
      <c r="Z174" s="165"/>
    </row>
    <row r="175" spans="16:26">
      <c r="P175" s="165"/>
      <c r="Q175" s="165"/>
      <c r="R175" s="165"/>
      <c r="S175" s="165"/>
      <c r="T175" s="165"/>
      <c r="U175" s="165"/>
      <c r="V175" s="165"/>
      <c r="W175" s="165"/>
      <c r="X175" s="165"/>
      <c r="Y175" s="165"/>
      <c r="Z175" s="165"/>
    </row>
    <row r="176" spans="16:26">
      <c r="P176" s="165"/>
      <c r="Q176" s="165"/>
      <c r="R176" s="165"/>
      <c r="S176" s="165"/>
      <c r="T176" s="165"/>
      <c r="U176" s="165"/>
      <c r="V176" s="165"/>
      <c r="W176" s="165"/>
      <c r="X176" s="165"/>
      <c r="Y176" s="165"/>
      <c r="Z176" s="165"/>
    </row>
    <row r="177" spans="16:26">
      <c r="P177" s="165"/>
      <c r="Q177" s="165"/>
      <c r="R177" s="165"/>
      <c r="S177" s="165"/>
      <c r="T177" s="165"/>
      <c r="U177" s="165"/>
      <c r="V177" s="165"/>
      <c r="W177" s="165"/>
      <c r="X177" s="165"/>
      <c r="Y177" s="165"/>
      <c r="Z177" s="165"/>
    </row>
    <row r="178" spans="16:26">
      <c r="P178" s="165"/>
      <c r="Q178" s="165"/>
      <c r="R178" s="165"/>
      <c r="S178" s="165"/>
      <c r="T178" s="165"/>
      <c r="U178" s="165"/>
      <c r="V178" s="165"/>
      <c r="W178" s="165"/>
      <c r="X178" s="165"/>
      <c r="Y178" s="165"/>
      <c r="Z178" s="165"/>
    </row>
    <row r="179" spans="16:26">
      <c r="P179" s="165"/>
      <c r="Q179" s="165"/>
      <c r="R179" s="165"/>
      <c r="S179" s="165"/>
      <c r="T179" s="165"/>
      <c r="U179" s="165"/>
      <c r="V179" s="165"/>
      <c r="W179" s="165"/>
      <c r="X179" s="165"/>
      <c r="Y179" s="165"/>
      <c r="Z179" s="165"/>
    </row>
    <row r="180" spans="16:26">
      <c r="P180" s="165"/>
      <c r="Q180" s="165"/>
      <c r="R180" s="165"/>
      <c r="S180" s="165"/>
      <c r="T180" s="165"/>
      <c r="U180" s="165"/>
      <c r="V180" s="165"/>
      <c r="W180" s="165"/>
      <c r="X180" s="165"/>
      <c r="Y180" s="165"/>
      <c r="Z180" s="165"/>
    </row>
    <row r="181" spans="16:26">
      <c r="P181" s="165"/>
      <c r="Q181" s="165"/>
      <c r="R181" s="165"/>
      <c r="S181" s="165"/>
      <c r="T181" s="165"/>
      <c r="U181" s="165"/>
      <c r="V181" s="165"/>
      <c r="W181" s="165"/>
      <c r="X181" s="165"/>
      <c r="Y181" s="165"/>
      <c r="Z181" s="165"/>
    </row>
    <row r="182" spans="16:26">
      <c r="P182" s="165"/>
      <c r="Q182" s="165"/>
      <c r="R182" s="165"/>
      <c r="S182" s="165"/>
      <c r="T182" s="165"/>
      <c r="U182" s="165"/>
      <c r="V182" s="165"/>
      <c r="W182" s="165"/>
      <c r="X182" s="165"/>
      <c r="Y182" s="165"/>
      <c r="Z182" s="165"/>
    </row>
    <row r="183" spans="16:26">
      <c r="P183" s="165"/>
      <c r="Q183" s="165"/>
      <c r="R183" s="165"/>
      <c r="S183" s="165"/>
      <c r="T183" s="165"/>
      <c r="U183" s="165"/>
      <c r="V183" s="165"/>
      <c r="W183" s="165"/>
      <c r="X183" s="165"/>
      <c r="Y183" s="165"/>
      <c r="Z183" s="165"/>
    </row>
    <row r="184" spans="16:26">
      <c r="P184" s="165"/>
      <c r="Q184" s="165"/>
      <c r="R184" s="165"/>
      <c r="S184" s="165"/>
      <c r="T184" s="165"/>
      <c r="U184" s="165"/>
      <c r="V184" s="165"/>
      <c r="W184" s="165"/>
      <c r="X184" s="165"/>
      <c r="Y184" s="165"/>
      <c r="Z184" s="165"/>
    </row>
    <row r="185" spans="16:26">
      <c r="P185" s="165"/>
      <c r="Q185" s="165"/>
      <c r="R185" s="165"/>
      <c r="S185" s="165"/>
      <c r="T185" s="165"/>
      <c r="U185" s="165"/>
      <c r="V185" s="165"/>
      <c r="W185" s="165"/>
      <c r="X185" s="165"/>
      <c r="Y185" s="165"/>
      <c r="Z185" s="165"/>
    </row>
    <row r="186" spans="16:26">
      <c r="P186" s="165"/>
      <c r="Q186" s="165"/>
      <c r="R186" s="165"/>
      <c r="S186" s="165"/>
      <c r="T186" s="165"/>
      <c r="U186" s="165"/>
      <c r="V186" s="165"/>
      <c r="W186" s="165"/>
      <c r="X186" s="165"/>
      <c r="Y186" s="165"/>
      <c r="Z186" s="165"/>
    </row>
    <row r="187" spans="16:26">
      <c r="P187" s="165"/>
      <c r="Q187" s="165"/>
      <c r="R187" s="165"/>
      <c r="S187" s="165"/>
      <c r="T187" s="165"/>
      <c r="U187" s="165"/>
      <c r="V187" s="165"/>
      <c r="W187" s="165"/>
      <c r="X187" s="165"/>
      <c r="Y187" s="165"/>
      <c r="Z187" s="165"/>
    </row>
    <row r="188" spans="16:26">
      <c r="P188" s="165"/>
      <c r="Q188" s="165"/>
      <c r="R188" s="165"/>
      <c r="S188" s="165"/>
      <c r="T188" s="165"/>
      <c r="U188" s="165"/>
      <c r="V188" s="165"/>
      <c r="W188" s="165"/>
      <c r="X188" s="165"/>
      <c r="Y188" s="165"/>
      <c r="Z188" s="165"/>
    </row>
    <row r="189" spans="16:26">
      <c r="P189" s="165"/>
      <c r="Q189" s="165"/>
      <c r="R189" s="165"/>
      <c r="S189" s="165"/>
      <c r="T189" s="165"/>
      <c r="U189" s="165"/>
      <c r="V189" s="165"/>
      <c r="W189" s="165"/>
      <c r="X189" s="165"/>
      <c r="Y189" s="165"/>
      <c r="Z189" s="165"/>
    </row>
    <row r="190" spans="16:26">
      <c r="P190" s="165"/>
      <c r="Q190" s="165"/>
      <c r="R190" s="165"/>
      <c r="S190" s="165"/>
      <c r="T190" s="165"/>
      <c r="U190" s="165"/>
      <c r="V190" s="165"/>
      <c r="W190" s="165"/>
      <c r="X190" s="165"/>
      <c r="Y190" s="165"/>
      <c r="Z190" s="165"/>
    </row>
    <row r="191" spans="16:26">
      <c r="P191" s="165"/>
      <c r="Q191" s="165"/>
      <c r="R191" s="165"/>
      <c r="S191" s="165"/>
      <c r="T191" s="165"/>
      <c r="U191" s="165"/>
      <c r="V191" s="165"/>
      <c r="W191" s="165"/>
      <c r="X191" s="165"/>
      <c r="Y191" s="165"/>
      <c r="Z191" s="165"/>
    </row>
    <row r="192" spans="16:26">
      <c r="P192" s="165"/>
      <c r="Q192" s="165"/>
      <c r="R192" s="165"/>
      <c r="S192" s="165"/>
      <c r="T192" s="165"/>
      <c r="U192" s="165"/>
      <c r="V192" s="165"/>
      <c r="W192" s="165"/>
      <c r="X192" s="165"/>
      <c r="Y192" s="165"/>
      <c r="Z192" s="165"/>
    </row>
    <row r="193" spans="16:26">
      <c r="P193" s="165"/>
      <c r="Q193" s="165"/>
      <c r="R193" s="165"/>
      <c r="S193" s="165"/>
      <c r="T193" s="165"/>
      <c r="U193" s="165"/>
      <c r="V193" s="165"/>
      <c r="W193" s="165"/>
      <c r="X193" s="165"/>
      <c r="Y193" s="165"/>
      <c r="Z193" s="165"/>
    </row>
    <row r="194" spans="16:26">
      <c r="P194" s="165"/>
      <c r="Q194" s="165"/>
      <c r="R194" s="165"/>
      <c r="S194" s="165"/>
      <c r="T194" s="165"/>
      <c r="U194" s="165"/>
      <c r="V194" s="165"/>
      <c r="W194" s="165"/>
      <c r="X194" s="165"/>
      <c r="Y194" s="165"/>
      <c r="Z194" s="165"/>
    </row>
    <row r="195" spans="16:26">
      <c r="P195" s="165"/>
      <c r="Q195" s="165"/>
      <c r="R195" s="165"/>
      <c r="S195" s="165"/>
      <c r="T195" s="165"/>
      <c r="U195" s="165"/>
      <c r="V195" s="165"/>
      <c r="W195" s="165"/>
      <c r="X195" s="165"/>
      <c r="Y195" s="165"/>
      <c r="Z195" s="165"/>
    </row>
    <row r="196" spans="16:26">
      <c r="P196" s="165"/>
      <c r="Q196" s="165"/>
      <c r="R196" s="165"/>
      <c r="S196" s="165"/>
      <c r="T196" s="165"/>
      <c r="U196" s="165"/>
      <c r="V196" s="165"/>
      <c r="W196" s="165"/>
      <c r="X196" s="165"/>
      <c r="Y196" s="165"/>
      <c r="Z196" s="165"/>
    </row>
    <row r="197" spans="16:26">
      <c r="P197" s="165"/>
      <c r="Q197" s="165"/>
      <c r="R197" s="165"/>
      <c r="S197" s="165"/>
      <c r="T197" s="165"/>
      <c r="U197" s="165"/>
      <c r="V197" s="165"/>
      <c r="W197" s="165"/>
      <c r="X197" s="165"/>
      <c r="Y197" s="165"/>
      <c r="Z197" s="165"/>
    </row>
    <row r="198" spans="16:26">
      <c r="P198" s="165"/>
      <c r="Q198" s="165"/>
      <c r="R198" s="165"/>
      <c r="S198" s="165"/>
      <c r="T198" s="165"/>
      <c r="U198" s="165"/>
      <c r="V198" s="165"/>
      <c r="W198" s="165"/>
      <c r="X198" s="165"/>
      <c r="Y198" s="165"/>
      <c r="Z198" s="165"/>
    </row>
    <row r="199" spans="16:26">
      <c r="P199" s="165"/>
      <c r="Q199" s="165"/>
      <c r="R199" s="165"/>
      <c r="S199" s="165"/>
      <c r="T199" s="165"/>
      <c r="U199" s="165"/>
      <c r="V199" s="165"/>
      <c r="W199" s="165"/>
      <c r="X199" s="165"/>
      <c r="Y199" s="165"/>
      <c r="Z199" s="165"/>
    </row>
    <row r="200" spans="16:26">
      <c r="P200" s="165"/>
      <c r="Q200" s="165"/>
      <c r="R200" s="165"/>
      <c r="S200" s="165"/>
      <c r="T200" s="165"/>
      <c r="U200" s="165"/>
      <c r="V200" s="165"/>
      <c r="W200" s="165"/>
      <c r="X200" s="165"/>
      <c r="Y200" s="165"/>
      <c r="Z200" s="165"/>
    </row>
    <row r="201" spans="16:26">
      <c r="P201" s="165"/>
      <c r="Q201" s="165"/>
      <c r="R201" s="165"/>
      <c r="S201" s="165"/>
      <c r="T201" s="165"/>
      <c r="U201" s="165"/>
      <c r="V201" s="165"/>
      <c r="W201" s="165"/>
      <c r="X201" s="165"/>
      <c r="Y201" s="165"/>
      <c r="Z201" s="165"/>
    </row>
    <row r="202" spans="16:26">
      <c r="P202" s="165"/>
      <c r="Q202" s="165"/>
      <c r="R202" s="165"/>
      <c r="S202" s="165"/>
      <c r="T202" s="165"/>
      <c r="U202" s="165"/>
      <c r="V202" s="165"/>
      <c r="W202" s="165"/>
      <c r="X202" s="165"/>
      <c r="Y202" s="165"/>
      <c r="Z202" s="165"/>
    </row>
    <row r="203" spans="16:26">
      <c r="P203" s="165"/>
      <c r="Q203" s="165"/>
      <c r="R203" s="165"/>
      <c r="S203" s="165"/>
      <c r="T203" s="165"/>
      <c r="U203" s="165"/>
      <c r="V203" s="165"/>
      <c r="W203" s="165"/>
      <c r="X203" s="165"/>
      <c r="Y203" s="165"/>
      <c r="Z203" s="165"/>
    </row>
    <row r="204" spans="16:26">
      <c r="P204" s="165"/>
      <c r="Q204" s="165"/>
      <c r="R204" s="165"/>
      <c r="S204" s="165"/>
      <c r="T204" s="165"/>
      <c r="U204" s="165"/>
      <c r="V204" s="165"/>
      <c r="W204" s="165"/>
      <c r="X204" s="165"/>
      <c r="Y204" s="165"/>
      <c r="Z204" s="165"/>
    </row>
    <row r="205" spans="16:26">
      <c r="P205" s="165"/>
      <c r="Q205" s="165"/>
      <c r="R205" s="165"/>
      <c r="S205" s="165"/>
      <c r="T205" s="165"/>
      <c r="U205" s="165"/>
      <c r="V205" s="165"/>
      <c r="W205" s="165"/>
      <c r="X205" s="165"/>
      <c r="Y205" s="165"/>
      <c r="Z205" s="165"/>
    </row>
    <row r="206" spans="16:26">
      <c r="P206" s="165"/>
      <c r="Q206" s="165"/>
      <c r="R206" s="165"/>
      <c r="S206" s="165"/>
      <c r="T206" s="165"/>
      <c r="U206" s="165"/>
      <c r="V206" s="165"/>
      <c r="W206" s="165"/>
      <c r="X206" s="165"/>
      <c r="Y206" s="165"/>
      <c r="Z206" s="165"/>
    </row>
    <row r="207" spans="16:26">
      <c r="P207" s="165"/>
      <c r="Q207" s="165"/>
      <c r="R207" s="165"/>
      <c r="S207" s="165"/>
      <c r="T207" s="165"/>
      <c r="U207" s="165"/>
      <c r="V207" s="165"/>
      <c r="W207" s="165"/>
      <c r="X207" s="165"/>
      <c r="Y207" s="165"/>
      <c r="Z207" s="165"/>
    </row>
    <row r="208" spans="16:26">
      <c r="P208" s="165"/>
      <c r="Q208" s="165"/>
      <c r="R208" s="165"/>
      <c r="S208" s="165"/>
      <c r="T208" s="165"/>
      <c r="U208" s="165"/>
      <c r="V208" s="165"/>
      <c r="W208" s="165"/>
      <c r="X208" s="165"/>
      <c r="Y208" s="165"/>
      <c r="Z208" s="165"/>
    </row>
    <row r="209" spans="16:26">
      <c r="P209" s="165"/>
      <c r="Q209" s="165"/>
      <c r="R209" s="165"/>
      <c r="S209" s="165"/>
      <c r="T209" s="165"/>
      <c r="U209" s="165"/>
      <c r="V209" s="165"/>
      <c r="W209" s="165"/>
      <c r="X209" s="165"/>
      <c r="Y209" s="165"/>
      <c r="Z209" s="165"/>
    </row>
    <row r="210" spans="16:26">
      <c r="P210" s="165"/>
      <c r="Q210" s="165"/>
      <c r="R210" s="165"/>
      <c r="S210" s="165"/>
      <c r="T210" s="165"/>
      <c r="U210" s="165"/>
      <c r="V210" s="165"/>
      <c r="W210" s="165"/>
      <c r="X210" s="165"/>
      <c r="Y210" s="165"/>
      <c r="Z210" s="165"/>
    </row>
    <row r="211" spans="16:26">
      <c r="P211" s="165"/>
      <c r="Q211" s="165"/>
      <c r="R211" s="165"/>
      <c r="S211" s="165"/>
      <c r="T211" s="165"/>
      <c r="U211" s="165"/>
      <c r="V211" s="165"/>
      <c r="W211" s="165"/>
      <c r="X211" s="165"/>
      <c r="Y211" s="165"/>
      <c r="Z211" s="165"/>
    </row>
    <row r="212" spans="16:26">
      <c r="P212" s="165"/>
      <c r="Q212" s="165"/>
      <c r="R212" s="165"/>
      <c r="S212" s="165"/>
      <c r="T212" s="165"/>
      <c r="U212" s="165"/>
      <c r="V212" s="165"/>
      <c r="W212" s="165"/>
      <c r="X212" s="165"/>
      <c r="Y212" s="165"/>
      <c r="Z212" s="165"/>
    </row>
    <row r="213" spans="16:26">
      <c r="P213" s="165"/>
      <c r="Q213" s="165"/>
      <c r="R213" s="165"/>
      <c r="S213" s="165"/>
      <c r="T213" s="165"/>
      <c r="U213" s="165"/>
      <c r="V213" s="165"/>
      <c r="W213" s="165"/>
      <c r="X213" s="165"/>
      <c r="Y213" s="165"/>
      <c r="Z213" s="165"/>
    </row>
    <row r="214" spans="16:26">
      <c r="P214" s="165"/>
      <c r="Q214" s="165"/>
      <c r="R214" s="165"/>
      <c r="S214" s="165"/>
      <c r="T214" s="165"/>
      <c r="U214" s="165"/>
      <c r="V214" s="165"/>
      <c r="W214" s="165"/>
      <c r="X214" s="165"/>
      <c r="Y214" s="165"/>
      <c r="Z214" s="165"/>
    </row>
    <row r="215" spans="16:26">
      <c r="P215" s="165"/>
      <c r="Q215" s="165"/>
      <c r="R215" s="165"/>
      <c r="S215" s="165"/>
      <c r="T215" s="165"/>
      <c r="U215" s="165"/>
      <c r="V215" s="165"/>
      <c r="W215" s="165"/>
      <c r="X215" s="165"/>
      <c r="Y215" s="165"/>
      <c r="Z215" s="165"/>
    </row>
    <row r="216" spans="16:26">
      <c r="P216" s="165"/>
      <c r="Q216" s="165"/>
      <c r="R216" s="165"/>
      <c r="S216" s="165"/>
      <c r="T216" s="165"/>
      <c r="U216" s="165"/>
      <c r="V216" s="165"/>
      <c r="W216" s="165"/>
      <c r="X216" s="165"/>
      <c r="Y216" s="165"/>
      <c r="Z216" s="165"/>
    </row>
    <row r="217" spans="16:26">
      <c r="P217" s="165"/>
      <c r="Q217" s="165"/>
      <c r="R217" s="165"/>
      <c r="S217" s="165"/>
      <c r="T217" s="165"/>
      <c r="U217" s="165"/>
      <c r="V217" s="165"/>
      <c r="W217" s="165"/>
      <c r="X217" s="165"/>
      <c r="Y217" s="165"/>
      <c r="Z217" s="165"/>
    </row>
    <row r="218" spans="16:26">
      <c r="P218" s="165"/>
      <c r="Q218" s="165"/>
      <c r="R218" s="165"/>
      <c r="S218" s="165"/>
      <c r="T218" s="165"/>
      <c r="U218" s="165"/>
      <c r="V218" s="165"/>
      <c r="W218" s="165"/>
      <c r="X218" s="165"/>
      <c r="Y218" s="165"/>
      <c r="Z218" s="165"/>
    </row>
    <row r="219" spans="16:26">
      <c r="P219" s="165"/>
      <c r="Q219" s="165"/>
      <c r="R219" s="165"/>
      <c r="S219" s="165"/>
      <c r="T219" s="165"/>
      <c r="U219" s="165"/>
      <c r="V219" s="165"/>
      <c r="W219" s="165"/>
      <c r="X219" s="165"/>
      <c r="Y219" s="165"/>
      <c r="Z219" s="165"/>
    </row>
    <row r="220" spans="16:26">
      <c r="P220" s="165"/>
      <c r="Q220" s="165"/>
      <c r="R220" s="165"/>
      <c r="S220" s="165"/>
      <c r="T220" s="165"/>
      <c r="U220" s="165"/>
      <c r="V220" s="165"/>
      <c r="W220" s="165"/>
      <c r="X220" s="165"/>
      <c r="Y220" s="165"/>
      <c r="Z220" s="165"/>
    </row>
    <row r="221" spans="16:26">
      <c r="P221" s="165"/>
      <c r="Q221" s="165"/>
      <c r="R221" s="165"/>
      <c r="S221" s="165"/>
      <c r="T221" s="165"/>
      <c r="U221" s="165"/>
      <c r="V221" s="165"/>
      <c r="W221" s="165"/>
      <c r="X221" s="165"/>
      <c r="Y221" s="165"/>
      <c r="Z221" s="165"/>
    </row>
    <row r="222" spans="16:26">
      <c r="P222" s="165"/>
      <c r="Q222" s="165"/>
      <c r="R222" s="165"/>
      <c r="S222" s="165"/>
      <c r="T222" s="165"/>
      <c r="U222" s="165"/>
      <c r="V222" s="165"/>
      <c r="W222" s="165"/>
      <c r="X222" s="165"/>
      <c r="Y222" s="165"/>
      <c r="Z222" s="165"/>
    </row>
    <row r="223" spans="16:26">
      <c r="P223" s="165"/>
      <c r="Q223" s="165"/>
      <c r="R223" s="165"/>
      <c r="S223" s="165"/>
      <c r="T223" s="165"/>
      <c r="U223" s="165"/>
      <c r="V223" s="165"/>
      <c r="W223" s="165"/>
      <c r="X223" s="165"/>
      <c r="Y223" s="165"/>
      <c r="Z223" s="165"/>
    </row>
    <row r="224" spans="16:26">
      <c r="P224" s="165"/>
      <c r="Q224" s="165"/>
      <c r="R224" s="165"/>
      <c r="S224" s="165"/>
      <c r="T224" s="165"/>
      <c r="U224" s="165"/>
      <c r="V224" s="165"/>
      <c r="W224" s="165"/>
      <c r="X224" s="165"/>
      <c r="Y224" s="165"/>
      <c r="Z224" s="165"/>
    </row>
    <row r="225" spans="16:26">
      <c r="P225" s="165"/>
      <c r="Q225" s="165"/>
      <c r="R225" s="165"/>
      <c r="S225" s="165"/>
      <c r="T225" s="165"/>
      <c r="U225" s="165"/>
      <c r="V225" s="165"/>
      <c r="W225" s="165"/>
      <c r="X225" s="165"/>
      <c r="Y225" s="165"/>
      <c r="Z225" s="165"/>
    </row>
    <row r="226" spans="16:26">
      <c r="P226" s="165"/>
      <c r="Q226" s="165"/>
      <c r="R226" s="165"/>
      <c r="S226" s="165"/>
      <c r="T226" s="165"/>
      <c r="U226" s="165"/>
      <c r="V226" s="165"/>
      <c r="W226" s="165"/>
      <c r="X226" s="165"/>
      <c r="Y226" s="165"/>
      <c r="Z226" s="165"/>
    </row>
    <row r="227" spans="16:26">
      <c r="P227" s="165"/>
      <c r="Q227" s="165"/>
      <c r="R227" s="165"/>
      <c r="S227" s="165"/>
      <c r="T227" s="165"/>
      <c r="U227" s="165"/>
      <c r="V227" s="165"/>
      <c r="W227" s="165"/>
      <c r="X227" s="165"/>
      <c r="Y227" s="165"/>
      <c r="Z227" s="165"/>
    </row>
    <row r="228" spans="16:26">
      <c r="P228" s="165"/>
      <c r="Q228" s="165"/>
      <c r="R228" s="165"/>
      <c r="S228" s="165"/>
      <c r="T228" s="165"/>
      <c r="U228" s="165"/>
      <c r="V228" s="165"/>
      <c r="W228" s="165"/>
      <c r="X228" s="165"/>
      <c r="Y228" s="165"/>
      <c r="Z228" s="165"/>
    </row>
    <row r="229" spans="16:26">
      <c r="P229" s="165"/>
      <c r="Q229" s="165"/>
      <c r="R229" s="165"/>
      <c r="S229" s="165"/>
      <c r="T229" s="165"/>
      <c r="U229" s="165"/>
      <c r="V229" s="165"/>
      <c r="W229" s="165"/>
      <c r="X229" s="165"/>
      <c r="Y229" s="165"/>
      <c r="Z229" s="165"/>
    </row>
    <row r="230" spans="16:26">
      <c r="P230" s="165"/>
      <c r="Q230" s="165"/>
      <c r="R230" s="165"/>
      <c r="S230" s="165"/>
      <c r="T230" s="165"/>
      <c r="U230" s="165"/>
      <c r="V230" s="165"/>
      <c r="W230" s="165"/>
      <c r="X230" s="165"/>
      <c r="Y230" s="165"/>
      <c r="Z230" s="165"/>
    </row>
    <row r="231" spans="16:26">
      <c r="P231" s="165"/>
      <c r="Q231" s="165"/>
      <c r="R231" s="165"/>
      <c r="S231" s="165"/>
      <c r="T231" s="165"/>
      <c r="U231" s="165"/>
      <c r="V231" s="165"/>
      <c r="W231" s="165"/>
      <c r="X231" s="165"/>
      <c r="Y231" s="165"/>
      <c r="Z231" s="165"/>
    </row>
    <row r="232" spans="16:26">
      <c r="P232" s="165"/>
      <c r="Q232" s="165"/>
      <c r="R232" s="165"/>
      <c r="S232" s="165"/>
      <c r="T232" s="165"/>
      <c r="U232" s="165"/>
      <c r="V232" s="165"/>
      <c r="W232" s="165"/>
      <c r="X232" s="165"/>
      <c r="Y232" s="165"/>
      <c r="Z232" s="165"/>
    </row>
    <row r="233" spans="16:26">
      <c r="P233" s="165"/>
      <c r="Q233" s="165"/>
      <c r="R233" s="165"/>
      <c r="S233" s="165"/>
      <c r="T233" s="165"/>
      <c r="U233" s="165"/>
      <c r="V233" s="165"/>
      <c r="W233" s="165"/>
      <c r="X233" s="165"/>
      <c r="Y233" s="165"/>
      <c r="Z233" s="165"/>
    </row>
    <row r="234" spans="16:26">
      <c r="P234" s="165"/>
      <c r="Q234" s="165"/>
      <c r="R234" s="165"/>
      <c r="S234" s="165"/>
      <c r="T234" s="165"/>
      <c r="U234" s="165"/>
      <c r="V234" s="165"/>
      <c r="W234" s="165"/>
      <c r="X234" s="165"/>
      <c r="Y234" s="165"/>
      <c r="Z234" s="165"/>
    </row>
    <row r="235" spans="16:26">
      <c r="P235" s="165"/>
      <c r="Q235" s="165"/>
      <c r="R235" s="165"/>
      <c r="S235" s="165"/>
      <c r="T235" s="165"/>
      <c r="U235" s="165"/>
      <c r="V235" s="165"/>
      <c r="W235" s="165"/>
      <c r="X235" s="165"/>
      <c r="Y235" s="165"/>
      <c r="Z235" s="165"/>
    </row>
    <row r="236" spans="16:26">
      <c r="P236" s="165"/>
      <c r="Q236" s="165"/>
      <c r="R236" s="165"/>
      <c r="S236" s="165"/>
      <c r="T236" s="165"/>
      <c r="U236" s="165"/>
      <c r="V236" s="165"/>
      <c r="W236" s="165"/>
      <c r="X236" s="165"/>
      <c r="Y236" s="165"/>
      <c r="Z236" s="165"/>
    </row>
    <row r="237" spans="16:26">
      <c r="P237" s="165"/>
      <c r="Q237" s="165"/>
      <c r="R237" s="165"/>
      <c r="S237" s="165"/>
      <c r="T237" s="165"/>
      <c r="U237" s="165"/>
      <c r="V237" s="165"/>
      <c r="W237" s="165"/>
      <c r="X237" s="165"/>
      <c r="Y237" s="165"/>
      <c r="Z237" s="165"/>
    </row>
    <row r="238" spans="16:26">
      <c r="P238" s="165"/>
      <c r="Q238" s="165"/>
      <c r="R238" s="165"/>
      <c r="S238" s="165"/>
      <c r="T238" s="165"/>
      <c r="U238" s="165"/>
      <c r="V238" s="165"/>
      <c r="W238" s="165"/>
      <c r="X238" s="165"/>
      <c r="Y238" s="165"/>
      <c r="Z238" s="165"/>
    </row>
    <row r="239" spans="16:26">
      <c r="P239" s="165"/>
      <c r="Q239" s="165"/>
      <c r="R239" s="165"/>
      <c r="S239" s="165"/>
      <c r="T239" s="165"/>
      <c r="U239" s="165"/>
      <c r="V239" s="165"/>
      <c r="W239" s="165"/>
      <c r="X239" s="165"/>
      <c r="Y239" s="165"/>
      <c r="Z239" s="165"/>
    </row>
    <row r="240" spans="16:26">
      <c r="P240" s="165"/>
      <c r="Q240" s="165"/>
      <c r="R240" s="165"/>
      <c r="S240" s="165"/>
      <c r="T240" s="165"/>
      <c r="U240" s="165"/>
      <c r="V240" s="165"/>
      <c r="W240" s="165"/>
      <c r="X240" s="165"/>
      <c r="Y240" s="165"/>
      <c r="Z240" s="165"/>
    </row>
    <row r="241" spans="16:26">
      <c r="P241" s="165"/>
      <c r="Q241" s="165"/>
      <c r="R241" s="165"/>
      <c r="S241" s="165"/>
      <c r="T241" s="165"/>
      <c r="U241" s="165"/>
      <c r="V241" s="165"/>
      <c r="W241" s="165"/>
      <c r="X241" s="165"/>
      <c r="Y241" s="165"/>
      <c r="Z241" s="165"/>
    </row>
    <row r="242" spans="16:26">
      <c r="P242" s="165"/>
      <c r="Q242" s="165"/>
      <c r="R242" s="165"/>
      <c r="S242" s="165"/>
      <c r="T242" s="165"/>
      <c r="U242" s="165"/>
      <c r="V242" s="165"/>
      <c r="W242" s="165"/>
      <c r="X242" s="165"/>
      <c r="Y242" s="165"/>
      <c r="Z242" s="165"/>
    </row>
    <row r="243" spans="16:26">
      <c r="P243" s="165"/>
      <c r="Q243" s="165"/>
      <c r="R243" s="165"/>
      <c r="S243" s="165"/>
      <c r="T243" s="165"/>
      <c r="U243" s="165"/>
      <c r="V243" s="165"/>
      <c r="W243" s="165"/>
      <c r="X243" s="165"/>
      <c r="Y243" s="165"/>
      <c r="Z243" s="165"/>
    </row>
    <row r="244" spans="16:26">
      <c r="P244" s="165"/>
      <c r="Q244" s="165"/>
      <c r="R244" s="165"/>
      <c r="S244" s="165"/>
      <c r="T244" s="165"/>
      <c r="U244" s="165"/>
      <c r="V244" s="165"/>
      <c r="W244" s="165"/>
      <c r="X244" s="165"/>
      <c r="Y244" s="165"/>
      <c r="Z244" s="165"/>
    </row>
    <row r="245" spans="16:26">
      <c r="P245" s="165"/>
      <c r="Q245" s="165"/>
      <c r="R245" s="165"/>
      <c r="S245" s="165"/>
      <c r="T245" s="165"/>
      <c r="U245" s="165"/>
      <c r="V245" s="165"/>
      <c r="W245" s="165"/>
      <c r="X245" s="165"/>
      <c r="Y245" s="165"/>
      <c r="Z245" s="165"/>
    </row>
    <row r="246" spans="16:26">
      <c r="P246" s="165"/>
      <c r="Q246" s="165"/>
      <c r="R246" s="165"/>
      <c r="S246" s="165"/>
      <c r="T246" s="165"/>
      <c r="U246" s="165"/>
      <c r="V246" s="165"/>
      <c r="W246" s="165"/>
      <c r="X246" s="165"/>
      <c r="Y246" s="165"/>
      <c r="Z246" s="165"/>
    </row>
    <row r="247" spans="16:26">
      <c r="P247" s="165"/>
      <c r="Q247" s="165"/>
      <c r="R247" s="165"/>
      <c r="S247" s="165"/>
      <c r="T247" s="165"/>
      <c r="U247" s="165"/>
      <c r="V247" s="165"/>
      <c r="W247" s="165"/>
      <c r="X247" s="165"/>
      <c r="Y247" s="165"/>
      <c r="Z247" s="165"/>
    </row>
    <row r="248" spans="16:26">
      <c r="P248" s="165"/>
      <c r="Q248" s="165"/>
      <c r="R248" s="165"/>
      <c r="S248" s="165"/>
      <c r="T248" s="165"/>
      <c r="U248" s="165"/>
      <c r="V248" s="165"/>
      <c r="W248" s="165"/>
      <c r="X248" s="165"/>
      <c r="Y248" s="165"/>
      <c r="Z248" s="165"/>
    </row>
    <row r="249" spans="16:26">
      <c r="P249" s="165"/>
      <c r="Q249" s="165"/>
      <c r="R249" s="165"/>
      <c r="S249" s="165"/>
      <c r="T249" s="165"/>
      <c r="U249" s="165"/>
      <c r="V249" s="165"/>
      <c r="W249" s="165"/>
      <c r="X249" s="165"/>
      <c r="Y249" s="165"/>
      <c r="Z249" s="165"/>
    </row>
    <row r="250" spans="16:26">
      <c r="P250" s="165"/>
      <c r="Q250" s="165"/>
      <c r="R250" s="165"/>
      <c r="S250" s="165"/>
      <c r="T250" s="165"/>
      <c r="U250" s="165"/>
      <c r="V250" s="165"/>
      <c r="W250" s="165"/>
      <c r="X250" s="165"/>
      <c r="Y250" s="165"/>
      <c r="Z250" s="165"/>
    </row>
    <row r="251" spans="16:26">
      <c r="P251" s="165"/>
      <c r="Q251" s="165"/>
      <c r="R251" s="165"/>
      <c r="S251" s="165"/>
      <c r="T251" s="165"/>
      <c r="U251" s="165"/>
      <c r="V251" s="165"/>
      <c r="W251" s="165"/>
      <c r="X251" s="165"/>
      <c r="Y251" s="165"/>
      <c r="Z251" s="165"/>
    </row>
    <row r="252" spans="16:26">
      <c r="P252" s="165"/>
      <c r="Q252" s="165"/>
      <c r="R252" s="165"/>
      <c r="S252" s="165"/>
      <c r="T252" s="165"/>
      <c r="U252" s="165"/>
      <c r="V252" s="165"/>
      <c r="W252" s="165"/>
      <c r="X252" s="165"/>
      <c r="Y252" s="165"/>
      <c r="Z252" s="165"/>
    </row>
    <row r="253" spans="16:26">
      <c r="P253" s="165"/>
      <c r="Q253" s="165"/>
      <c r="R253" s="165"/>
      <c r="S253" s="165"/>
      <c r="T253" s="165"/>
      <c r="U253" s="165"/>
      <c r="V253" s="165"/>
      <c r="W253" s="165"/>
      <c r="X253" s="165"/>
      <c r="Y253" s="165"/>
      <c r="Z253" s="165"/>
    </row>
    <row r="254" spans="16:26">
      <c r="P254" s="165"/>
      <c r="Q254" s="165"/>
      <c r="R254" s="165"/>
      <c r="S254" s="165"/>
      <c r="T254" s="165"/>
      <c r="U254" s="165"/>
      <c r="V254" s="165"/>
      <c r="W254" s="165"/>
      <c r="X254" s="165"/>
      <c r="Y254" s="165"/>
      <c r="Z254" s="165"/>
    </row>
    <row r="255" spans="16:26">
      <c r="P255" s="165"/>
      <c r="Q255" s="165"/>
      <c r="R255" s="165"/>
      <c r="S255" s="165"/>
      <c r="T255" s="165"/>
      <c r="U255" s="165"/>
      <c r="V255" s="165"/>
      <c r="W255" s="165"/>
      <c r="X255" s="165"/>
      <c r="Y255" s="165"/>
      <c r="Z255" s="165"/>
    </row>
    <row r="256" spans="16:26">
      <c r="P256" s="165"/>
      <c r="Q256" s="165"/>
      <c r="R256" s="165"/>
      <c r="S256" s="165"/>
      <c r="T256" s="165"/>
      <c r="U256" s="165"/>
      <c r="V256" s="165"/>
      <c r="W256" s="165"/>
      <c r="X256" s="165"/>
      <c r="Y256" s="165"/>
      <c r="Z256" s="165"/>
    </row>
    <row r="257" spans="16:26">
      <c r="P257" s="165"/>
      <c r="Q257" s="165"/>
      <c r="R257" s="165"/>
      <c r="S257" s="165"/>
      <c r="T257" s="165"/>
      <c r="U257" s="165"/>
      <c r="V257" s="165"/>
      <c r="W257" s="165"/>
      <c r="X257" s="165"/>
      <c r="Y257" s="165"/>
      <c r="Z257" s="165"/>
    </row>
    <row r="258" spans="16:26">
      <c r="P258" s="165"/>
      <c r="Q258" s="165"/>
      <c r="R258" s="165"/>
      <c r="S258" s="165"/>
      <c r="T258" s="165"/>
      <c r="U258" s="165"/>
      <c r="V258" s="165"/>
      <c r="W258" s="165"/>
      <c r="X258" s="165"/>
      <c r="Y258" s="165"/>
      <c r="Z258" s="165"/>
    </row>
    <row r="259" spans="16:26">
      <c r="P259" s="165"/>
      <c r="Q259" s="165"/>
      <c r="R259" s="165"/>
      <c r="S259" s="165"/>
      <c r="T259" s="165"/>
      <c r="U259" s="165"/>
      <c r="V259" s="165"/>
      <c r="W259" s="165"/>
      <c r="X259" s="165"/>
      <c r="Y259" s="165"/>
      <c r="Z259" s="165"/>
    </row>
    <row r="260" spans="16:26">
      <c r="P260" s="165"/>
      <c r="Q260" s="165"/>
      <c r="R260" s="165"/>
      <c r="S260" s="165"/>
      <c r="T260" s="165"/>
      <c r="U260" s="165"/>
      <c r="V260" s="165"/>
      <c r="W260" s="165"/>
      <c r="X260" s="165"/>
      <c r="Y260" s="165"/>
      <c r="Z260" s="165"/>
    </row>
    <row r="261" spans="16:26">
      <c r="P261" s="165"/>
      <c r="Q261" s="165"/>
      <c r="R261" s="165"/>
      <c r="S261" s="165"/>
      <c r="T261" s="165"/>
      <c r="U261" s="165"/>
      <c r="V261" s="165"/>
      <c r="W261" s="165"/>
      <c r="X261" s="165"/>
      <c r="Y261" s="165"/>
      <c r="Z261" s="165"/>
    </row>
    <row r="262" spans="16:26">
      <c r="P262" s="165"/>
      <c r="Q262" s="165"/>
      <c r="R262" s="165"/>
      <c r="S262" s="165"/>
      <c r="T262" s="165"/>
      <c r="U262" s="165"/>
      <c r="V262" s="165"/>
      <c r="W262" s="165"/>
      <c r="X262" s="165"/>
      <c r="Y262" s="165"/>
      <c r="Z262" s="165"/>
    </row>
    <row r="263" spans="16:26">
      <c r="P263" s="165"/>
      <c r="Q263" s="165"/>
      <c r="R263" s="165"/>
      <c r="S263" s="165"/>
      <c r="T263" s="165"/>
      <c r="U263" s="165"/>
      <c r="V263" s="165"/>
      <c r="W263" s="165"/>
      <c r="X263" s="165"/>
      <c r="Y263" s="165"/>
      <c r="Z263" s="165"/>
    </row>
    <row r="264" spans="16:26">
      <c r="P264" s="165"/>
      <c r="Q264" s="165"/>
      <c r="R264" s="165"/>
      <c r="S264" s="165"/>
      <c r="T264" s="165"/>
      <c r="U264" s="165"/>
      <c r="V264" s="165"/>
      <c r="W264" s="165"/>
      <c r="X264" s="165"/>
      <c r="Y264" s="165"/>
      <c r="Z264" s="165"/>
    </row>
    <row r="265" spans="16:26">
      <c r="P265" s="165"/>
      <c r="Q265" s="165"/>
      <c r="R265" s="165"/>
      <c r="S265" s="165"/>
      <c r="T265" s="165"/>
      <c r="U265" s="165"/>
      <c r="V265" s="165"/>
      <c r="W265" s="165"/>
      <c r="X265" s="165"/>
      <c r="Y265" s="165"/>
      <c r="Z265" s="165"/>
    </row>
    <row r="266" spans="16:26">
      <c r="P266" s="165"/>
      <c r="Q266" s="165"/>
      <c r="R266" s="165"/>
      <c r="S266" s="165"/>
      <c r="T266" s="165"/>
      <c r="U266" s="165"/>
      <c r="V266" s="165"/>
      <c r="W266" s="165"/>
      <c r="X266" s="165"/>
      <c r="Y266" s="165"/>
      <c r="Z266" s="165"/>
    </row>
    <row r="267" spans="16:26">
      <c r="P267" s="165"/>
      <c r="Q267" s="165"/>
      <c r="R267" s="165"/>
      <c r="S267" s="165"/>
      <c r="T267" s="165"/>
      <c r="U267" s="165"/>
      <c r="V267" s="165"/>
      <c r="W267" s="165"/>
      <c r="X267" s="165"/>
      <c r="Y267" s="165"/>
      <c r="Z267" s="165"/>
    </row>
    <row r="268" spans="16:26">
      <c r="P268" s="165"/>
      <c r="Q268" s="165"/>
      <c r="R268" s="165"/>
      <c r="S268" s="165"/>
      <c r="T268" s="165"/>
      <c r="U268" s="165"/>
      <c r="V268" s="165"/>
      <c r="W268" s="165"/>
      <c r="X268" s="165"/>
      <c r="Y268" s="165"/>
      <c r="Z268" s="165"/>
    </row>
    <row r="269" spans="16:26">
      <c r="P269" s="165"/>
      <c r="Q269" s="165"/>
      <c r="R269" s="165"/>
      <c r="S269" s="165"/>
      <c r="T269" s="165"/>
      <c r="U269" s="165"/>
      <c r="V269" s="165"/>
      <c r="W269" s="165"/>
      <c r="X269" s="165"/>
      <c r="Y269" s="165"/>
      <c r="Z269" s="165"/>
    </row>
    <row r="270" spans="16:26">
      <c r="P270" s="165"/>
      <c r="Q270" s="165"/>
      <c r="R270" s="165"/>
      <c r="S270" s="165"/>
      <c r="T270" s="165"/>
      <c r="U270" s="165"/>
      <c r="V270" s="165"/>
      <c r="W270" s="165"/>
      <c r="X270" s="165"/>
      <c r="Y270" s="165"/>
      <c r="Z270" s="165"/>
    </row>
    <row r="271" spans="16:26">
      <c r="P271" s="165"/>
      <c r="Q271" s="165"/>
      <c r="R271" s="165"/>
      <c r="S271" s="165"/>
      <c r="T271" s="165"/>
      <c r="U271" s="165"/>
      <c r="V271" s="165"/>
      <c r="W271" s="165"/>
      <c r="X271" s="165"/>
      <c r="Y271" s="165"/>
      <c r="Z271" s="165"/>
    </row>
    <row r="272" spans="16:26">
      <c r="P272" s="165"/>
      <c r="Q272" s="165"/>
      <c r="R272" s="165"/>
      <c r="S272" s="165"/>
      <c r="T272" s="165"/>
      <c r="U272" s="165"/>
      <c r="V272" s="165"/>
      <c r="W272" s="165"/>
      <c r="X272" s="165"/>
      <c r="Y272" s="165"/>
      <c r="Z272" s="165"/>
    </row>
    <row r="273" spans="16:26">
      <c r="P273" s="165"/>
      <c r="Q273" s="165"/>
      <c r="R273" s="165"/>
      <c r="S273" s="165"/>
      <c r="T273" s="165"/>
      <c r="U273" s="165"/>
      <c r="V273" s="165"/>
      <c r="W273" s="165"/>
      <c r="X273" s="165"/>
      <c r="Y273" s="165"/>
      <c r="Z273" s="165"/>
    </row>
    <row r="274" spans="16:26">
      <c r="P274" s="165"/>
      <c r="Q274" s="165"/>
      <c r="R274" s="165"/>
      <c r="S274" s="165"/>
      <c r="T274" s="165"/>
      <c r="U274" s="165"/>
      <c r="V274" s="165"/>
      <c r="W274" s="165"/>
      <c r="X274" s="165"/>
      <c r="Y274" s="165"/>
      <c r="Z274" s="165"/>
    </row>
    <row r="275" spans="16:26">
      <c r="P275" s="165"/>
      <c r="Q275" s="165"/>
      <c r="R275" s="165"/>
      <c r="S275" s="165"/>
      <c r="T275" s="165"/>
      <c r="U275" s="165"/>
      <c r="V275" s="165"/>
      <c r="W275" s="165"/>
      <c r="X275" s="165"/>
      <c r="Y275" s="165"/>
      <c r="Z275" s="165"/>
    </row>
    <row r="276" spans="16:26">
      <c r="P276" s="165"/>
      <c r="Q276" s="165"/>
      <c r="R276" s="165"/>
      <c r="S276" s="165"/>
      <c r="T276" s="165"/>
      <c r="U276" s="165"/>
      <c r="V276" s="165"/>
      <c r="W276" s="165"/>
      <c r="X276" s="165"/>
      <c r="Y276" s="165"/>
      <c r="Z276" s="165"/>
    </row>
    <row r="277" spans="16:26">
      <c r="P277" s="165"/>
      <c r="Q277" s="165"/>
      <c r="R277" s="165"/>
      <c r="S277" s="165"/>
      <c r="T277" s="165"/>
      <c r="U277" s="165"/>
      <c r="V277" s="165"/>
      <c r="W277" s="165"/>
      <c r="X277" s="165"/>
      <c r="Y277" s="165"/>
      <c r="Z277" s="165"/>
    </row>
    <row r="278" spans="16:26">
      <c r="P278" s="165"/>
      <c r="Q278" s="165"/>
      <c r="R278" s="165"/>
      <c r="S278" s="165"/>
      <c r="T278" s="165"/>
      <c r="U278" s="165"/>
      <c r="V278" s="165"/>
      <c r="W278" s="165"/>
      <c r="X278" s="165"/>
      <c r="Y278" s="165"/>
      <c r="Z278" s="165"/>
    </row>
    <row r="279" spans="16:26">
      <c r="P279" s="165"/>
      <c r="Q279" s="165"/>
      <c r="R279" s="165"/>
      <c r="S279" s="165"/>
      <c r="T279" s="165"/>
      <c r="U279" s="165"/>
      <c r="V279" s="165"/>
      <c r="W279" s="165"/>
      <c r="X279" s="165"/>
      <c r="Y279" s="165"/>
      <c r="Z279" s="165"/>
    </row>
    <row r="280" spans="16:26">
      <c r="P280" s="165"/>
      <c r="Q280" s="165"/>
      <c r="R280" s="165"/>
      <c r="S280" s="165"/>
      <c r="T280" s="165"/>
      <c r="U280" s="165"/>
      <c r="V280" s="165"/>
      <c r="W280" s="165"/>
      <c r="X280" s="165"/>
      <c r="Y280" s="165"/>
      <c r="Z280" s="165"/>
    </row>
    <row r="281" spans="16:26">
      <c r="P281" s="165"/>
      <c r="Q281" s="165"/>
      <c r="R281" s="165"/>
      <c r="S281" s="165"/>
      <c r="T281" s="165"/>
      <c r="U281" s="165"/>
      <c r="V281" s="165"/>
      <c r="W281" s="165"/>
      <c r="X281" s="165"/>
      <c r="Y281" s="165"/>
      <c r="Z281" s="165"/>
    </row>
    <row r="282" spans="16:26">
      <c r="P282" s="165"/>
      <c r="Q282" s="165"/>
      <c r="R282" s="165"/>
      <c r="S282" s="165"/>
      <c r="T282" s="165"/>
      <c r="U282" s="165"/>
      <c r="V282" s="165"/>
      <c r="W282" s="165"/>
      <c r="X282" s="165"/>
      <c r="Y282" s="165"/>
      <c r="Z282" s="165"/>
    </row>
    <row r="283" spans="16:26">
      <c r="P283" s="165"/>
      <c r="Q283" s="165"/>
      <c r="R283" s="165"/>
      <c r="S283" s="165"/>
      <c r="T283" s="165"/>
      <c r="U283" s="165"/>
      <c r="V283" s="165"/>
      <c r="W283" s="165"/>
      <c r="X283" s="165"/>
      <c r="Y283" s="165"/>
      <c r="Z283" s="165"/>
    </row>
    <row r="284" spans="16:26">
      <c r="P284" s="165"/>
      <c r="Q284" s="165"/>
      <c r="R284" s="165"/>
      <c r="S284" s="165"/>
      <c r="T284" s="165"/>
      <c r="U284" s="165"/>
      <c r="V284" s="165"/>
      <c r="W284" s="165"/>
      <c r="X284" s="165"/>
      <c r="Y284" s="165"/>
      <c r="Z284" s="165"/>
    </row>
    <row r="285" spans="16:26">
      <c r="P285" s="165"/>
      <c r="Q285" s="165"/>
      <c r="R285" s="165"/>
      <c r="S285" s="165"/>
      <c r="T285" s="165"/>
      <c r="U285" s="165"/>
      <c r="V285" s="165"/>
      <c r="W285" s="165"/>
      <c r="X285" s="165"/>
      <c r="Y285" s="165"/>
      <c r="Z285" s="165"/>
    </row>
    <row r="286" spans="16:26">
      <c r="P286" s="165"/>
      <c r="Q286" s="165"/>
      <c r="R286" s="165"/>
      <c r="S286" s="165"/>
      <c r="T286" s="165"/>
      <c r="U286" s="165"/>
      <c r="V286" s="165"/>
      <c r="W286" s="165"/>
      <c r="X286" s="165"/>
      <c r="Y286" s="165"/>
      <c r="Z286" s="165"/>
    </row>
    <row r="287" spans="16:26">
      <c r="P287" s="165"/>
      <c r="Q287" s="165"/>
      <c r="R287" s="165"/>
      <c r="S287" s="165"/>
      <c r="T287" s="165"/>
      <c r="U287" s="165"/>
      <c r="V287" s="165"/>
      <c r="W287" s="165"/>
      <c r="X287" s="165"/>
      <c r="Y287" s="165"/>
      <c r="Z287" s="165"/>
    </row>
    <row r="288" spans="16:26">
      <c r="P288" s="165"/>
      <c r="Q288" s="165"/>
      <c r="R288" s="165"/>
      <c r="S288" s="165"/>
      <c r="T288" s="165"/>
      <c r="U288" s="165"/>
      <c r="V288" s="165"/>
      <c r="W288" s="165"/>
      <c r="X288" s="165"/>
      <c r="Y288" s="165"/>
      <c r="Z288" s="165"/>
    </row>
    <row r="289" spans="16:26">
      <c r="P289" s="165"/>
      <c r="Q289" s="165"/>
      <c r="R289" s="165"/>
      <c r="S289" s="165"/>
      <c r="T289" s="165"/>
      <c r="U289" s="165"/>
      <c r="V289" s="165"/>
      <c r="W289" s="165"/>
      <c r="X289" s="165"/>
      <c r="Y289" s="165"/>
      <c r="Z289" s="165"/>
    </row>
    <row r="290" spans="16:26">
      <c r="P290" s="165"/>
      <c r="Q290" s="165"/>
      <c r="R290" s="165"/>
      <c r="S290" s="165"/>
      <c r="T290" s="165"/>
      <c r="U290" s="165"/>
      <c r="V290" s="165"/>
      <c r="W290" s="165"/>
      <c r="X290" s="165"/>
      <c r="Y290" s="165"/>
      <c r="Z290" s="165"/>
    </row>
    <row r="291" spans="16:26">
      <c r="P291" s="165"/>
      <c r="Q291" s="165"/>
      <c r="R291" s="165"/>
      <c r="S291" s="165"/>
      <c r="T291" s="165"/>
      <c r="U291" s="165"/>
      <c r="V291" s="165"/>
      <c r="W291" s="165"/>
      <c r="X291" s="165"/>
      <c r="Y291" s="165"/>
      <c r="Z291" s="165"/>
    </row>
    <row r="292" spans="16:26">
      <c r="P292" s="165"/>
      <c r="Q292" s="165"/>
      <c r="R292" s="165"/>
      <c r="S292" s="165"/>
      <c r="T292" s="165"/>
      <c r="U292" s="165"/>
      <c r="V292" s="165"/>
      <c r="W292" s="165"/>
      <c r="X292" s="165"/>
      <c r="Y292" s="165"/>
      <c r="Z292" s="165"/>
    </row>
    <row r="293" spans="16:26">
      <c r="P293" s="165"/>
      <c r="Q293" s="165"/>
      <c r="R293" s="165"/>
      <c r="S293" s="165"/>
      <c r="T293" s="165"/>
      <c r="U293" s="165"/>
      <c r="V293" s="165"/>
      <c r="W293" s="165"/>
      <c r="X293" s="165"/>
      <c r="Y293" s="165"/>
      <c r="Z293" s="165"/>
    </row>
    <row r="294" spans="16:26">
      <c r="P294" s="165"/>
      <c r="Q294" s="165"/>
      <c r="R294" s="165"/>
      <c r="S294" s="165"/>
      <c r="T294" s="165"/>
      <c r="U294" s="165"/>
      <c r="V294" s="165"/>
      <c r="W294" s="165"/>
      <c r="X294" s="165"/>
      <c r="Y294" s="165"/>
      <c r="Z294" s="165"/>
    </row>
    <row r="295" spans="16:26">
      <c r="P295" s="165"/>
      <c r="Q295" s="165"/>
      <c r="R295" s="165"/>
      <c r="S295" s="165"/>
      <c r="T295" s="165"/>
      <c r="U295" s="165"/>
      <c r="V295" s="165"/>
      <c r="W295" s="165"/>
      <c r="X295" s="165"/>
      <c r="Y295" s="165"/>
      <c r="Z295" s="165"/>
    </row>
    <row r="296" spans="16:26">
      <c r="P296" s="165"/>
      <c r="Q296" s="165"/>
      <c r="R296" s="165"/>
      <c r="S296" s="165"/>
      <c r="T296" s="165"/>
      <c r="U296" s="165"/>
      <c r="V296" s="165"/>
      <c r="W296" s="165"/>
      <c r="X296" s="165"/>
      <c r="Y296" s="165"/>
      <c r="Z296" s="165"/>
    </row>
    <row r="297" spans="16:26">
      <c r="P297" s="165"/>
      <c r="Q297" s="165"/>
      <c r="R297" s="165"/>
      <c r="S297" s="165"/>
      <c r="T297" s="165"/>
      <c r="U297" s="165"/>
      <c r="V297" s="165"/>
      <c r="W297" s="165"/>
      <c r="X297" s="165"/>
      <c r="Y297" s="165"/>
      <c r="Z297" s="165"/>
    </row>
    <row r="298" spans="16:26">
      <c r="P298" s="165"/>
      <c r="Q298" s="165"/>
      <c r="R298" s="165"/>
      <c r="S298" s="165"/>
      <c r="T298" s="165"/>
      <c r="U298" s="165"/>
      <c r="V298" s="165"/>
      <c r="W298" s="165"/>
      <c r="X298" s="165"/>
      <c r="Y298" s="165"/>
      <c r="Z298" s="165"/>
    </row>
    <row r="299" spans="16:26">
      <c r="P299" s="165"/>
      <c r="Q299" s="165"/>
      <c r="R299" s="165"/>
      <c r="S299" s="165"/>
      <c r="T299" s="165"/>
      <c r="U299" s="165"/>
      <c r="V299" s="165"/>
      <c r="W299" s="165"/>
      <c r="X299" s="165"/>
      <c r="Y299" s="165"/>
      <c r="Z299" s="165"/>
    </row>
    <row r="300" spans="16:26">
      <c r="P300" s="165"/>
      <c r="Q300" s="165"/>
      <c r="R300" s="165"/>
      <c r="S300" s="165"/>
      <c r="T300" s="165"/>
      <c r="U300" s="165"/>
      <c r="V300" s="165"/>
      <c r="W300" s="165"/>
      <c r="X300" s="165"/>
      <c r="Y300" s="165"/>
      <c r="Z300" s="165"/>
    </row>
    <row r="301" spans="16:26">
      <c r="P301" s="165"/>
      <c r="Q301" s="165"/>
      <c r="R301" s="165"/>
      <c r="S301" s="165"/>
      <c r="T301" s="165"/>
      <c r="U301" s="165"/>
      <c r="V301" s="165"/>
      <c r="W301" s="165"/>
      <c r="X301" s="165"/>
      <c r="Y301" s="165"/>
      <c r="Z301" s="165"/>
    </row>
    <row r="302" spans="16:26">
      <c r="P302" s="165"/>
      <c r="Q302" s="165"/>
      <c r="R302" s="165"/>
      <c r="S302" s="165"/>
      <c r="T302" s="165"/>
      <c r="U302" s="165"/>
      <c r="V302" s="165"/>
      <c r="W302" s="165"/>
      <c r="X302" s="165"/>
      <c r="Y302" s="165"/>
      <c r="Z302" s="165"/>
    </row>
    <row r="303" spans="16:26">
      <c r="P303" s="165"/>
      <c r="Q303" s="165"/>
      <c r="R303" s="165"/>
      <c r="S303" s="165"/>
      <c r="T303" s="165"/>
      <c r="U303" s="165"/>
      <c r="V303" s="165"/>
      <c r="W303" s="165"/>
      <c r="X303" s="165"/>
      <c r="Y303" s="165"/>
      <c r="Z303" s="165"/>
    </row>
    <row r="304" spans="16:26">
      <c r="P304" s="165"/>
      <c r="Q304" s="165"/>
      <c r="R304" s="165"/>
      <c r="S304" s="165"/>
      <c r="T304" s="165"/>
      <c r="U304" s="165"/>
      <c r="V304" s="165"/>
      <c r="W304" s="165"/>
      <c r="X304" s="165"/>
      <c r="Y304" s="165"/>
      <c r="Z304" s="165"/>
    </row>
    <row r="305" spans="16:26">
      <c r="P305" s="165"/>
      <c r="Q305" s="165"/>
      <c r="R305" s="165"/>
      <c r="S305" s="165"/>
      <c r="T305" s="165"/>
      <c r="U305" s="165"/>
      <c r="V305" s="165"/>
      <c r="W305" s="165"/>
      <c r="X305" s="165"/>
      <c r="Y305" s="165"/>
      <c r="Z305" s="165"/>
    </row>
    <row r="306" spans="16:26">
      <c r="P306" s="165"/>
      <c r="Q306" s="165"/>
      <c r="R306" s="165"/>
      <c r="S306" s="165"/>
      <c r="T306" s="165"/>
      <c r="U306" s="165"/>
      <c r="V306" s="165"/>
      <c r="W306" s="165"/>
      <c r="X306" s="165"/>
      <c r="Y306" s="165"/>
      <c r="Z306" s="165"/>
    </row>
    <row r="307" spans="16:26">
      <c r="P307" s="165"/>
      <c r="Q307" s="165"/>
      <c r="R307" s="165"/>
      <c r="S307" s="165"/>
      <c r="T307" s="165"/>
      <c r="U307" s="165"/>
      <c r="V307" s="165"/>
      <c r="W307" s="165"/>
      <c r="X307" s="165"/>
      <c r="Y307" s="165"/>
      <c r="Z307" s="165"/>
    </row>
    <row r="308" spans="16:26">
      <c r="P308" s="165"/>
      <c r="Q308" s="165"/>
      <c r="R308" s="165"/>
      <c r="S308" s="165"/>
      <c r="T308" s="165"/>
      <c r="U308" s="165"/>
      <c r="V308" s="165"/>
      <c r="W308" s="165"/>
      <c r="X308" s="165"/>
      <c r="Y308" s="165"/>
      <c r="Z308" s="165"/>
    </row>
    <row r="309" spans="16:26">
      <c r="P309" s="165"/>
      <c r="Q309" s="165"/>
      <c r="R309" s="165"/>
      <c r="S309" s="165"/>
      <c r="T309" s="165"/>
      <c r="U309" s="165"/>
      <c r="V309" s="165"/>
      <c r="W309" s="165"/>
      <c r="X309" s="165"/>
      <c r="Y309" s="165"/>
      <c r="Z309" s="165"/>
    </row>
    <row r="310" spans="16:26">
      <c r="P310" s="165"/>
      <c r="Q310" s="165"/>
      <c r="R310" s="165"/>
      <c r="S310" s="165"/>
      <c r="T310" s="165"/>
      <c r="U310" s="165"/>
      <c r="V310" s="165"/>
      <c r="W310" s="165"/>
      <c r="X310" s="165"/>
      <c r="Y310" s="165"/>
      <c r="Z310" s="165"/>
    </row>
    <row r="311" spans="16:26">
      <c r="P311" s="165"/>
      <c r="Q311" s="165"/>
      <c r="R311" s="165"/>
      <c r="S311" s="165"/>
      <c r="T311" s="165"/>
      <c r="U311" s="165"/>
      <c r="V311" s="165"/>
      <c r="W311" s="165"/>
      <c r="X311" s="165"/>
      <c r="Y311" s="165"/>
      <c r="Z311" s="165"/>
    </row>
    <row r="312" spans="16:26">
      <c r="P312" s="165"/>
      <c r="Q312" s="165"/>
      <c r="R312" s="165"/>
      <c r="S312" s="165"/>
      <c r="T312" s="165"/>
      <c r="U312" s="165"/>
      <c r="V312" s="165"/>
      <c r="W312" s="165"/>
      <c r="X312" s="165"/>
      <c r="Y312" s="165"/>
      <c r="Z312" s="165"/>
    </row>
    <row r="313" spans="16:26">
      <c r="P313" s="165"/>
      <c r="Q313" s="165"/>
      <c r="R313" s="165"/>
      <c r="S313" s="165"/>
      <c r="T313" s="165"/>
      <c r="U313" s="165"/>
      <c r="V313" s="165"/>
      <c r="W313" s="165"/>
      <c r="X313" s="165"/>
      <c r="Y313" s="165"/>
      <c r="Z313" s="165"/>
    </row>
    <row r="314" spans="16:26">
      <c r="P314" s="165"/>
      <c r="Q314" s="165"/>
      <c r="R314" s="165"/>
      <c r="S314" s="165"/>
      <c r="T314" s="165"/>
      <c r="U314" s="165"/>
      <c r="V314" s="165"/>
      <c r="W314" s="165"/>
      <c r="X314" s="165"/>
      <c r="Y314" s="165"/>
      <c r="Z314" s="165"/>
    </row>
    <row r="315" spans="16:26">
      <c r="P315" s="165"/>
      <c r="Q315" s="165"/>
      <c r="R315" s="165"/>
      <c r="S315" s="165"/>
      <c r="T315" s="165"/>
      <c r="U315" s="165"/>
      <c r="V315" s="165"/>
      <c r="W315" s="165"/>
      <c r="X315" s="165"/>
      <c r="Y315" s="165"/>
      <c r="Z315" s="165"/>
    </row>
    <row r="316" spans="16:26">
      <c r="P316" s="165"/>
      <c r="Q316" s="165"/>
      <c r="R316" s="165"/>
      <c r="S316" s="165"/>
      <c r="T316" s="165"/>
      <c r="U316" s="165"/>
      <c r="V316" s="165"/>
      <c r="W316" s="165"/>
      <c r="X316" s="165"/>
      <c r="Y316" s="165"/>
      <c r="Z316" s="165"/>
    </row>
    <row r="317" spans="16:26">
      <c r="P317" s="165"/>
      <c r="Q317" s="165"/>
      <c r="R317" s="165"/>
      <c r="S317" s="165"/>
      <c r="T317" s="165"/>
      <c r="U317" s="165"/>
      <c r="V317" s="165"/>
      <c r="W317" s="165"/>
      <c r="X317" s="165"/>
      <c r="Y317" s="165"/>
      <c r="Z317" s="165"/>
    </row>
    <row r="318" spans="16:26">
      <c r="P318" s="165"/>
      <c r="Q318" s="165"/>
      <c r="R318" s="165"/>
      <c r="S318" s="165"/>
      <c r="T318" s="165"/>
      <c r="U318" s="165"/>
      <c r="V318" s="165"/>
      <c r="W318" s="165"/>
      <c r="X318" s="165"/>
      <c r="Y318" s="165"/>
      <c r="Z318" s="165"/>
    </row>
    <row r="319" spans="16:26">
      <c r="P319" s="165"/>
      <c r="Q319" s="165"/>
      <c r="R319" s="165"/>
      <c r="S319" s="165"/>
      <c r="T319" s="165"/>
      <c r="U319" s="165"/>
      <c r="V319" s="165"/>
      <c r="W319" s="165"/>
      <c r="X319" s="165"/>
      <c r="Y319" s="165"/>
      <c r="Z319" s="165"/>
    </row>
    <row r="320" spans="16:26">
      <c r="P320" s="165"/>
      <c r="Q320" s="165"/>
      <c r="R320" s="165"/>
      <c r="S320" s="165"/>
      <c r="T320" s="165"/>
      <c r="U320" s="165"/>
      <c r="V320" s="165"/>
      <c r="W320" s="165"/>
      <c r="X320" s="165"/>
      <c r="Y320" s="165"/>
      <c r="Z320" s="165"/>
    </row>
    <row r="321" spans="16:26">
      <c r="P321" s="165"/>
      <c r="Q321" s="165"/>
      <c r="R321" s="165"/>
      <c r="S321" s="165"/>
      <c r="T321" s="165"/>
      <c r="U321" s="165"/>
      <c r="V321" s="165"/>
      <c r="W321" s="165"/>
      <c r="X321" s="165"/>
      <c r="Y321" s="165"/>
      <c r="Z321" s="165"/>
    </row>
    <row r="322" spans="16:26">
      <c r="P322" s="165"/>
      <c r="Q322" s="165"/>
      <c r="R322" s="165"/>
      <c r="S322" s="165"/>
      <c r="T322" s="165"/>
      <c r="U322" s="165"/>
      <c r="V322" s="165"/>
      <c r="W322" s="165"/>
      <c r="X322" s="165"/>
      <c r="Y322" s="165"/>
      <c r="Z322" s="165"/>
    </row>
    <row r="323" spans="16:26">
      <c r="P323" s="165"/>
      <c r="Q323" s="165"/>
      <c r="R323" s="165"/>
      <c r="S323" s="165"/>
      <c r="T323" s="165"/>
      <c r="U323" s="165"/>
      <c r="V323" s="165"/>
      <c r="W323" s="165"/>
      <c r="X323" s="165"/>
      <c r="Y323" s="165"/>
      <c r="Z323" s="165"/>
    </row>
    <row r="324" spans="16:26">
      <c r="P324" s="165"/>
      <c r="Q324" s="165"/>
      <c r="R324" s="165"/>
      <c r="S324" s="165"/>
      <c r="T324" s="165"/>
      <c r="U324" s="165"/>
      <c r="V324" s="165"/>
      <c r="W324" s="165"/>
      <c r="X324" s="165"/>
      <c r="Y324" s="165"/>
      <c r="Z324" s="165"/>
    </row>
    <row r="325" spans="16:26">
      <c r="P325" s="165"/>
      <c r="Q325" s="165"/>
      <c r="R325" s="165"/>
      <c r="S325" s="165"/>
      <c r="T325" s="165"/>
      <c r="U325" s="165"/>
      <c r="V325" s="165"/>
      <c r="W325" s="165"/>
      <c r="X325" s="165"/>
      <c r="Y325" s="165"/>
      <c r="Z325" s="165"/>
    </row>
    <row r="326" spans="16:26">
      <c r="P326" s="165"/>
      <c r="Q326" s="165"/>
      <c r="R326" s="165"/>
      <c r="S326" s="165"/>
      <c r="T326" s="165"/>
      <c r="U326" s="165"/>
      <c r="V326" s="165"/>
      <c r="W326" s="165"/>
      <c r="X326" s="165"/>
      <c r="Y326" s="165"/>
      <c r="Z326" s="165"/>
    </row>
    <row r="327" spans="16:26">
      <c r="P327" s="165"/>
      <c r="Q327" s="165"/>
      <c r="R327" s="165"/>
      <c r="S327" s="165"/>
      <c r="T327" s="165"/>
      <c r="U327" s="165"/>
      <c r="V327" s="165"/>
      <c r="W327" s="165"/>
      <c r="X327" s="165"/>
      <c r="Y327" s="165"/>
      <c r="Z327" s="165"/>
    </row>
    <row r="328" spans="16:26">
      <c r="P328" s="165"/>
      <c r="Q328" s="165"/>
      <c r="R328" s="165"/>
      <c r="S328" s="165"/>
      <c r="T328" s="165"/>
      <c r="U328" s="165"/>
      <c r="V328" s="165"/>
      <c r="W328" s="165"/>
      <c r="X328" s="165"/>
      <c r="Y328" s="165"/>
      <c r="Z328" s="165"/>
    </row>
    <row r="329" spans="16:26">
      <c r="P329" s="165"/>
      <c r="Q329" s="165"/>
      <c r="R329" s="165"/>
      <c r="S329" s="165"/>
      <c r="T329" s="165"/>
      <c r="U329" s="165"/>
      <c r="V329" s="165"/>
      <c r="W329" s="165"/>
      <c r="X329" s="165"/>
      <c r="Y329" s="165"/>
      <c r="Z329" s="165"/>
    </row>
    <row r="330" spans="16:26">
      <c r="P330" s="165"/>
      <c r="Q330" s="165"/>
      <c r="R330" s="165"/>
      <c r="S330" s="165"/>
      <c r="T330" s="165"/>
      <c r="U330" s="165"/>
      <c r="V330" s="165"/>
      <c r="W330" s="165"/>
      <c r="X330" s="165"/>
      <c r="Y330" s="165"/>
      <c r="Z330" s="165"/>
    </row>
    <row r="331" spans="16:26">
      <c r="P331" s="165"/>
      <c r="Q331" s="165"/>
      <c r="R331" s="165"/>
      <c r="S331" s="165"/>
      <c r="T331" s="165"/>
      <c r="U331" s="165"/>
      <c r="V331" s="165"/>
      <c r="W331" s="165"/>
      <c r="X331" s="165"/>
      <c r="Y331" s="165"/>
      <c r="Z331" s="165"/>
    </row>
    <row r="332" spans="16:26">
      <c r="P332" s="165"/>
      <c r="Q332" s="165"/>
      <c r="R332" s="165"/>
      <c r="S332" s="165"/>
      <c r="T332" s="165"/>
      <c r="U332" s="165"/>
      <c r="V332" s="165"/>
      <c r="W332" s="165"/>
      <c r="X332" s="165"/>
      <c r="Y332" s="165"/>
      <c r="Z332" s="165"/>
    </row>
    <row r="333" spans="16:26">
      <c r="P333" s="165"/>
      <c r="Q333" s="165"/>
      <c r="R333" s="165"/>
      <c r="S333" s="165"/>
      <c r="T333" s="165"/>
      <c r="U333" s="165"/>
      <c r="V333" s="165"/>
      <c r="W333" s="165"/>
      <c r="X333" s="165"/>
      <c r="Y333" s="165"/>
      <c r="Z333" s="165"/>
    </row>
    <row r="334" spans="16:26">
      <c r="P334" s="165"/>
      <c r="Q334" s="165"/>
      <c r="R334" s="165"/>
      <c r="S334" s="165"/>
      <c r="T334" s="165"/>
      <c r="U334" s="165"/>
      <c r="V334" s="165"/>
      <c r="W334" s="165"/>
      <c r="X334" s="165"/>
      <c r="Y334" s="165"/>
      <c r="Z334" s="165"/>
    </row>
    <row r="335" spans="16:26">
      <c r="P335" s="165"/>
      <c r="Q335" s="165"/>
      <c r="R335" s="165"/>
      <c r="S335" s="165"/>
      <c r="T335" s="165"/>
      <c r="U335" s="165"/>
      <c r="V335" s="165"/>
      <c r="W335" s="165"/>
      <c r="X335" s="165"/>
      <c r="Y335" s="165"/>
      <c r="Z335" s="165"/>
    </row>
    <row r="336" spans="16:26">
      <c r="P336" s="165"/>
      <c r="Q336" s="165"/>
      <c r="R336" s="165"/>
      <c r="S336" s="165"/>
      <c r="T336" s="165"/>
      <c r="U336" s="165"/>
      <c r="V336" s="165"/>
      <c r="W336" s="165"/>
      <c r="X336" s="165"/>
      <c r="Y336" s="165"/>
      <c r="Z336" s="165"/>
    </row>
    <row r="337" spans="16:26">
      <c r="P337" s="165"/>
      <c r="Q337" s="165"/>
      <c r="R337" s="165"/>
      <c r="S337" s="165"/>
      <c r="T337" s="165"/>
      <c r="U337" s="165"/>
      <c r="V337" s="165"/>
      <c r="W337" s="165"/>
      <c r="X337" s="165"/>
      <c r="Y337" s="165"/>
      <c r="Z337" s="165"/>
    </row>
    <row r="338" spans="16:26">
      <c r="P338" s="165"/>
      <c r="Q338" s="165"/>
      <c r="R338" s="165"/>
      <c r="S338" s="165"/>
      <c r="T338" s="165"/>
      <c r="U338" s="165"/>
      <c r="V338" s="165"/>
      <c r="W338" s="165"/>
      <c r="X338" s="165"/>
      <c r="Y338" s="165"/>
      <c r="Z338" s="165"/>
    </row>
    <row r="339" spans="16:26">
      <c r="P339" s="165"/>
      <c r="Q339" s="165"/>
      <c r="R339" s="165"/>
      <c r="S339" s="165"/>
      <c r="T339" s="165"/>
      <c r="U339" s="165"/>
      <c r="V339" s="165"/>
      <c r="W339" s="165"/>
      <c r="X339" s="165"/>
      <c r="Y339" s="165"/>
      <c r="Z339" s="165"/>
    </row>
    <row r="340" spans="16:26">
      <c r="P340" s="165"/>
      <c r="Q340" s="165"/>
      <c r="R340" s="165"/>
      <c r="S340" s="165"/>
      <c r="T340" s="165"/>
      <c r="U340" s="165"/>
      <c r="V340" s="165"/>
      <c r="W340" s="165"/>
      <c r="X340" s="165"/>
      <c r="Y340" s="165"/>
      <c r="Z340" s="165"/>
    </row>
    <row r="341" spans="16:26">
      <c r="P341" s="165"/>
      <c r="Q341" s="165"/>
      <c r="R341" s="165"/>
      <c r="S341" s="165"/>
      <c r="T341" s="165"/>
      <c r="U341" s="165"/>
      <c r="V341" s="165"/>
      <c r="W341" s="165"/>
      <c r="X341" s="165"/>
      <c r="Y341" s="165"/>
      <c r="Z341" s="165"/>
    </row>
    <row r="342" spans="16:26">
      <c r="P342" s="165"/>
      <c r="Q342" s="165"/>
      <c r="R342" s="165"/>
      <c r="S342" s="165"/>
      <c r="T342" s="165"/>
      <c r="U342" s="165"/>
      <c r="V342" s="165"/>
      <c r="W342" s="165"/>
      <c r="X342" s="165"/>
      <c r="Y342" s="165"/>
      <c r="Z342" s="165"/>
    </row>
    <row r="343" spans="16:26">
      <c r="P343" s="165"/>
      <c r="Q343" s="165"/>
      <c r="R343" s="165"/>
      <c r="S343" s="165"/>
      <c r="T343" s="165"/>
      <c r="U343" s="165"/>
      <c r="V343" s="165"/>
      <c r="W343" s="165"/>
      <c r="X343" s="165"/>
      <c r="Y343" s="165"/>
      <c r="Z343" s="165"/>
    </row>
    <row r="344" spans="16:26">
      <c r="P344" s="165"/>
      <c r="Q344" s="165"/>
      <c r="R344" s="165"/>
      <c r="S344" s="165"/>
      <c r="T344" s="165"/>
      <c r="U344" s="165"/>
      <c r="V344" s="165"/>
      <c r="W344" s="165"/>
      <c r="X344" s="165"/>
      <c r="Y344" s="165"/>
      <c r="Z344" s="165"/>
    </row>
    <row r="345" spans="16:26">
      <c r="P345" s="165"/>
      <c r="Q345" s="165"/>
      <c r="R345" s="165"/>
      <c r="S345" s="165"/>
      <c r="T345" s="165"/>
      <c r="U345" s="165"/>
      <c r="V345" s="165"/>
      <c r="W345" s="165"/>
      <c r="X345" s="165"/>
      <c r="Y345" s="165"/>
      <c r="Z345" s="165"/>
    </row>
    <row r="346" spans="16:26">
      <c r="P346" s="165"/>
      <c r="Q346" s="165"/>
      <c r="R346" s="165"/>
      <c r="S346" s="165"/>
      <c r="T346" s="165"/>
      <c r="U346" s="165"/>
      <c r="V346" s="165"/>
      <c r="W346" s="165"/>
      <c r="X346" s="165"/>
      <c r="Y346" s="165"/>
      <c r="Z346" s="165"/>
    </row>
    <row r="347" spans="16:26">
      <c r="P347" s="165"/>
      <c r="Q347" s="165"/>
      <c r="R347" s="165"/>
      <c r="S347" s="165"/>
      <c r="T347" s="165"/>
      <c r="U347" s="165"/>
      <c r="V347" s="165"/>
      <c r="W347" s="165"/>
      <c r="X347" s="165"/>
      <c r="Y347" s="165"/>
      <c r="Z347" s="165"/>
    </row>
    <row r="348" spans="16:26">
      <c r="P348" s="165"/>
      <c r="Q348" s="165"/>
      <c r="R348" s="165"/>
      <c r="S348" s="165"/>
      <c r="T348" s="165"/>
      <c r="U348" s="165"/>
      <c r="V348" s="165"/>
      <c r="W348" s="165"/>
      <c r="X348" s="165"/>
      <c r="Y348" s="165"/>
      <c r="Z348" s="165"/>
    </row>
    <row r="349" spans="16:26">
      <c r="P349" s="165"/>
      <c r="Q349" s="165"/>
      <c r="R349" s="165"/>
      <c r="S349" s="165"/>
      <c r="T349" s="165"/>
      <c r="U349" s="165"/>
      <c r="V349" s="165"/>
      <c r="W349" s="165"/>
      <c r="X349" s="165"/>
      <c r="Y349" s="165"/>
      <c r="Z349" s="165"/>
    </row>
    <row r="350" spans="16:26">
      <c r="P350" s="165"/>
      <c r="Q350" s="165"/>
      <c r="R350" s="165"/>
      <c r="S350" s="165"/>
      <c r="T350" s="165"/>
      <c r="U350" s="165"/>
      <c r="V350" s="165"/>
      <c r="W350" s="165"/>
      <c r="X350" s="165"/>
      <c r="Y350" s="165"/>
      <c r="Z350" s="165"/>
    </row>
    <row r="351" spans="16:26">
      <c r="P351" s="165"/>
      <c r="Q351" s="165"/>
      <c r="R351" s="165"/>
      <c r="S351" s="165"/>
      <c r="T351" s="165"/>
      <c r="U351" s="165"/>
      <c r="V351" s="165"/>
      <c r="W351" s="165"/>
      <c r="X351" s="165"/>
      <c r="Y351" s="165"/>
      <c r="Z351" s="165"/>
    </row>
    <row r="352" spans="16:26">
      <c r="P352" s="165"/>
      <c r="Q352" s="165"/>
      <c r="R352" s="165"/>
      <c r="S352" s="165"/>
      <c r="T352" s="165"/>
      <c r="U352" s="165"/>
      <c r="V352" s="165"/>
      <c r="W352" s="165"/>
      <c r="X352" s="165"/>
      <c r="Y352" s="165"/>
      <c r="Z352" s="165"/>
    </row>
    <row r="353" spans="16:26">
      <c r="P353" s="165"/>
      <c r="Q353" s="165"/>
      <c r="R353" s="165"/>
      <c r="S353" s="165"/>
      <c r="T353" s="165"/>
      <c r="U353" s="165"/>
      <c r="V353" s="165"/>
      <c r="W353" s="165"/>
      <c r="X353" s="165"/>
      <c r="Y353" s="165"/>
      <c r="Z353" s="165"/>
    </row>
    <row r="354" spans="16:26">
      <c r="P354" s="165"/>
      <c r="Q354" s="165"/>
      <c r="R354" s="165"/>
      <c r="S354" s="165"/>
      <c r="T354" s="165"/>
      <c r="U354" s="165"/>
      <c r="V354" s="165"/>
      <c r="W354" s="165"/>
      <c r="X354" s="165"/>
      <c r="Y354" s="165"/>
      <c r="Z354" s="165"/>
    </row>
    <row r="355" spans="16:26">
      <c r="P355" s="165"/>
      <c r="Q355" s="165"/>
      <c r="R355" s="165"/>
      <c r="S355" s="165"/>
      <c r="T355" s="165"/>
      <c r="U355" s="165"/>
      <c r="V355" s="165"/>
      <c r="W355" s="165"/>
      <c r="X355" s="165"/>
      <c r="Y355" s="165"/>
      <c r="Z355" s="165"/>
    </row>
    <row r="356" spans="16:26">
      <c r="P356" s="165"/>
      <c r="Q356" s="165"/>
      <c r="R356" s="165"/>
      <c r="S356" s="165"/>
      <c r="T356" s="165"/>
      <c r="U356" s="165"/>
      <c r="V356" s="165"/>
      <c r="W356" s="165"/>
      <c r="X356" s="165"/>
      <c r="Y356" s="165"/>
      <c r="Z356" s="165"/>
    </row>
    <row r="357" spans="16:26">
      <c r="P357" s="165"/>
      <c r="Q357" s="165"/>
      <c r="R357" s="165"/>
      <c r="S357" s="165"/>
      <c r="T357" s="165"/>
      <c r="U357" s="165"/>
      <c r="V357" s="165"/>
      <c r="W357" s="165"/>
      <c r="X357" s="165"/>
      <c r="Y357" s="165"/>
      <c r="Z357" s="165"/>
    </row>
    <row r="358" spans="16:26">
      <c r="P358" s="165"/>
      <c r="Q358" s="165"/>
      <c r="R358" s="165"/>
      <c r="S358" s="165"/>
      <c r="T358" s="165"/>
      <c r="U358" s="165"/>
      <c r="V358" s="165"/>
      <c r="W358" s="165"/>
      <c r="X358" s="165"/>
      <c r="Y358" s="165"/>
      <c r="Z358" s="165"/>
    </row>
    <row r="359" spans="16:26">
      <c r="P359" s="165"/>
      <c r="Q359" s="165"/>
      <c r="R359" s="165"/>
      <c r="S359" s="165"/>
      <c r="T359" s="165"/>
      <c r="U359" s="165"/>
      <c r="V359" s="165"/>
      <c r="W359" s="165"/>
      <c r="X359" s="165"/>
      <c r="Y359" s="165"/>
      <c r="Z359" s="165"/>
    </row>
    <row r="360" spans="16:26">
      <c r="P360" s="165"/>
      <c r="Q360" s="165"/>
      <c r="R360" s="165"/>
      <c r="S360" s="165"/>
      <c r="T360" s="165"/>
      <c r="U360" s="165"/>
      <c r="V360" s="165"/>
      <c r="W360" s="165"/>
      <c r="X360" s="165"/>
      <c r="Y360" s="165"/>
      <c r="Z360" s="165"/>
    </row>
    <row r="361" spans="16:26">
      <c r="P361" s="165"/>
      <c r="Q361" s="165"/>
      <c r="R361" s="165"/>
      <c r="S361" s="165"/>
      <c r="T361" s="165"/>
      <c r="U361" s="165"/>
      <c r="V361" s="165"/>
      <c r="W361" s="165"/>
      <c r="X361" s="165"/>
      <c r="Y361" s="165"/>
      <c r="Z361" s="165"/>
    </row>
    <row r="362" spans="16:26">
      <c r="P362" s="165"/>
      <c r="Q362" s="165"/>
      <c r="R362" s="165"/>
      <c r="S362" s="165"/>
      <c r="T362" s="165"/>
      <c r="U362" s="165"/>
      <c r="V362" s="165"/>
      <c r="W362" s="165"/>
      <c r="X362" s="165"/>
      <c r="Y362" s="165"/>
      <c r="Z362" s="165"/>
    </row>
    <row r="363" spans="16:26">
      <c r="P363" s="165"/>
      <c r="Q363" s="165"/>
      <c r="R363" s="165"/>
      <c r="S363" s="165"/>
      <c r="T363" s="165"/>
      <c r="U363" s="165"/>
      <c r="V363" s="165"/>
      <c r="W363" s="165"/>
      <c r="X363" s="165"/>
      <c r="Y363" s="165"/>
      <c r="Z363" s="165"/>
    </row>
    <row r="364" spans="16:26">
      <c r="P364" s="165"/>
      <c r="Q364" s="165"/>
      <c r="R364" s="165"/>
      <c r="S364" s="165"/>
      <c r="T364" s="165"/>
      <c r="U364" s="165"/>
      <c r="V364" s="165"/>
      <c r="W364" s="165"/>
      <c r="X364" s="165"/>
      <c r="Y364" s="165"/>
      <c r="Z364" s="165"/>
    </row>
    <row r="365" spans="16:26">
      <c r="P365" s="165"/>
      <c r="Q365" s="165"/>
      <c r="R365" s="165"/>
      <c r="S365" s="165"/>
      <c r="T365" s="165"/>
      <c r="U365" s="165"/>
      <c r="V365" s="165"/>
      <c r="W365" s="165"/>
      <c r="X365" s="165"/>
      <c r="Y365" s="165"/>
      <c r="Z365" s="165"/>
    </row>
    <row r="366" spans="16:26">
      <c r="P366" s="165"/>
      <c r="Q366" s="165"/>
      <c r="R366" s="165"/>
      <c r="S366" s="165"/>
      <c r="T366" s="165"/>
      <c r="U366" s="165"/>
      <c r="V366" s="165"/>
      <c r="W366" s="165"/>
      <c r="X366" s="165"/>
      <c r="Y366" s="165"/>
      <c r="Z366" s="165"/>
    </row>
    <row r="367" spans="16:26">
      <c r="P367" s="165"/>
      <c r="Q367" s="165"/>
      <c r="R367" s="165"/>
      <c r="S367" s="165"/>
      <c r="T367" s="165"/>
      <c r="U367" s="165"/>
      <c r="V367" s="165"/>
      <c r="W367" s="165"/>
      <c r="X367" s="165"/>
      <c r="Y367" s="165"/>
      <c r="Z367" s="165"/>
    </row>
    <row r="368" spans="16:26">
      <c r="P368" s="165"/>
      <c r="Q368" s="165"/>
      <c r="R368" s="165"/>
      <c r="S368" s="165"/>
      <c r="T368" s="165"/>
      <c r="U368" s="165"/>
      <c r="V368" s="165"/>
      <c r="W368" s="165"/>
      <c r="X368" s="165"/>
      <c r="Y368" s="165"/>
      <c r="Z368" s="165"/>
    </row>
    <row r="369" spans="16:26">
      <c r="P369" s="165"/>
      <c r="Q369" s="165"/>
      <c r="R369" s="165"/>
      <c r="S369" s="165"/>
      <c r="T369" s="165"/>
      <c r="U369" s="165"/>
      <c r="V369" s="165"/>
      <c r="W369" s="165"/>
      <c r="X369" s="165"/>
      <c r="Y369" s="165"/>
      <c r="Z369" s="165"/>
    </row>
    <row r="370" spans="16:26">
      <c r="P370" s="165"/>
      <c r="Q370" s="165"/>
      <c r="R370" s="165"/>
      <c r="S370" s="165"/>
      <c r="T370" s="165"/>
      <c r="U370" s="165"/>
      <c r="V370" s="165"/>
      <c r="W370" s="165"/>
      <c r="X370" s="165"/>
      <c r="Y370" s="165"/>
      <c r="Z370" s="165"/>
    </row>
    <row r="371" spans="16:26">
      <c r="P371" s="165"/>
      <c r="Q371" s="165"/>
      <c r="R371" s="165"/>
      <c r="S371" s="165"/>
      <c r="T371" s="165"/>
      <c r="U371" s="165"/>
      <c r="V371" s="165"/>
      <c r="W371" s="165"/>
      <c r="X371" s="165"/>
      <c r="Y371" s="165"/>
      <c r="Z371" s="165"/>
    </row>
    <row r="372" spans="16:26">
      <c r="P372" s="165"/>
      <c r="Q372" s="165"/>
      <c r="R372" s="165"/>
      <c r="S372" s="165"/>
      <c r="T372" s="165"/>
      <c r="U372" s="165"/>
      <c r="V372" s="165"/>
      <c r="W372" s="165"/>
      <c r="X372" s="165"/>
      <c r="Y372" s="165"/>
      <c r="Z372" s="165"/>
    </row>
    <row r="373" spans="16:26">
      <c r="P373" s="165"/>
      <c r="Q373" s="165"/>
      <c r="R373" s="165"/>
      <c r="S373" s="165"/>
      <c r="T373" s="165"/>
      <c r="U373" s="165"/>
      <c r="V373" s="165"/>
      <c r="W373" s="165"/>
      <c r="X373" s="165"/>
      <c r="Y373" s="165"/>
      <c r="Z373" s="165"/>
    </row>
    <row r="374" spans="16:26">
      <c r="P374" s="165"/>
      <c r="Q374" s="165"/>
      <c r="R374" s="165"/>
      <c r="S374" s="165"/>
      <c r="T374" s="165"/>
      <c r="U374" s="165"/>
      <c r="V374" s="165"/>
      <c r="W374" s="165"/>
      <c r="X374" s="165"/>
      <c r="Y374" s="165"/>
      <c r="Z374" s="165"/>
    </row>
    <row r="375" spans="16:26">
      <c r="P375" s="165"/>
      <c r="Q375" s="165"/>
      <c r="R375" s="165"/>
      <c r="S375" s="165"/>
      <c r="T375" s="165"/>
      <c r="U375" s="165"/>
      <c r="V375" s="165"/>
      <c r="W375" s="165"/>
      <c r="X375" s="165"/>
      <c r="Y375" s="165"/>
      <c r="Z375" s="165"/>
    </row>
    <row r="376" spans="16:26">
      <c r="P376" s="165"/>
      <c r="Q376" s="165"/>
      <c r="R376" s="165"/>
      <c r="S376" s="165"/>
      <c r="T376" s="165"/>
      <c r="U376" s="165"/>
      <c r="V376" s="165"/>
      <c r="W376" s="165"/>
      <c r="X376" s="165"/>
      <c r="Y376" s="165"/>
      <c r="Z376" s="165"/>
    </row>
    <row r="377" spans="16:26">
      <c r="P377" s="165"/>
      <c r="Q377" s="165"/>
      <c r="R377" s="165"/>
      <c r="S377" s="165"/>
      <c r="T377" s="165"/>
      <c r="U377" s="165"/>
      <c r="V377" s="165"/>
      <c r="W377" s="165"/>
      <c r="X377" s="165"/>
      <c r="Y377" s="165"/>
      <c r="Z377" s="165"/>
    </row>
    <row r="378" spans="16:26">
      <c r="P378" s="165"/>
      <c r="Q378" s="165"/>
      <c r="R378" s="165"/>
      <c r="S378" s="165"/>
      <c r="T378" s="165"/>
      <c r="U378" s="165"/>
      <c r="V378" s="165"/>
      <c r="W378" s="165"/>
      <c r="X378" s="165"/>
      <c r="Y378" s="165"/>
      <c r="Z378" s="165"/>
    </row>
    <row r="379" spans="16:26">
      <c r="P379" s="165"/>
      <c r="Q379" s="165"/>
      <c r="R379" s="165"/>
      <c r="S379" s="165"/>
      <c r="T379" s="165"/>
      <c r="U379" s="165"/>
      <c r="V379" s="165"/>
      <c r="W379" s="165"/>
      <c r="X379" s="165"/>
      <c r="Y379" s="165"/>
      <c r="Z379" s="165"/>
    </row>
    <row r="380" spans="16:26">
      <c r="P380" s="165"/>
      <c r="Q380" s="165"/>
      <c r="R380" s="165"/>
      <c r="S380" s="165"/>
      <c r="T380" s="165"/>
      <c r="U380" s="165"/>
      <c r="V380" s="165"/>
      <c r="W380" s="165"/>
      <c r="X380" s="165"/>
      <c r="Y380" s="165"/>
      <c r="Z380" s="165"/>
    </row>
    <row r="381" spans="16:26">
      <c r="P381" s="165"/>
      <c r="Q381" s="165"/>
      <c r="R381" s="165"/>
      <c r="S381" s="165"/>
      <c r="T381" s="165"/>
      <c r="U381" s="165"/>
      <c r="V381" s="165"/>
      <c r="W381" s="165"/>
      <c r="X381" s="165"/>
      <c r="Y381" s="165"/>
      <c r="Z381" s="165"/>
    </row>
    <row r="382" spans="16:26">
      <c r="P382" s="165"/>
      <c r="Q382" s="165"/>
      <c r="R382" s="165"/>
      <c r="S382" s="165"/>
      <c r="T382" s="165"/>
      <c r="U382" s="165"/>
      <c r="V382" s="165"/>
      <c r="W382" s="165"/>
      <c r="X382" s="165"/>
      <c r="Y382" s="165"/>
      <c r="Z382" s="165"/>
    </row>
    <row r="383" spans="16:26">
      <c r="P383" s="165"/>
      <c r="Q383" s="165"/>
      <c r="R383" s="165"/>
      <c r="S383" s="165"/>
      <c r="T383" s="165"/>
      <c r="U383" s="165"/>
      <c r="V383" s="165"/>
      <c r="W383" s="165"/>
      <c r="X383" s="165"/>
      <c r="Y383" s="165"/>
      <c r="Z383" s="165"/>
    </row>
    <row r="384" spans="16:26">
      <c r="P384" s="165"/>
      <c r="Q384" s="165"/>
      <c r="R384" s="165"/>
      <c r="S384" s="165"/>
      <c r="T384" s="165"/>
      <c r="U384" s="165"/>
      <c r="V384" s="165"/>
      <c r="W384" s="165"/>
      <c r="X384" s="165"/>
      <c r="Y384" s="165"/>
      <c r="Z384" s="165"/>
    </row>
    <row r="385" spans="16:26">
      <c r="P385" s="165"/>
      <c r="Q385" s="165"/>
      <c r="R385" s="165"/>
      <c r="S385" s="165"/>
      <c r="T385" s="165"/>
      <c r="U385" s="165"/>
      <c r="V385" s="165"/>
      <c r="W385" s="165"/>
      <c r="X385" s="165"/>
      <c r="Y385" s="165"/>
      <c r="Z385" s="165"/>
    </row>
    <row r="386" spans="16:26">
      <c r="P386" s="165"/>
      <c r="Q386" s="165"/>
      <c r="R386" s="165"/>
      <c r="S386" s="165"/>
      <c r="T386" s="165"/>
      <c r="U386" s="165"/>
      <c r="V386" s="165"/>
      <c r="W386" s="165"/>
      <c r="X386" s="165"/>
      <c r="Y386" s="165"/>
      <c r="Z386" s="165"/>
    </row>
    <row r="387" spans="16:26">
      <c r="P387" s="165"/>
      <c r="Q387" s="165"/>
      <c r="R387" s="165"/>
      <c r="S387" s="165"/>
      <c r="T387" s="165"/>
      <c r="U387" s="165"/>
      <c r="V387" s="165"/>
      <c r="W387" s="165"/>
      <c r="X387" s="165"/>
      <c r="Y387" s="165"/>
      <c r="Z387" s="165"/>
    </row>
    <row r="388" spans="16:26">
      <c r="P388" s="165"/>
      <c r="Q388" s="165"/>
      <c r="R388" s="165"/>
      <c r="S388" s="165"/>
      <c r="T388" s="165"/>
      <c r="U388" s="165"/>
      <c r="V388" s="165"/>
      <c r="W388" s="165"/>
      <c r="X388" s="165"/>
      <c r="Y388" s="165"/>
      <c r="Z388" s="165"/>
    </row>
    <row r="389" spans="16:26">
      <c r="P389" s="165"/>
      <c r="Q389" s="165"/>
      <c r="R389" s="165"/>
      <c r="S389" s="165"/>
      <c r="T389" s="165"/>
      <c r="U389" s="165"/>
      <c r="V389" s="165"/>
      <c r="W389" s="165"/>
      <c r="X389" s="165"/>
      <c r="Y389" s="165"/>
      <c r="Z389" s="165"/>
    </row>
    <row r="390" spans="16:26">
      <c r="P390" s="165"/>
      <c r="Q390" s="165"/>
      <c r="R390" s="165"/>
      <c r="S390" s="165"/>
      <c r="T390" s="165"/>
      <c r="U390" s="165"/>
      <c r="V390" s="165"/>
      <c r="W390" s="165"/>
      <c r="X390" s="165"/>
      <c r="Y390" s="165"/>
      <c r="Z390" s="165"/>
    </row>
    <row r="391" spans="16:26">
      <c r="P391" s="165"/>
      <c r="Q391" s="165"/>
      <c r="R391" s="165"/>
      <c r="S391" s="165"/>
      <c r="T391" s="165"/>
      <c r="U391" s="165"/>
      <c r="V391" s="165"/>
      <c r="W391" s="165"/>
      <c r="X391" s="165"/>
      <c r="Y391" s="165"/>
      <c r="Z391" s="165"/>
    </row>
    <row r="392" spans="16:26">
      <c r="P392" s="165"/>
      <c r="Q392" s="165"/>
      <c r="R392" s="165"/>
      <c r="S392" s="165"/>
      <c r="T392" s="165"/>
      <c r="U392" s="165"/>
      <c r="V392" s="165"/>
      <c r="W392" s="165"/>
      <c r="X392" s="165"/>
      <c r="Y392" s="165"/>
      <c r="Z392" s="165"/>
    </row>
    <row r="393" spans="16:26">
      <c r="P393" s="165"/>
      <c r="Q393" s="165"/>
      <c r="R393" s="165"/>
      <c r="S393" s="165"/>
      <c r="T393" s="165"/>
      <c r="U393" s="165"/>
      <c r="V393" s="165"/>
      <c r="W393" s="165"/>
      <c r="X393" s="165"/>
      <c r="Y393" s="165"/>
      <c r="Z393" s="165"/>
    </row>
    <row r="394" spans="16:26">
      <c r="P394" s="165"/>
      <c r="Q394" s="165"/>
      <c r="R394" s="165"/>
      <c r="S394" s="165"/>
      <c r="T394" s="165"/>
      <c r="U394" s="165"/>
      <c r="V394" s="165"/>
      <c r="W394" s="165"/>
      <c r="X394" s="165"/>
      <c r="Y394" s="165"/>
      <c r="Z394" s="165"/>
    </row>
    <row r="395" spans="16:26">
      <c r="P395" s="165"/>
      <c r="Q395" s="165"/>
      <c r="R395" s="165"/>
      <c r="S395" s="165"/>
      <c r="T395" s="165"/>
      <c r="U395" s="165"/>
      <c r="V395" s="165"/>
      <c r="W395" s="165"/>
      <c r="X395" s="165"/>
      <c r="Y395" s="165"/>
      <c r="Z395" s="165"/>
    </row>
    <row r="396" spans="16:26">
      <c r="P396" s="165"/>
      <c r="Q396" s="165"/>
      <c r="R396" s="165"/>
      <c r="S396" s="165"/>
      <c r="T396" s="165"/>
      <c r="U396" s="165"/>
      <c r="V396" s="165"/>
      <c r="W396" s="165"/>
      <c r="X396" s="165"/>
      <c r="Y396" s="165"/>
      <c r="Z396" s="165"/>
    </row>
    <row r="397" spans="16:26">
      <c r="P397" s="165"/>
      <c r="Q397" s="165"/>
      <c r="R397" s="165"/>
      <c r="S397" s="165"/>
      <c r="T397" s="165"/>
      <c r="U397" s="165"/>
      <c r="V397" s="165"/>
      <c r="W397" s="165"/>
      <c r="X397" s="165"/>
      <c r="Y397" s="165"/>
      <c r="Z397" s="165"/>
    </row>
    <row r="398" spans="16:26">
      <c r="P398" s="165"/>
      <c r="Q398" s="165"/>
      <c r="R398" s="165"/>
      <c r="S398" s="165"/>
      <c r="T398" s="165"/>
      <c r="U398" s="165"/>
      <c r="V398" s="165"/>
      <c r="W398" s="165"/>
      <c r="X398" s="165"/>
      <c r="Y398" s="165"/>
      <c r="Z398" s="165"/>
    </row>
    <row r="399" spans="16:26">
      <c r="P399" s="165"/>
      <c r="Q399" s="165"/>
      <c r="R399" s="165"/>
      <c r="S399" s="165"/>
      <c r="T399" s="165"/>
      <c r="U399" s="165"/>
      <c r="V399" s="165"/>
      <c r="W399" s="165"/>
      <c r="X399" s="165"/>
      <c r="Y399" s="165"/>
      <c r="Z399" s="165"/>
    </row>
    <row r="400" spans="16:26">
      <c r="P400" s="165"/>
      <c r="Q400" s="165"/>
      <c r="R400" s="165"/>
      <c r="S400" s="165"/>
      <c r="T400" s="165"/>
      <c r="U400" s="165"/>
      <c r="V400" s="165"/>
      <c r="W400" s="165"/>
      <c r="X400" s="165"/>
      <c r="Y400" s="165"/>
      <c r="Z400" s="165"/>
    </row>
    <row r="401" spans="16:26">
      <c r="P401" s="165"/>
      <c r="Q401" s="165"/>
      <c r="R401" s="165"/>
      <c r="S401" s="165"/>
      <c r="T401" s="165"/>
      <c r="U401" s="165"/>
      <c r="V401" s="165"/>
      <c r="W401" s="165"/>
      <c r="X401" s="165"/>
      <c r="Y401" s="165"/>
      <c r="Z401" s="165"/>
    </row>
    <row r="402" spans="16:26">
      <c r="P402" s="165"/>
      <c r="Q402" s="165"/>
      <c r="R402" s="165"/>
      <c r="S402" s="165"/>
      <c r="T402" s="165"/>
      <c r="U402" s="165"/>
      <c r="V402" s="165"/>
      <c r="W402" s="165"/>
      <c r="X402" s="165"/>
      <c r="Y402" s="165"/>
      <c r="Z402" s="165"/>
    </row>
    <row r="403" spans="16:26">
      <c r="P403" s="165"/>
      <c r="Q403" s="165"/>
      <c r="R403" s="165"/>
      <c r="S403" s="165"/>
      <c r="T403" s="165"/>
      <c r="U403" s="165"/>
      <c r="V403" s="165"/>
      <c r="W403" s="165"/>
      <c r="X403" s="165"/>
      <c r="Y403" s="165"/>
      <c r="Z403" s="165"/>
    </row>
    <row r="404" spans="16:26">
      <c r="P404" s="165"/>
      <c r="Q404" s="165"/>
      <c r="R404" s="165"/>
      <c r="S404" s="165"/>
      <c r="T404" s="165"/>
      <c r="U404" s="165"/>
      <c r="V404" s="165"/>
      <c r="W404" s="165"/>
      <c r="X404" s="165"/>
      <c r="Y404" s="165"/>
      <c r="Z404" s="165"/>
    </row>
    <row r="405" spans="16:26">
      <c r="P405" s="165"/>
      <c r="Q405" s="165"/>
      <c r="R405" s="165"/>
      <c r="S405" s="165"/>
      <c r="T405" s="165"/>
      <c r="U405" s="165"/>
      <c r="V405" s="165"/>
      <c r="W405" s="165"/>
      <c r="X405" s="165"/>
      <c r="Y405" s="165"/>
      <c r="Z405" s="165"/>
    </row>
    <row r="406" spans="16:26">
      <c r="P406" s="165"/>
      <c r="Q406" s="165"/>
      <c r="R406" s="165"/>
      <c r="S406" s="165"/>
      <c r="T406" s="165"/>
      <c r="U406" s="165"/>
      <c r="V406" s="165"/>
      <c r="W406" s="165"/>
      <c r="X406" s="165"/>
      <c r="Y406" s="165"/>
      <c r="Z406" s="165"/>
    </row>
    <row r="407" spans="16:26">
      <c r="P407" s="165"/>
      <c r="Q407" s="165"/>
      <c r="R407" s="165"/>
      <c r="S407" s="165"/>
      <c r="T407" s="165"/>
      <c r="U407" s="165"/>
      <c r="V407" s="165"/>
      <c r="W407" s="165"/>
      <c r="X407" s="165"/>
      <c r="Y407" s="165"/>
      <c r="Z407" s="165"/>
    </row>
    <row r="408" spans="16:26">
      <c r="P408" s="165"/>
      <c r="Q408" s="165"/>
      <c r="R408" s="165"/>
      <c r="S408" s="165"/>
      <c r="T408" s="165"/>
      <c r="U408" s="165"/>
      <c r="V408" s="165"/>
      <c r="W408" s="165"/>
      <c r="X408" s="165"/>
      <c r="Y408" s="165"/>
      <c r="Z408" s="165"/>
    </row>
    <row r="409" spans="16:26">
      <c r="P409" s="165"/>
      <c r="Q409" s="165"/>
      <c r="R409" s="165"/>
      <c r="S409" s="165"/>
      <c r="T409" s="165"/>
      <c r="U409" s="165"/>
      <c r="V409" s="165"/>
      <c r="W409" s="165"/>
      <c r="X409" s="165"/>
      <c r="Y409" s="165"/>
      <c r="Z409" s="165"/>
    </row>
    <row r="410" spans="16:26">
      <c r="P410" s="165"/>
      <c r="Q410" s="165"/>
      <c r="R410" s="165"/>
      <c r="S410" s="165"/>
      <c r="T410" s="165"/>
      <c r="U410" s="165"/>
      <c r="V410" s="165"/>
      <c r="W410" s="165"/>
      <c r="X410" s="165"/>
      <c r="Y410" s="165"/>
      <c r="Z410" s="165"/>
    </row>
    <row r="411" spans="16:26">
      <c r="P411" s="165"/>
      <c r="Q411" s="165"/>
      <c r="R411" s="165"/>
      <c r="S411" s="165"/>
      <c r="T411" s="165"/>
      <c r="U411" s="165"/>
      <c r="V411" s="165"/>
      <c r="W411" s="165"/>
      <c r="X411" s="165"/>
      <c r="Y411" s="165"/>
      <c r="Z411" s="165"/>
    </row>
    <row r="412" spans="16:26">
      <c r="P412" s="165"/>
      <c r="Q412" s="165"/>
      <c r="R412" s="165"/>
      <c r="S412" s="165"/>
      <c r="T412" s="165"/>
      <c r="U412" s="165"/>
      <c r="V412" s="165"/>
      <c r="W412" s="165"/>
      <c r="X412" s="165"/>
      <c r="Y412" s="165"/>
      <c r="Z412" s="165"/>
    </row>
    <row r="413" spans="16:26">
      <c r="P413" s="165"/>
      <c r="Q413" s="165"/>
      <c r="R413" s="165"/>
      <c r="S413" s="165"/>
      <c r="T413" s="165"/>
      <c r="U413" s="165"/>
      <c r="V413" s="165"/>
      <c r="W413" s="165"/>
      <c r="X413" s="165"/>
      <c r="Y413" s="165"/>
      <c r="Z413" s="165"/>
    </row>
    <row r="414" spans="16:26">
      <c r="P414" s="165"/>
      <c r="Q414" s="165"/>
      <c r="R414" s="165"/>
      <c r="S414" s="165"/>
      <c r="T414" s="165"/>
      <c r="U414" s="165"/>
      <c r="V414" s="165"/>
      <c r="W414" s="165"/>
      <c r="X414" s="165"/>
      <c r="Y414" s="165"/>
      <c r="Z414" s="165"/>
    </row>
    <row r="415" spans="16:26">
      <c r="P415" s="165"/>
      <c r="Q415" s="165"/>
      <c r="R415" s="165"/>
      <c r="S415" s="165"/>
      <c r="T415" s="165"/>
      <c r="U415" s="165"/>
      <c r="V415" s="165"/>
      <c r="W415" s="165"/>
      <c r="X415" s="165"/>
      <c r="Y415" s="165"/>
      <c r="Z415" s="165"/>
    </row>
    <row r="416" spans="16:26">
      <c r="P416" s="165"/>
      <c r="Q416" s="165"/>
      <c r="R416" s="165"/>
      <c r="S416" s="165"/>
      <c r="T416" s="165"/>
      <c r="U416" s="165"/>
      <c r="V416" s="165"/>
      <c r="W416" s="165"/>
      <c r="X416" s="165"/>
      <c r="Y416" s="165"/>
      <c r="Z416" s="165"/>
    </row>
    <row r="417" spans="16:26">
      <c r="P417" s="165"/>
      <c r="Q417" s="165"/>
      <c r="R417" s="165"/>
      <c r="S417" s="165"/>
      <c r="T417" s="165"/>
      <c r="U417" s="165"/>
      <c r="V417" s="165"/>
      <c r="W417" s="165"/>
      <c r="X417" s="165"/>
      <c r="Y417" s="165"/>
      <c r="Z417" s="165"/>
    </row>
    <row r="418" spans="16:26">
      <c r="P418" s="165"/>
      <c r="Q418" s="165"/>
      <c r="R418" s="165"/>
      <c r="S418" s="165"/>
      <c r="T418" s="165"/>
      <c r="U418" s="165"/>
      <c r="V418" s="165"/>
      <c r="W418" s="165"/>
      <c r="X418" s="165"/>
      <c r="Y418" s="165"/>
      <c r="Z418" s="165"/>
    </row>
    <row r="419" spans="16:26">
      <c r="P419" s="165"/>
      <c r="Q419" s="165"/>
      <c r="R419" s="165"/>
      <c r="S419" s="165"/>
      <c r="T419" s="165"/>
      <c r="U419" s="165"/>
      <c r="V419" s="165"/>
      <c r="W419" s="165"/>
      <c r="X419" s="165"/>
      <c r="Y419" s="165"/>
      <c r="Z419" s="165"/>
    </row>
    <row r="420" spans="16:26">
      <c r="P420" s="165"/>
      <c r="Q420" s="165"/>
      <c r="R420" s="165"/>
      <c r="S420" s="165"/>
      <c r="T420" s="165"/>
      <c r="U420" s="165"/>
      <c r="V420" s="165"/>
      <c r="W420" s="165"/>
      <c r="X420" s="165"/>
      <c r="Y420" s="165"/>
      <c r="Z420" s="165"/>
    </row>
    <row r="421" spans="16:26">
      <c r="P421" s="165"/>
      <c r="Q421" s="165"/>
      <c r="R421" s="165"/>
      <c r="S421" s="165"/>
      <c r="T421" s="165"/>
      <c r="U421" s="165"/>
      <c r="V421" s="165"/>
      <c r="W421" s="165"/>
      <c r="X421" s="165"/>
      <c r="Y421" s="165"/>
      <c r="Z421" s="165"/>
    </row>
    <row r="422" spans="16:26">
      <c r="P422" s="165"/>
      <c r="Q422" s="165"/>
      <c r="R422" s="165"/>
      <c r="S422" s="165"/>
      <c r="T422" s="165"/>
      <c r="U422" s="165"/>
      <c r="V422" s="165"/>
      <c r="W422" s="165"/>
      <c r="X422" s="165"/>
      <c r="Y422" s="165"/>
      <c r="Z422" s="165"/>
    </row>
    <row r="423" spans="16:26">
      <c r="P423" s="165"/>
      <c r="Q423" s="165"/>
      <c r="R423" s="165"/>
      <c r="S423" s="165"/>
      <c r="T423" s="165"/>
      <c r="U423" s="165"/>
      <c r="V423" s="165"/>
      <c r="W423" s="165"/>
      <c r="X423" s="165"/>
      <c r="Y423" s="165"/>
      <c r="Z423" s="165"/>
    </row>
    <row r="424" spans="16:26">
      <c r="P424" s="165"/>
      <c r="Q424" s="165"/>
      <c r="R424" s="165"/>
      <c r="S424" s="165"/>
      <c r="T424" s="165"/>
      <c r="U424" s="165"/>
      <c r="V424" s="165"/>
      <c r="W424" s="165"/>
      <c r="X424" s="165"/>
      <c r="Y424" s="165"/>
      <c r="Z424" s="165"/>
    </row>
    <row r="425" spans="16:26">
      <c r="P425" s="165"/>
      <c r="Q425" s="165"/>
      <c r="R425" s="165"/>
      <c r="S425" s="165"/>
      <c r="T425" s="165"/>
      <c r="U425" s="165"/>
      <c r="V425" s="165"/>
      <c r="W425" s="165"/>
      <c r="X425" s="165"/>
      <c r="Y425" s="165"/>
      <c r="Z425" s="165"/>
    </row>
    <row r="426" spans="16:26">
      <c r="P426" s="165"/>
      <c r="Q426" s="165"/>
      <c r="R426" s="165"/>
      <c r="S426" s="165"/>
      <c r="T426" s="165"/>
      <c r="U426" s="165"/>
      <c r="V426" s="165"/>
      <c r="W426" s="165"/>
      <c r="X426" s="165"/>
      <c r="Y426" s="165"/>
      <c r="Z426" s="165"/>
    </row>
    <row r="427" spans="16:26">
      <c r="P427" s="165"/>
      <c r="Q427" s="165"/>
      <c r="R427" s="165"/>
      <c r="S427" s="165"/>
      <c r="T427" s="165"/>
      <c r="U427" s="165"/>
      <c r="V427" s="165"/>
      <c r="W427" s="165"/>
      <c r="X427" s="165"/>
      <c r="Y427" s="165"/>
      <c r="Z427" s="165"/>
    </row>
    <row r="428" spans="16:26">
      <c r="P428" s="165"/>
      <c r="Q428" s="165"/>
      <c r="R428" s="165"/>
      <c r="S428" s="165"/>
      <c r="T428" s="165"/>
      <c r="U428" s="165"/>
      <c r="V428" s="165"/>
      <c r="W428" s="165"/>
      <c r="X428" s="165"/>
      <c r="Y428" s="165"/>
      <c r="Z428" s="165"/>
    </row>
    <row r="429" spans="16:26">
      <c r="P429" s="165"/>
      <c r="Q429" s="165"/>
      <c r="R429" s="165"/>
      <c r="S429" s="165"/>
      <c r="T429" s="165"/>
      <c r="U429" s="165"/>
      <c r="V429" s="165"/>
      <c r="W429" s="165"/>
      <c r="X429" s="165"/>
      <c r="Y429" s="165"/>
      <c r="Z429" s="165"/>
    </row>
    <row r="430" spans="16:26">
      <c r="P430" s="165"/>
      <c r="Q430" s="165"/>
      <c r="R430" s="165"/>
      <c r="S430" s="165"/>
      <c r="T430" s="165"/>
      <c r="U430" s="165"/>
      <c r="V430" s="165"/>
      <c r="W430" s="165"/>
      <c r="X430" s="165"/>
      <c r="Y430" s="165"/>
      <c r="Z430" s="165"/>
    </row>
    <row r="431" spans="16:26">
      <c r="P431" s="165"/>
      <c r="Q431" s="165"/>
      <c r="R431" s="165"/>
      <c r="S431" s="165"/>
      <c r="T431" s="165"/>
      <c r="U431" s="165"/>
      <c r="V431" s="165"/>
      <c r="W431" s="165"/>
      <c r="X431" s="165"/>
      <c r="Y431" s="165"/>
      <c r="Z431" s="165"/>
    </row>
    <row r="432" spans="16:26">
      <c r="P432" s="165"/>
      <c r="Q432" s="165"/>
      <c r="R432" s="165"/>
      <c r="S432" s="165"/>
      <c r="T432" s="165"/>
      <c r="U432" s="165"/>
      <c r="V432" s="165"/>
      <c r="W432" s="165"/>
      <c r="X432" s="165"/>
      <c r="Y432" s="165"/>
      <c r="Z432" s="165"/>
    </row>
    <row r="433" spans="16:26">
      <c r="P433" s="165"/>
      <c r="Q433" s="165"/>
      <c r="R433" s="165"/>
      <c r="S433" s="165"/>
      <c r="T433" s="165"/>
      <c r="U433" s="165"/>
      <c r="V433" s="165"/>
      <c r="W433" s="165"/>
      <c r="X433" s="165"/>
      <c r="Y433" s="165"/>
      <c r="Z433" s="165"/>
    </row>
    <row r="434" spans="16:26">
      <c r="P434" s="165"/>
      <c r="Q434" s="165"/>
      <c r="R434" s="165"/>
      <c r="S434" s="165"/>
      <c r="T434" s="165"/>
      <c r="U434" s="165"/>
      <c r="V434" s="165"/>
      <c r="W434" s="165"/>
      <c r="X434" s="165"/>
      <c r="Y434" s="165"/>
      <c r="Z434" s="165"/>
    </row>
    <row r="435" spans="16:26">
      <c r="P435" s="165"/>
      <c r="Q435" s="165"/>
      <c r="R435" s="165"/>
      <c r="S435" s="165"/>
      <c r="T435" s="165"/>
      <c r="U435" s="165"/>
      <c r="V435" s="165"/>
      <c r="W435" s="165"/>
      <c r="X435" s="165"/>
      <c r="Y435" s="165"/>
      <c r="Z435" s="165"/>
    </row>
    <row r="436" spans="16:26">
      <c r="P436" s="165"/>
      <c r="Q436" s="165"/>
      <c r="R436" s="165"/>
      <c r="S436" s="165"/>
      <c r="T436" s="165"/>
      <c r="U436" s="165"/>
      <c r="V436" s="165"/>
      <c r="W436" s="165"/>
      <c r="X436" s="165"/>
      <c r="Y436" s="165"/>
      <c r="Z436" s="165"/>
    </row>
    <row r="437" spans="16:26">
      <c r="P437" s="165"/>
      <c r="Q437" s="165"/>
      <c r="R437" s="165"/>
      <c r="S437" s="165"/>
      <c r="T437" s="165"/>
      <c r="U437" s="165"/>
      <c r="V437" s="165"/>
      <c r="W437" s="165"/>
      <c r="X437" s="165"/>
      <c r="Y437" s="165"/>
      <c r="Z437" s="165"/>
    </row>
    <row r="438" spans="16:26">
      <c r="P438" s="165"/>
      <c r="Q438" s="165"/>
      <c r="R438" s="165"/>
      <c r="S438" s="165"/>
      <c r="T438" s="165"/>
      <c r="U438" s="165"/>
      <c r="V438" s="165"/>
      <c r="W438" s="165"/>
      <c r="X438" s="165"/>
      <c r="Y438" s="165"/>
      <c r="Z438" s="165"/>
    </row>
    <row r="439" spans="16:26">
      <c r="P439" s="165"/>
      <c r="Q439" s="165"/>
      <c r="R439" s="165"/>
      <c r="S439" s="165"/>
      <c r="T439" s="165"/>
      <c r="U439" s="165"/>
      <c r="V439" s="165"/>
      <c r="W439" s="165"/>
      <c r="X439" s="165"/>
      <c r="Y439" s="165"/>
      <c r="Z439" s="165"/>
    </row>
    <row r="440" spans="16:26">
      <c r="P440" s="165"/>
      <c r="Q440" s="165"/>
      <c r="R440" s="165"/>
      <c r="S440" s="165"/>
      <c r="T440" s="165"/>
      <c r="U440" s="165"/>
      <c r="V440" s="165"/>
      <c r="W440" s="165"/>
      <c r="X440" s="165"/>
      <c r="Y440" s="165"/>
      <c r="Z440" s="165"/>
    </row>
    <row r="441" spans="16:26">
      <c r="P441" s="165"/>
      <c r="Q441" s="165"/>
      <c r="R441" s="165"/>
      <c r="S441" s="165"/>
      <c r="T441" s="165"/>
      <c r="U441" s="165"/>
      <c r="V441" s="165"/>
      <c r="W441" s="165"/>
      <c r="X441" s="165"/>
      <c r="Y441" s="165"/>
      <c r="Z441" s="165"/>
    </row>
    <row r="442" spans="16:26">
      <c r="P442" s="165"/>
      <c r="Q442" s="165"/>
      <c r="R442" s="165"/>
      <c r="S442" s="165"/>
      <c r="T442" s="165"/>
      <c r="U442" s="165"/>
      <c r="V442" s="165"/>
      <c r="W442" s="165"/>
      <c r="X442" s="165"/>
      <c r="Y442" s="165"/>
      <c r="Z442" s="165"/>
    </row>
    <row r="443" spans="16:26">
      <c r="P443" s="165"/>
      <c r="Q443" s="165"/>
      <c r="R443" s="165"/>
      <c r="S443" s="165"/>
      <c r="T443" s="165"/>
      <c r="U443" s="165"/>
      <c r="V443" s="165"/>
      <c r="W443" s="165"/>
      <c r="X443" s="165"/>
      <c r="Y443" s="165"/>
      <c r="Z443" s="165"/>
    </row>
    <row r="444" spans="16:26">
      <c r="P444" s="165"/>
      <c r="Q444" s="165"/>
      <c r="R444" s="165"/>
      <c r="S444" s="165"/>
      <c r="T444" s="165"/>
      <c r="U444" s="165"/>
      <c r="V444" s="165"/>
      <c r="W444" s="165"/>
      <c r="X444" s="165"/>
      <c r="Y444" s="165"/>
      <c r="Z444" s="165"/>
    </row>
    <row r="445" spans="16:26">
      <c r="P445" s="165"/>
      <c r="Q445" s="165"/>
      <c r="R445" s="165"/>
      <c r="S445" s="165"/>
      <c r="T445" s="165"/>
      <c r="U445" s="165"/>
      <c r="V445" s="165"/>
      <c r="W445" s="165"/>
      <c r="X445" s="165"/>
      <c r="Y445" s="165"/>
      <c r="Z445" s="165"/>
    </row>
    <row r="446" spans="16:26">
      <c r="P446" s="165"/>
      <c r="Q446" s="165"/>
      <c r="R446" s="165"/>
      <c r="S446" s="165"/>
      <c r="T446" s="165"/>
      <c r="U446" s="165"/>
      <c r="V446" s="165"/>
      <c r="W446" s="165"/>
      <c r="X446" s="165"/>
      <c r="Y446" s="165"/>
      <c r="Z446" s="165"/>
    </row>
    <row r="447" spans="16:26">
      <c r="P447" s="165"/>
      <c r="Q447" s="165"/>
      <c r="R447" s="165"/>
      <c r="S447" s="165"/>
      <c r="T447" s="165"/>
      <c r="U447" s="165"/>
      <c r="V447" s="165"/>
      <c r="W447" s="165"/>
      <c r="X447" s="165"/>
      <c r="Y447" s="165"/>
      <c r="Z447" s="165"/>
    </row>
    <row r="448" spans="16:26">
      <c r="P448" s="165"/>
      <c r="Q448" s="165"/>
      <c r="R448" s="165"/>
      <c r="S448" s="165"/>
      <c r="T448" s="165"/>
      <c r="U448" s="165"/>
      <c r="V448" s="165"/>
      <c r="W448" s="165"/>
      <c r="X448" s="165"/>
      <c r="Y448" s="165"/>
      <c r="Z448" s="165"/>
    </row>
    <row r="449" spans="16:26">
      <c r="P449" s="165"/>
      <c r="Q449" s="165"/>
      <c r="R449" s="165"/>
      <c r="S449" s="165"/>
      <c r="T449" s="165"/>
      <c r="U449" s="165"/>
      <c r="V449" s="165"/>
      <c r="W449" s="165"/>
      <c r="X449" s="165"/>
      <c r="Y449" s="165"/>
      <c r="Z449" s="165"/>
    </row>
    <row r="450" spans="16:26">
      <c r="P450" s="165"/>
      <c r="Q450" s="165"/>
      <c r="R450" s="165"/>
      <c r="S450" s="165"/>
      <c r="T450" s="165"/>
      <c r="U450" s="165"/>
      <c r="V450" s="165"/>
      <c r="W450" s="165"/>
      <c r="X450" s="165"/>
      <c r="Y450" s="165"/>
      <c r="Z450" s="165"/>
    </row>
    <row r="451" spans="16:26">
      <c r="P451" s="165"/>
      <c r="Q451" s="165"/>
      <c r="R451" s="165"/>
      <c r="S451" s="165"/>
      <c r="T451" s="165"/>
      <c r="U451" s="165"/>
      <c r="V451" s="165"/>
      <c r="W451" s="165"/>
      <c r="X451" s="165"/>
      <c r="Y451" s="165"/>
      <c r="Z451" s="165"/>
    </row>
    <row r="452" spans="16:26">
      <c r="P452" s="165"/>
      <c r="Q452" s="165"/>
      <c r="R452" s="165"/>
      <c r="S452" s="165"/>
      <c r="T452" s="165"/>
      <c r="U452" s="165"/>
      <c r="V452" s="165"/>
      <c r="W452" s="165"/>
      <c r="X452" s="165"/>
      <c r="Y452" s="165"/>
      <c r="Z452" s="165"/>
    </row>
    <row r="453" spans="16:26">
      <c r="P453" s="165"/>
      <c r="Q453" s="165"/>
      <c r="R453" s="165"/>
      <c r="S453" s="165"/>
      <c r="T453" s="165"/>
      <c r="U453" s="165"/>
      <c r="V453" s="165"/>
      <c r="W453" s="165"/>
      <c r="X453" s="165"/>
      <c r="Y453" s="165"/>
      <c r="Z453" s="165"/>
    </row>
    <row r="454" spans="16:26">
      <c r="P454" s="165"/>
      <c r="Q454" s="165"/>
      <c r="R454" s="165"/>
      <c r="S454" s="165"/>
      <c r="T454" s="165"/>
      <c r="U454" s="165"/>
      <c r="V454" s="165"/>
      <c r="W454" s="165"/>
      <c r="X454" s="165"/>
      <c r="Y454" s="165"/>
      <c r="Z454" s="165"/>
    </row>
    <row r="455" spans="16:26">
      <c r="P455" s="165"/>
      <c r="Q455" s="165"/>
      <c r="R455" s="165"/>
      <c r="S455" s="165"/>
      <c r="T455" s="165"/>
      <c r="U455" s="165"/>
      <c r="V455" s="165"/>
      <c r="W455" s="165"/>
      <c r="X455" s="165"/>
      <c r="Y455" s="165"/>
      <c r="Z455" s="165"/>
    </row>
    <row r="456" spans="16:26">
      <c r="P456" s="165"/>
      <c r="Q456" s="165"/>
      <c r="R456" s="165"/>
      <c r="S456" s="165"/>
      <c r="T456" s="165"/>
      <c r="U456" s="165"/>
      <c r="V456" s="165"/>
      <c r="W456" s="165"/>
      <c r="X456" s="165"/>
      <c r="Y456" s="165"/>
      <c r="Z456" s="165"/>
    </row>
    <row r="457" spans="16:26">
      <c r="P457" s="165"/>
      <c r="Q457" s="165"/>
      <c r="R457" s="165"/>
      <c r="S457" s="165"/>
      <c r="T457" s="165"/>
      <c r="U457" s="165"/>
      <c r="V457" s="165"/>
      <c r="W457" s="165"/>
      <c r="X457" s="165"/>
      <c r="Y457" s="165"/>
      <c r="Z457" s="165"/>
    </row>
    <row r="458" spans="16:26">
      <c r="P458" s="165"/>
      <c r="Q458" s="165"/>
      <c r="R458" s="165"/>
      <c r="S458" s="165"/>
      <c r="T458" s="165"/>
      <c r="U458" s="165"/>
      <c r="V458" s="165"/>
      <c r="W458" s="165"/>
      <c r="X458" s="165"/>
      <c r="Y458" s="165"/>
      <c r="Z458" s="165"/>
    </row>
    <row r="459" spans="16:26">
      <c r="P459" s="165"/>
      <c r="Q459" s="165"/>
      <c r="R459" s="165"/>
      <c r="S459" s="165"/>
      <c r="T459" s="165"/>
      <c r="U459" s="165"/>
      <c r="V459" s="165"/>
      <c r="W459" s="165"/>
      <c r="X459" s="165"/>
      <c r="Y459" s="165"/>
      <c r="Z459" s="165"/>
    </row>
    <row r="460" spans="16:26">
      <c r="P460" s="165"/>
      <c r="Q460" s="165"/>
      <c r="R460" s="165"/>
      <c r="S460" s="165"/>
      <c r="T460" s="165"/>
      <c r="U460" s="165"/>
      <c r="V460" s="165"/>
      <c r="W460" s="165"/>
      <c r="X460" s="165"/>
      <c r="Y460" s="165"/>
      <c r="Z460" s="165"/>
    </row>
    <row r="461" spans="16:26">
      <c r="P461" s="165"/>
      <c r="Q461" s="165"/>
      <c r="R461" s="165"/>
      <c r="S461" s="165"/>
      <c r="T461" s="165"/>
      <c r="U461" s="165"/>
      <c r="V461" s="165"/>
      <c r="W461" s="165"/>
      <c r="X461" s="165"/>
      <c r="Y461" s="165"/>
      <c r="Z461" s="165"/>
    </row>
    <row r="462" spans="16:26">
      <c r="P462" s="165"/>
      <c r="Q462" s="165"/>
      <c r="R462" s="165"/>
      <c r="S462" s="165"/>
      <c r="T462" s="165"/>
      <c r="U462" s="165"/>
      <c r="V462" s="165"/>
      <c r="W462" s="165"/>
      <c r="X462" s="165"/>
      <c r="Y462" s="165"/>
      <c r="Z462" s="165"/>
    </row>
    <row r="463" spans="16:26">
      <c r="P463" s="165"/>
      <c r="Q463" s="165"/>
      <c r="R463" s="165"/>
      <c r="S463" s="165"/>
      <c r="T463" s="165"/>
      <c r="U463" s="165"/>
      <c r="V463" s="165"/>
      <c r="W463" s="165"/>
      <c r="X463" s="165"/>
      <c r="Y463" s="165"/>
      <c r="Z463" s="165"/>
    </row>
    <row r="464" spans="16:26">
      <c r="P464" s="165"/>
      <c r="Q464" s="165"/>
      <c r="R464" s="165"/>
      <c r="S464" s="165"/>
      <c r="T464" s="165"/>
      <c r="U464" s="165"/>
      <c r="V464" s="165"/>
      <c r="W464" s="165"/>
      <c r="X464" s="165"/>
      <c r="Y464" s="165"/>
      <c r="Z464" s="165"/>
    </row>
    <row r="465" spans="16:26">
      <c r="P465" s="165"/>
      <c r="Q465" s="165"/>
      <c r="R465" s="165"/>
      <c r="S465" s="165"/>
      <c r="T465" s="165"/>
      <c r="U465" s="165"/>
      <c r="V465" s="165"/>
      <c r="W465" s="165"/>
      <c r="X465" s="165"/>
      <c r="Y465" s="165"/>
      <c r="Z465" s="165"/>
    </row>
    <row r="466" spans="16:26">
      <c r="P466" s="165"/>
      <c r="Q466" s="165"/>
      <c r="R466" s="165"/>
      <c r="S466" s="165"/>
      <c r="T466" s="165"/>
      <c r="U466" s="165"/>
      <c r="V466" s="165"/>
      <c r="W466" s="165"/>
      <c r="X466" s="165"/>
      <c r="Y466" s="165"/>
      <c r="Z466" s="165"/>
    </row>
    <row r="467" spans="16:26">
      <c r="P467" s="165"/>
      <c r="Q467" s="165"/>
      <c r="R467" s="165"/>
      <c r="S467" s="165"/>
      <c r="T467" s="165"/>
      <c r="U467" s="165"/>
      <c r="V467" s="165"/>
      <c r="W467" s="165"/>
      <c r="X467" s="165"/>
      <c r="Y467" s="165"/>
      <c r="Z467" s="165"/>
    </row>
    <row r="468" spans="16:26">
      <c r="P468" s="165"/>
      <c r="Q468" s="165"/>
      <c r="R468" s="165"/>
      <c r="S468" s="165"/>
      <c r="T468" s="165"/>
      <c r="U468" s="165"/>
      <c r="V468" s="165"/>
      <c r="W468" s="165"/>
      <c r="X468" s="165"/>
      <c r="Y468" s="165"/>
      <c r="Z468" s="165"/>
    </row>
    <row r="469" spans="16:26">
      <c r="P469" s="165"/>
      <c r="Q469" s="165"/>
      <c r="R469" s="165"/>
      <c r="S469" s="165"/>
      <c r="T469" s="165"/>
      <c r="U469" s="165"/>
      <c r="V469" s="165"/>
      <c r="W469" s="165"/>
      <c r="X469" s="165"/>
      <c r="Y469" s="165"/>
      <c r="Z469" s="165"/>
    </row>
    <row r="470" spans="16:26">
      <c r="P470" s="165"/>
      <c r="Q470" s="165"/>
      <c r="R470" s="165"/>
      <c r="S470" s="165"/>
      <c r="T470" s="165"/>
      <c r="U470" s="165"/>
      <c r="V470" s="165"/>
      <c r="W470" s="165"/>
      <c r="X470" s="165"/>
      <c r="Y470" s="165"/>
      <c r="Z470" s="165"/>
    </row>
    <row r="471" spans="16:26">
      <c r="P471" s="165"/>
      <c r="Q471" s="165"/>
      <c r="R471" s="165"/>
      <c r="S471" s="165"/>
      <c r="T471" s="165"/>
      <c r="U471" s="165"/>
      <c r="V471" s="165"/>
      <c r="W471" s="165"/>
      <c r="X471" s="165"/>
      <c r="Y471" s="165"/>
      <c r="Z471" s="165"/>
    </row>
    <row r="472" spans="16:26">
      <c r="P472" s="165"/>
      <c r="Q472" s="165"/>
      <c r="R472" s="165"/>
      <c r="S472" s="165"/>
      <c r="T472" s="165"/>
      <c r="U472" s="165"/>
      <c r="V472" s="165"/>
      <c r="W472" s="165"/>
      <c r="X472" s="165"/>
      <c r="Y472" s="165"/>
      <c r="Z472" s="165"/>
    </row>
    <row r="473" spans="16:26">
      <c r="P473" s="165"/>
      <c r="Q473" s="165"/>
      <c r="R473" s="165"/>
      <c r="S473" s="165"/>
      <c r="T473" s="165"/>
      <c r="U473" s="165"/>
      <c r="V473" s="165"/>
      <c r="W473" s="165"/>
      <c r="X473" s="165"/>
      <c r="Y473" s="165"/>
      <c r="Z473" s="165"/>
    </row>
    <row r="474" spans="16:26">
      <c r="P474" s="165"/>
      <c r="Q474" s="165"/>
      <c r="R474" s="165"/>
      <c r="S474" s="165"/>
      <c r="T474" s="165"/>
      <c r="U474" s="165"/>
      <c r="V474" s="165"/>
      <c r="W474" s="165"/>
      <c r="X474" s="165"/>
      <c r="Y474" s="165"/>
      <c r="Z474" s="165"/>
    </row>
    <row r="475" spans="16:26">
      <c r="P475" s="165"/>
      <c r="Q475" s="165"/>
      <c r="R475" s="165"/>
      <c r="S475" s="165"/>
      <c r="T475" s="165"/>
      <c r="U475" s="165"/>
      <c r="V475" s="165"/>
      <c r="W475" s="165"/>
      <c r="X475" s="165"/>
      <c r="Y475" s="165"/>
      <c r="Z475" s="165"/>
    </row>
    <row r="476" spans="16:26">
      <c r="P476" s="165"/>
      <c r="Q476" s="165"/>
      <c r="R476" s="165"/>
      <c r="S476" s="165"/>
      <c r="T476" s="165"/>
      <c r="U476" s="165"/>
      <c r="V476" s="165"/>
      <c r="W476" s="165"/>
      <c r="X476" s="165"/>
      <c r="Y476" s="165"/>
      <c r="Z476" s="165"/>
    </row>
    <row r="477" spans="16:26">
      <c r="P477" s="165"/>
      <c r="Q477" s="165"/>
      <c r="R477" s="165"/>
      <c r="S477" s="165"/>
      <c r="T477" s="165"/>
      <c r="U477" s="165"/>
      <c r="V477" s="165"/>
      <c r="W477" s="165"/>
      <c r="X477" s="165"/>
      <c r="Y477" s="165"/>
      <c r="Z477" s="165"/>
    </row>
    <row r="478" spans="16:26">
      <c r="P478" s="165"/>
      <c r="Q478" s="165"/>
      <c r="R478" s="165"/>
      <c r="S478" s="165"/>
      <c r="T478" s="165"/>
      <c r="U478" s="165"/>
      <c r="V478" s="165"/>
      <c r="W478" s="165"/>
      <c r="X478" s="165"/>
      <c r="Y478" s="165"/>
      <c r="Z478" s="165"/>
    </row>
    <row r="479" spans="16:26">
      <c r="P479" s="165"/>
      <c r="Q479" s="165"/>
      <c r="R479" s="165"/>
      <c r="S479" s="165"/>
      <c r="T479" s="165"/>
      <c r="U479" s="165"/>
      <c r="V479" s="165"/>
      <c r="W479" s="165"/>
      <c r="X479" s="165"/>
      <c r="Y479" s="165"/>
      <c r="Z479" s="165"/>
    </row>
    <row r="480" spans="16:26">
      <c r="P480" s="165"/>
      <c r="Q480" s="165"/>
      <c r="R480" s="165"/>
      <c r="S480" s="165"/>
      <c r="T480" s="165"/>
      <c r="U480" s="165"/>
      <c r="V480" s="165"/>
      <c r="W480" s="165"/>
      <c r="X480" s="165"/>
      <c r="Y480" s="165"/>
      <c r="Z480" s="165"/>
    </row>
    <row r="481" spans="16:26">
      <c r="P481" s="165"/>
      <c r="Q481" s="165"/>
      <c r="R481" s="165"/>
      <c r="S481" s="165"/>
      <c r="T481" s="165"/>
      <c r="U481" s="165"/>
      <c r="V481" s="165"/>
      <c r="W481" s="165"/>
      <c r="X481" s="165"/>
      <c r="Y481" s="165"/>
      <c r="Z481" s="165"/>
    </row>
    <row r="482" spans="16:26">
      <c r="P482" s="165"/>
      <c r="Q482" s="165"/>
      <c r="R482" s="165"/>
      <c r="S482" s="165"/>
      <c r="T482" s="165"/>
      <c r="U482" s="165"/>
      <c r="V482" s="165"/>
      <c r="W482" s="165"/>
      <c r="X482" s="165"/>
      <c r="Y482" s="165"/>
      <c r="Z482" s="165"/>
    </row>
    <row r="483" spans="16:26">
      <c r="P483" s="165"/>
      <c r="Q483" s="165"/>
      <c r="R483" s="165"/>
      <c r="S483" s="165"/>
      <c r="T483" s="165"/>
      <c r="U483" s="165"/>
      <c r="V483" s="165"/>
      <c r="W483" s="165"/>
      <c r="X483" s="165"/>
      <c r="Y483" s="165"/>
      <c r="Z483" s="165"/>
    </row>
    <row r="484" spans="16:26">
      <c r="P484" s="165"/>
      <c r="Q484" s="165"/>
      <c r="R484" s="165"/>
      <c r="S484" s="165"/>
      <c r="T484" s="165"/>
      <c r="U484" s="165"/>
      <c r="V484" s="165"/>
      <c r="W484" s="165"/>
      <c r="X484" s="165"/>
      <c r="Y484" s="165"/>
      <c r="Z484" s="165"/>
    </row>
    <row r="485" spans="16:26">
      <c r="P485" s="165"/>
      <c r="Q485" s="165"/>
      <c r="R485" s="165"/>
      <c r="S485" s="165"/>
      <c r="T485" s="165"/>
      <c r="U485" s="165"/>
      <c r="V485" s="165"/>
      <c r="W485" s="165"/>
      <c r="X485" s="165"/>
      <c r="Y485" s="165"/>
      <c r="Z485" s="165"/>
    </row>
    <row r="486" spans="16:26">
      <c r="P486" s="165"/>
      <c r="Q486" s="165"/>
      <c r="R486" s="165"/>
      <c r="S486" s="165"/>
      <c r="T486" s="165"/>
      <c r="U486" s="165"/>
      <c r="V486" s="165"/>
      <c r="W486" s="165"/>
      <c r="X486" s="165"/>
      <c r="Y486" s="165"/>
      <c r="Z486" s="165"/>
    </row>
    <row r="487" spans="16:26">
      <c r="P487" s="165"/>
      <c r="Q487" s="165"/>
      <c r="R487" s="165"/>
      <c r="S487" s="165"/>
      <c r="T487" s="165"/>
      <c r="U487" s="165"/>
      <c r="V487" s="165"/>
      <c r="W487" s="165"/>
      <c r="X487" s="165"/>
      <c r="Y487" s="165"/>
      <c r="Z487" s="165"/>
    </row>
    <row r="488" spans="16:26">
      <c r="P488" s="165"/>
      <c r="Q488" s="165"/>
      <c r="R488" s="165"/>
      <c r="S488" s="165"/>
      <c r="T488" s="165"/>
      <c r="U488" s="165"/>
      <c r="V488" s="165"/>
      <c r="W488" s="165"/>
      <c r="X488" s="165"/>
      <c r="Y488" s="165"/>
      <c r="Z488" s="165"/>
    </row>
    <row r="489" spans="16:26">
      <c r="P489" s="165"/>
      <c r="Q489" s="165"/>
      <c r="R489" s="165"/>
      <c r="S489" s="165"/>
      <c r="T489" s="165"/>
      <c r="U489" s="165"/>
      <c r="V489" s="165"/>
      <c r="W489" s="165"/>
      <c r="X489" s="165"/>
      <c r="Y489" s="165"/>
      <c r="Z489" s="165"/>
    </row>
    <row r="490" spans="16:26">
      <c r="P490" s="165"/>
      <c r="Q490" s="165"/>
      <c r="R490" s="165"/>
      <c r="S490" s="165"/>
      <c r="T490" s="165"/>
      <c r="U490" s="165"/>
      <c r="V490" s="165"/>
      <c r="W490" s="165"/>
      <c r="X490" s="165"/>
      <c r="Y490" s="165"/>
      <c r="Z490" s="165"/>
    </row>
    <row r="491" spans="16:26">
      <c r="P491" s="165"/>
      <c r="Q491" s="165"/>
      <c r="R491" s="165"/>
      <c r="S491" s="165"/>
      <c r="T491" s="165"/>
      <c r="U491" s="165"/>
      <c r="V491" s="165"/>
      <c r="W491" s="165"/>
      <c r="X491" s="165"/>
      <c r="Y491" s="165"/>
      <c r="Z491" s="165"/>
    </row>
    <row r="492" spans="16:26">
      <c r="P492" s="165"/>
      <c r="Q492" s="165"/>
      <c r="R492" s="165"/>
      <c r="S492" s="165"/>
      <c r="T492" s="165"/>
      <c r="U492" s="165"/>
      <c r="V492" s="165"/>
      <c r="W492" s="165"/>
      <c r="X492" s="165"/>
      <c r="Y492" s="165"/>
      <c r="Z492" s="165"/>
    </row>
    <row r="493" spans="16:26">
      <c r="P493" s="165"/>
      <c r="Q493" s="165"/>
      <c r="R493" s="165"/>
      <c r="S493" s="165"/>
      <c r="T493" s="165"/>
      <c r="U493" s="165"/>
      <c r="V493" s="165"/>
      <c r="W493" s="165"/>
      <c r="X493" s="165"/>
      <c r="Y493" s="165"/>
      <c r="Z493" s="165"/>
    </row>
    <row r="494" spans="16:26">
      <c r="P494" s="165"/>
      <c r="Q494" s="165"/>
      <c r="R494" s="165"/>
      <c r="S494" s="165"/>
      <c r="T494" s="165"/>
      <c r="U494" s="165"/>
      <c r="V494" s="165"/>
      <c r="W494" s="165"/>
      <c r="X494" s="165"/>
      <c r="Y494" s="165"/>
      <c r="Z494" s="165"/>
    </row>
    <row r="495" spans="16:26">
      <c r="P495" s="165"/>
      <c r="Q495" s="165"/>
      <c r="R495" s="165"/>
      <c r="S495" s="165"/>
      <c r="T495" s="165"/>
      <c r="U495" s="165"/>
      <c r="V495" s="165"/>
      <c r="W495" s="165"/>
      <c r="X495" s="165"/>
      <c r="Y495" s="165"/>
      <c r="Z495" s="165"/>
    </row>
    <row r="496" spans="16:26">
      <c r="P496" s="165"/>
      <c r="Q496" s="165"/>
      <c r="R496" s="165"/>
      <c r="S496" s="165"/>
      <c r="T496" s="165"/>
      <c r="U496" s="165"/>
      <c r="V496" s="165"/>
      <c r="W496" s="165"/>
      <c r="X496" s="165"/>
      <c r="Y496" s="165"/>
      <c r="Z496" s="165"/>
    </row>
    <row r="497" spans="16:26">
      <c r="P497" s="165"/>
      <c r="Q497" s="165"/>
      <c r="R497" s="165"/>
      <c r="S497" s="165"/>
      <c r="T497" s="165"/>
      <c r="U497" s="165"/>
      <c r="V497" s="165"/>
      <c r="W497" s="165"/>
      <c r="X497" s="165"/>
      <c r="Y497" s="165"/>
      <c r="Z497" s="165"/>
    </row>
    <row r="498" spans="16:26">
      <c r="P498" s="165"/>
      <c r="Q498" s="165"/>
      <c r="R498" s="165"/>
      <c r="S498" s="165"/>
      <c r="T498" s="165"/>
      <c r="U498" s="165"/>
      <c r="V498" s="165"/>
      <c r="W498" s="165"/>
      <c r="X498" s="165"/>
      <c r="Y498" s="165"/>
      <c r="Z498" s="165"/>
    </row>
    <row r="499" spans="16:26">
      <c r="P499" s="165"/>
      <c r="Q499" s="165"/>
      <c r="R499" s="165"/>
      <c r="S499" s="165"/>
      <c r="T499" s="165"/>
      <c r="U499" s="165"/>
      <c r="V499" s="165"/>
      <c r="W499" s="165"/>
      <c r="X499" s="165"/>
      <c r="Y499" s="165"/>
      <c r="Z499" s="165"/>
    </row>
    <row r="500" spans="16:26">
      <c r="P500" s="165"/>
      <c r="Q500" s="165"/>
      <c r="R500" s="165"/>
      <c r="S500" s="165"/>
      <c r="T500" s="165"/>
      <c r="U500" s="165"/>
      <c r="V500" s="165"/>
      <c r="W500" s="165"/>
      <c r="X500" s="165"/>
      <c r="Y500" s="165"/>
      <c r="Z500" s="165"/>
    </row>
    <row r="501" spans="16:26">
      <c r="P501" s="165"/>
      <c r="Q501" s="165"/>
      <c r="R501" s="165"/>
      <c r="S501" s="165"/>
      <c r="T501" s="165"/>
      <c r="U501" s="165"/>
      <c r="V501" s="165"/>
      <c r="W501" s="165"/>
      <c r="X501" s="165"/>
      <c r="Y501" s="165"/>
      <c r="Z501" s="165"/>
    </row>
    <row r="502" spans="16:26">
      <c r="P502" s="165"/>
      <c r="Q502" s="165"/>
      <c r="R502" s="165"/>
      <c r="S502" s="165"/>
      <c r="T502" s="165"/>
      <c r="U502" s="165"/>
      <c r="V502" s="165"/>
      <c r="W502" s="165"/>
      <c r="X502" s="165"/>
      <c r="Y502" s="165"/>
      <c r="Z502" s="165"/>
    </row>
    <row r="503" spans="16:26">
      <c r="P503" s="165"/>
      <c r="Q503" s="165"/>
      <c r="R503" s="165"/>
      <c r="S503" s="165"/>
      <c r="T503" s="165"/>
      <c r="U503" s="165"/>
      <c r="V503" s="165"/>
      <c r="W503" s="165"/>
      <c r="X503" s="165"/>
      <c r="Y503" s="165"/>
      <c r="Z503" s="165"/>
    </row>
    <row r="504" spans="16:26">
      <c r="P504" s="165"/>
      <c r="Q504" s="165"/>
      <c r="R504" s="165"/>
      <c r="S504" s="165"/>
      <c r="T504" s="165"/>
      <c r="U504" s="165"/>
      <c r="V504" s="165"/>
      <c r="W504" s="165"/>
      <c r="X504" s="165"/>
      <c r="Y504" s="165"/>
      <c r="Z504" s="165"/>
    </row>
    <row r="505" spans="16:26">
      <c r="P505" s="165"/>
      <c r="Q505" s="165"/>
      <c r="R505" s="165"/>
      <c r="S505" s="165"/>
      <c r="T505" s="165"/>
      <c r="U505" s="165"/>
      <c r="V505" s="165"/>
      <c r="W505" s="165"/>
      <c r="X505" s="165"/>
      <c r="Y505" s="165"/>
      <c r="Z505" s="165"/>
    </row>
    <row r="506" spans="16:26">
      <c r="P506" s="165"/>
      <c r="Q506" s="165"/>
      <c r="R506" s="165"/>
      <c r="S506" s="165"/>
      <c r="T506" s="165"/>
      <c r="U506" s="165"/>
      <c r="V506" s="165"/>
      <c r="W506" s="165"/>
      <c r="X506" s="165"/>
      <c r="Y506" s="165"/>
      <c r="Z506" s="165"/>
    </row>
    <row r="507" spans="16:26">
      <c r="P507" s="165"/>
      <c r="Q507" s="165"/>
      <c r="R507" s="165"/>
      <c r="S507" s="165"/>
      <c r="T507" s="165"/>
      <c r="U507" s="165"/>
      <c r="V507" s="165"/>
      <c r="W507" s="165"/>
      <c r="X507" s="165"/>
      <c r="Y507" s="165"/>
      <c r="Z507" s="165"/>
    </row>
    <row r="508" spans="16:26">
      <c r="P508" s="165"/>
      <c r="Q508" s="165"/>
      <c r="R508" s="165"/>
      <c r="S508" s="165"/>
      <c r="T508" s="165"/>
      <c r="U508" s="165"/>
      <c r="V508" s="165"/>
      <c r="W508" s="165"/>
      <c r="X508" s="165"/>
      <c r="Y508" s="165"/>
      <c r="Z508" s="165"/>
    </row>
    <row r="509" spans="16:26">
      <c r="P509" s="165"/>
      <c r="Q509" s="165"/>
      <c r="R509" s="165"/>
      <c r="S509" s="165"/>
      <c r="T509" s="165"/>
      <c r="U509" s="165"/>
      <c r="V509" s="165"/>
      <c r="W509" s="165"/>
      <c r="X509" s="165"/>
      <c r="Y509" s="165"/>
      <c r="Z509" s="165"/>
    </row>
    <row r="510" spans="16:26">
      <c r="P510" s="165"/>
      <c r="Q510" s="165"/>
      <c r="R510" s="165"/>
      <c r="S510" s="165"/>
      <c r="T510" s="165"/>
      <c r="U510" s="165"/>
      <c r="V510" s="165"/>
      <c r="W510" s="165"/>
      <c r="X510" s="165"/>
      <c r="Y510" s="165"/>
      <c r="Z510" s="165"/>
    </row>
    <row r="511" spans="16:26">
      <c r="P511" s="165"/>
      <c r="Q511" s="165"/>
      <c r="R511" s="165"/>
      <c r="S511" s="165"/>
      <c r="T511" s="165"/>
      <c r="U511" s="165"/>
      <c r="V511" s="165"/>
      <c r="W511" s="165"/>
      <c r="X511" s="165"/>
      <c r="Y511" s="165"/>
      <c r="Z511" s="165"/>
    </row>
    <row r="512" spans="16:26">
      <c r="P512" s="165"/>
      <c r="Q512" s="165"/>
      <c r="R512" s="165"/>
      <c r="S512" s="165"/>
      <c r="T512" s="165"/>
      <c r="U512" s="165"/>
      <c r="V512" s="165"/>
      <c r="W512" s="165"/>
      <c r="X512" s="165"/>
      <c r="Y512" s="165"/>
      <c r="Z512" s="165"/>
    </row>
    <row r="513" spans="16:26">
      <c r="P513" s="165"/>
      <c r="Q513" s="165"/>
      <c r="R513" s="165"/>
      <c r="S513" s="165"/>
      <c r="T513" s="165"/>
      <c r="U513" s="165"/>
      <c r="V513" s="165"/>
      <c r="W513" s="165"/>
      <c r="X513" s="165"/>
      <c r="Y513" s="165"/>
      <c r="Z513" s="165"/>
    </row>
    <row r="514" spans="16:26">
      <c r="P514" s="165"/>
      <c r="Q514" s="165"/>
      <c r="R514" s="165"/>
      <c r="S514" s="165"/>
      <c r="T514" s="165"/>
      <c r="U514" s="165"/>
      <c r="V514" s="165"/>
      <c r="W514" s="165"/>
      <c r="X514" s="165"/>
      <c r="Y514" s="165"/>
      <c r="Z514" s="165"/>
    </row>
    <row r="515" spans="16:26">
      <c r="P515" s="165"/>
      <c r="Q515" s="165"/>
      <c r="R515" s="165"/>
      <c r="S515" s="165"/>
      <c r="T515" s="165"/>
      <c r="U515" s="165"/>
      <c r="V515" s="165"/>
      <c r="W515" s="165"/>
      <c r="X515" s="165"/>
      <c r="Y515" s="165"/>
      <c r="Z515" s="165"/>
    </row>
    <row r="516" spans="16:26">
      <c r="P516" s="165"/>
      <c r="Q516" s="165"/>
      <c r="R516" s="165"/>
      <c r="S516" s="165"/>
      <c r="T516" s="165"/>
      <c r="U516" s="165"/>
      <c r="V516" s="165"/>
      <c r="W516" s="165"/>
      <c r="X516" s="165"/>
      <c r="Y516" s="165"/>
      <c r="Z516" s="165"/>
    </row>
    <row r="517" spans="16:26">
      <c r="P517" s="165"/>
      <c r="Q517" s="165"/>
      <c r="R517" s="165"/>
      <c r="S517" s="165"/>
      <c r="T517" s="165"/>
      <c r="U517" s="165"/>
      <c r="V517" s="165"/>
      <c r="W517" s="165"/>
      <c r="X517" s="165"/>
      <c r="Y517" s="165"/>
      <c r="Z517" s="165"/>
    </row>
    <row r="518" spans="16:26">
      <c r="P518" s="165"/>
      <c r="Q518" s="165"/>
      <c r="R518" s="165"/>
      <c r="S518" s="165"/>
      <c r="T518" s="165"/>
      <c r="U518" s="165"/>
      <c r="V518" s="165"/>
      <c r="W518" s="165"/>
      <c r="X518" s="165"/>
      <c r="Y518" s="165"/>
      <c r="Z518" s="165"/>
    </row>
    <row r="519" spans="16:26">
      <c r="P519" s="165"/>
      <c r="Q519" s="165"/>
      <c r="R519" s="165"/>
      <c r="S519" s="165"/>
      <c r="T519" s="165"/>
      <c r="U519" s="165"/>
      <c r="V519" s="165"/>
      <c r="W519" s="165"/>
      <c r="X519" s="165"/>
      <c r="Y519" s="165"/>
      <c r="Z519" s="165"/>
    </row>
    <row r="520" spans="16:26">
      <c r="P520" s="165"/>
      <c r="Q520" s="165"/>
      <c r="R520" s="165"/>
      <c r="S520" s="165"/>
      <c r="T520" s="165"/>
      <c r="U520" s="165"/>
      <c r="V520" s="165"/>
      <c r="W520" s="165"/>
      <c r="X520" s="165"/>
      <c r="Y520" s="165"/>
      <c r="Z520" s="165"/>
    </row>
    <row r="521" spans="16:26">
      <c r="P521" s="165"/>
      <c r="Q521" s="165"/>
      <c r="R521" s="165"/>
      <c r="S521" s="165"/>
      <c r="T521" s="165"/>
      <c r="U521" s="165"/>
      <c r="V521" s="165"/>
      <c r="W521" s="165"/>
      <c r="X521" s="165"/>
      <c r="Y521" s="165"/>
      <c r="Z521" s="165"/>
    </row>
    <row r="522" spans="16:26">
      <c r="P522" s="165"/>
      <c r="Q522" s="165"/>
      <c r="R522" s="165"/>
      <c r="S522" s="165"/>
      <c r="T522" s="165"/>
      <c r="U522" s="165"/>
      <c r="V522" s="165"/>
      <c r="W522" s="165"/>
      <c r="X522" s="165"/>
      <c r="Y522" s="165"/>
      <c r="Z522" s="165"/>
    </row>
    <row r="523" spans="16:26">
      <c r="P523" s="165"/>
      <c r="Q523" s="165"/>
      <c r="R523" s="165"/>
      <c r="S523" s="165"/>
      <c r="T523" s="165"/>
      <c r="U523" s="165"/>
      <c r="V523" s="165"/>
      <c r="W523" s="165"/>
      <c r="X523" s="165"/>
      <c r="Y523" s="165"/>
      <c r="Z523" s="165"/>
    </row>
    <row r="524" spans="16:26">
      <c r="P524" s="165"/>
      <c r="Q524" s="165"/>
      <c r="R524" s="165"/>
      <c r="S524" s="165"/>
      <c r="T524" s="165"/>
      <c r="U524" s="165"/>
      <c r="V524" s="165"/>
      <c r="W524" s="165"/>
      <c r="X524" s="165"/>
      <c r="Y524" s="165"/>
      <c r="Z524" s="165"/>
    </row>
    <row r="525" spans="16:26">
      <c r="P525" s="165"/>
      <c r="Q525" s="165"/>
      <c r="R525" s="165"/>
      <c r="S525" s="165"/>
      <c r="T525" s="165"/>
      <c r="U525" s="165"/>
      <c r="V525" s="165"/>
      <c r="W525" s="165"/>
      <c r="X525" s="165"/>
      <c r="Y525" s="165"/>
      <c r="Z525" s="165"/>
    </row>
    <row r="526" spans="16:26">
      <c r="P526" s="165"/>
      <c r="Q526" s="165"/>
      <c r="R526" s="165"/>
      <c r="S526" s="165"/>
      <c r="T526" s="165"/>
      <c r="U526" s="165"/>
      <c r="V526" s="165"/>
      <c r="W526" s="165"/>
      <c r="X526" s="165"/>
      <c r="Y526" s="165"/>
      <c r="Z526" s="165"/>
    </row>
    <row r="527" spans="16:26">
      <c r="P527" s="165"/>
      <c r="Q527" s="165"/>
      <c r="R527" s="165"/>
      <c r="S527" s="165"/>
      <c r="T527" s="165"/>
      <c r="U527" s="165"/>
      <c r="V527" s="165"/>
      <c r="W527" s="165"/>
      <c r="X527" s="165"/>
      <c r="Y527" s="165"/>
      <c r="Z527" s="165"/>
    </row>
    <row r="528" spans="16:26">
      <c r="P528" s="165"/>
      <c r="Q528" s="165"/>
      <c r="R528" s="165"/>
      <c r="S528" s="165"/>
      <c r="T528" s="165"/>
      <c r="U528" s="165"/>
      <c r="V528" s="165"/>
      <c r="W528" s="165"/>
      <c r="X528" s="165"/>
      <c r="Y528" s="165"/>
      <c r="Z528" s="165"/>
    </row>
    <row r="529" spans="16:26">
      <c r="P529" s="165"/>
      <c r="Q529" s="165"/>
      <c r="R529" s="165"/>
      <c r="S529" s="165"/>
      <c r="T529" s="165"/>
      <c r="U529" s="165"/>
      <c r="V529" s="165"/>
      <c r="W529" s="165"/>
      <c r="X529" s="165"/>
      <c r="Y529" s="165"/>
      <c r="Z529" s="165"/>
    </row>
    <row r="530" spans="16:26">
      <c r="P530" s="165"/>
      <c r="Q530" s="165"/>
      <c r="R530" s="165"/>
      <c r="S530" s="165"/>
      <c r="T530" s="165"/>
      <c r="U530" s="165"/>
      <c r="V530" s="165"/>
      <c r="W530" s="165"/>
      <c r="X530" s="165"/>
      <c r="Y530" s="165"/>
      <c r="Z530" s="165"/>
    </row>
    <row r="531" spans="16:26">
      <c r="P531" s="165"/>
      <c r="Q531" s="165"/>
      <c r="R531" s="165"/>
      <c r="S531" s="165"/>
      <c r="T531" s="165"/>
      <c r="U531" s="165"/>
      <c r="V531" s="165"/>
      <c r="W531" s="165"/>
      <c r="X531" s="165"/>
      <c r="Y531" s="165"/>
      <c r="Z531" s="165"/>
    </row>
    <row r="532" spans="16:26">
      <c r="P532" s="165"/>
      <c r="Q532" s="165"/>
      <c r="R532" s="165"/>
      <c r="S532" s="165"/>
      <c r="T532" s="165"/>
      <c r="U532" s="165"/>
      <c r="V532" s="165"/>
      <c r="W532" s="165"/>
      <c r="X532" s="165"/>
      <c r="Y532" s="165"/>
      <c r="Z532" s="165"/>
    </row>
    <row r="533" spans="16:26">
      <c r="P533" s="165"/>
      <c r="Q533" s="165"/>
      <c r="R533" s="165"/>
      <c r="S533" s="165"/>
      <c r="T533" s="165"/>
      <c r="U533" s="165"/>
      <c r="V533" s="165"/>
      <c r="W533" s="165"/>
      <c r="X533" s="165"/>
      <c r="Y533" s="165"/>
      <c r="Z533" s="165"/>
    </row>
    <row r="534" spans="16:26">
      <c r="P534" s="165"/>
      <c r="Q534" s="165"/>
      <c r="R534" s="165"/>
      <c r="S534" s="165"/>
      <c r="T534" s="165"/>
      <c r="U534" s="165"/>
      <c r="V534" s="165"/>
      <c r="W534" s="165"/>
      <c r="X534" s="165"/>
      <c r="Y534" s="165"/>
      <c r="Z534" s="165"/>
    </row>
    <row r="535" spans="16:26">
      <c r="P535" s="165"/>
      <c r="Q535" s="165"/>
      <c r="R535" s="165"/>
      <c r="S535" s="165"/>
      <c r="T535" s="165"/>
      <c r="U535" s="165"/>
      <c r="V535" s="165"/>
      <c r="W535" s="165"/>
      <c r="X535" s="165"/>
      <c r="Y535" s="165"/>
      <c r="Z535" s="165"/>
    </row>
    <row r="536" spans="16:26">
      <c r="P536" s="165"/>
      <c r="Q536" s="165"/>
      <c r="R536" s="165"/>
      <c r="S536" s="165"/>
      <c r="T536" s="165"/>
      <c r="U536" s="165"/>
      <c r="V536" s="165"/>
      <c r="W536" s="165"/>
      <c r="X536" s="165"/>
      <c r="Y536" s="165"/>
      <c r="Z536" s="165"/>
    </row>
    <row r="537" spans="16:26">
      <c r="P537" s="165"/>
      <c r="Q537" s="165"/>
      <c r="R537" s="165"/>
      <c r="S537" s="165"/>
      <c r="T537" s="165"/>
      <c r="U537" s="165"/>
      <c r="V537" s="165"/>
      <c r="W537" s="165"/>
      <c r="X537" s="165"/>
      <c r="Y537" s="165"/>
      <c r="Z537" s="165"/>
    </row>
    <row r="538" spans="16:26">
      <c r="P538" s="165"/>
      <c r="Q538" s="165"/>
      <c r="R538" s="165"/>
      <c r="S538" s="165"/>
      <c r="T538" s="165"/>
      <c r="U538" s="165"/>
      <c r="V538" s="165"/>
      <c r="W538" s="165"/>
      <c r="X538" s="165"/>
      <c r="Y538" s="165"/>
      <c r="Z538" s="165"/>
    </row>
    <row r="539" spans="16:26">
      <c r="P539" s="165"/>
      <c r="Q539" s="165"/>
      <c r="R539" s="165"/>
      <c r="S539" s="165"/>
      <c r="T539" s="165"/>
      <c r="U539" s="165"/>
      <c r="V539" s="165"/>
      <c r="W539" s="165"/>
      <c r="X539" s="165"/>
      <c r="Y539" s="165"/>
      <c r="Z539" s="165"/>
    </row>
    <row r="540" spans="16:26">
      <c r="P540" s="165"/>
      <c r="Q540" s="165"/>
      <c r="R540" s="165"/>
      <c r="S540" s="165"/>
      <c r="T540" s="165"/>
      <c r="U540" s="165"/>
      <c r="V540" s="165"/>
      <c r="W540" s="165"/>
      <c r="X540" s="165"/>
      <c r="Y540" s="165"/>
      <c r="Z540" s="165"/>
    </row>
    <row r="541" spans="16:26">
      <c r="P541" s="165"/>
      <c r="Q541" s="165"/>
      <c r="R541" s="165"/>
      <c r="S541" s="165"/>
      <c r="T541" s="165"/>
      <c r="U541" s="165"/>
      <c r="V541" s="165"/>
      <c r="W541" s="165"/>
      <c r="X541" s="165"/>
      <c r="Y541" s="165"/>
      <c r="Z541" s="165"/>
    </row>
    <row r="542" spans="16:26">
      <c r="P542" s="165"/>
      <c r="Q542" s="165"/>
      <c r="R542" s="165"/>
      <c r="S542" s="165"/>
      <c r="T542" s="165"/>
      <c r="U542" s="165"/>
      <c r="V542" s="165"/>
      <c r="W542" s="165"/>
      <c r="X542" s="165"/>
      <c r="Y542" s="165"/>
      <c r="Z542" s="165"/>
    </row>
    <row r="543" spans="16:26">
      <c r="P543" s="165"/>
      <c r="Q543" s="165"/>
      <c r="R543" s="165"/>
      <c r="S543" s="165"/>
      <c r="T543" s="165"/>
      <c r="U543" s="165"/>
      <c r="V543" s="165"/>
      <c r="W543" s="165"/>
      <c r="X543" s="165"/>
      <c r="Y543" s="165"/>
      <c r="Z543" s="165"/>
    </row>
    <row r="544" spans="16:26">
      <c r="P544" s="165"/>
      <c r="Q544" s="165"/>
      <c r="R544" s="165"/>
      <c r="S544" s="165"/>
      <c r="T544" s="165"/>
      <c r="U544" s="165"/>
      <c r="V544" s="165"/>
      <c r="W544" s="165"/>
      <c r="X544" s="165"/>
      <c r="Y544" s="165"/>
      <c r="Z544" s="165"/>
    </row>
    <row r="545" spans="16:26">
      <c r="P545" s="165"/>
      <c r="Q545" s="165"/>
      <c r="R545" s="165"/>
      <c r="S545" s="165"/>
      <c r="T545" s="165"/>
      <c r="U545" s="165"/>
      <c r="V545" s="165"/>
      <c r="W545" s="165"/>
      <c r="X545" s="165"/>
      <c r="Y545" s="165"/>
      <c r="Z545" s="165"/>
    </row>
    <row r="546" spans="16:26">
      <c r="P546" s="165"/>
      <c r="Q546" s="165"/>
      <c r="R546" s="165"/>
      <c r="S546" s="165"/>
      <c r="T546" s="165"/>
      <c r="U546" s="165"/>
      <c r="V546" s="165"/>
      <c r="W546" s="165"/>
      <c r="X546" s="165"/>
      <c r="Y546" s="165"/>
      <c r="Z546" s="165"/>
    </row>
    <row r="547" spans="16:26">
      <c r="P547" s="165"/>
      <c r="Q547" s="165"/>
      <c r="R547" s="165"/>
      <c r="S547" s="165"/>
      <c r="T547" s="165"/>
      <c r="U547" s="165"/>
      <c r="V547" s="165"/>
      <c r="W547" s="165"/>
      <c r="X547" s="165"/>
      <c r="Y547" s="165"/>
      <c r="Z547" s="165"/>
    </row>
    <row r="548" spans="16:26">
      <c r="P548" s="165"/>
      <c r="Q548" s="165"/>
      <c r="R548" s="165"/>
      <c r="S548" s="165"/>
      <c r="T548" s="165"/>
      <c r="U548" s="165"/>
      <c r="V548" s="165"/>
      <c r="W548" s="165"/>
      <c r="X548" s="165"/>
      <c r="Y548" s="165"/>
      <c r="Z548" s="165"/>
    </row>
    <row r="549" spans="16:26">
      <c r="P549" s="165"/>
      <c r="Q549" s="165"/>
      <c r="R549" s="165"/>
      <c r="S549" s="165"/>
      <c r="T549" s="165"/>
      <c r="U549" s="165"/>
      <c r="V549" s="165"/>
      <c r="W549" s="165"/>
      <c r="X549" s="165"/>
      <c r="Y549" s="165"/>
      <c r="Z549" s="165"/>
    </row>
    <row r="550" spans="16:26">
      <c r="P550" s="165"/>
      <c r="Q550" s="165"/>
      <c r="R550" s="165"/>
      <c r="S550" s="165"/>
      <c r="T550" s="165"/>
      <c r="U550" s="165"/>
      <c r="V550" s="165"/>
      <c r="W550" s="165"/>
      <c r="X550" s="165"/>
      <c r="Y550" s="165"/>
      <c r="Z550" s="165"/>
    </row>
    <row r="551" spans="16:26">
      <c r="P551" s="165"/>
      <c r="Q551" s="165"/>
      <c r="R551" s="165"/>
      <c r="S551" s="165"/>
      <c r="T551" s="165"/>
      <c r="U551" s="165"/>
      <c r="V551" s="165"/>
      <c r="W551" s="165"/>
      <c r="X551" s="165"/>
      <c r="Y551" s="165"/>
      <c r="Z551" s="165"/>
    </row>
    <row r="552" spans="16:26">
      <c r="P552" s="165"/>
      <c r="Q552" s="165"/>
      <c r="R552" s="165"/>
      <c r="S552" s="165"/>
      <c r="T552" s="165"/>
      <c r="U552" s="165"/>
      <c r="V552" s="165"/>
      <c r="W552" s="165"/>
      <c r="X552" s="165"/>
      <c r="Y552" s="165"/>
      <c r="Z552" s="165"/>
    </row>
    <row r="553" spans="16:26">
      <c r="P553" s="165"/>
      <c r="Q553" s="165"/>
      <c r="R553" s="165"/>
      <c r="S553" s="165"/>
      <c r="T553" s="165"/>
      <c r="U553" s="165"/>
      <c r="V553" s="165"/>
      <c r="W553" s="165"/>
      <c r="X553" s="165"/>
      <c r="Y553" s="165"/>
      <c r="Z553" s="165"/>
    </row>
    <row r="554" spans="16:26">
      <c r="P554" s="165"/>
      <c r="Q554" s="165"/>
      <c r="R554" s="165"/>
      <c r="S554" s="165"/>
      <c r="T554" s="165"/>
      <c r="U554" s="165"/>
      <c r="V554" s="165"/>
      <c r="W554" s="165"/>
      <c r="X554" s="165"/>
      <c r="Y554" s="165"/>
      <c r="Z554" s="165"/>
    </row>
    <row r="555" spans="16:26">
      <c r="P555" s="165"/>
      <c r="Q555" s="165"/>
      <c r="R555" s="165"/>
      <c r="S555" s="165"/>
      <c r="T555" s="165"/>
      <c r="U555" s="165"/>
      <c r="V555" s="165"/>
      <c r="W555" s="165"/>
      <c r="X555" s="165"/>
      <c r="Y555" s="165"/>
      <c r="Z555" s="165"/>
    </row>
    <row r="556" spans="16:26">
      <c r="P556" s="165"/>
      <c r="Q556" s="165"/>
      <c r="R556" s="165"/>
      <c r="S556" s="165"/>
      <c r="T556" s="165"/>
      <c r="U556" s="165"/>
      <c r="V556" s="165"/>
      <c r="W556" s="165"/>
      <c r="X556" s="165"/>
      <c r="Y556" s="165"/>
      <c r="Z556" s="165"/>
    </row>
    <row r="557" spans="16:26">
      <c r="P557" s="165"/>
      <c r="Q557" s="165"/>
      <c r="R557" s="165"/>
      <c r="S557" s="165"/>
      <c r="T557" s="165"/>
      <c r="U557" s="165"/>
      <c r="V557" s="165"/>
      <c r="W557" s="165"/>
      <c r="X557" s="165"/>
      <c r="Y557" s="165"/>
      <c r="Z557" s="165"/>
    </row>
    <row r="558" spans="16:26">
      <c r="P558" s="165"/>
      <c r="Q558" s="165"/>
      <c r="R558" s="165"/>
      <c r="S558" s="165"/>
      <c r="T558" s="165"/>
      <c r="U558" s="165"/>
      <c r="V558" s="165"/>
      <c r="W558" s="165"/>
      <c r="X558" s="165"/>
      <c r="Y558" s="165"/>
      <c r="Z558" s="165"/>
    </row>
    <row r="559" spans="16:26">
      <c r="P559" s="165"/>
      <c r="Q559" s="165"/>
      <c r="R559" s="165"/>
      <c r="S559" s="165"/>
      <c r="T559" s="165"/>
      <c r="U559" s="165"/>
      <c r="V559" s="165"/>
      <c r="W559" s="165"/>
      <c r="X559" s="165"/>
      <c r="Y559" s="165"/>
      <c r="Z559" s="165"/>
    </row>
    <row r="560" spans="16:26">
      <c r="P560" s="165"/>
      <c r="Q560" s="165"/>
      <c r="R560" s="165"/>
      <c r="S560" s="165"/>
      <c r="T560" s="165"/>
      <c r="U560" s="165"/>
      <c r="V560" s="165"/>
      <c r="W560" s="165"/>
      <c r="X560" s="165"/>
      <c r="Y560" s="165"/>
      <c r="Z560" s="165"/>
    </row>
    <row r="561" spans="16:26">
      <c r="P561" s="165"/>
      <c r="Q561" s="165"/>
      <c r="R561" s="165"/>
      <c r="S561" s="165"/>
      <c r="T561" s="165"/>
      <c r="U561" s="165"/>
      <c r="V561" s="165"/>
      <c r="W561" s="165"/>
      <c r="X561" s="165"/>
      <c r="Y561" s="165"/>
      <c r="Z561" s="165"/>
    </row>
    <row r="562" spans="16:26">
      <c r="P562" s="165"/>
      <c r="Q562" s="165"/>
      <c r="R562" s="165"/>
      <c r="S562" s="165"/>
      <c r="T562" s="165"/>
      <c r="U562" s="165"/>
      <c r="V562" s="165"/>
      <c r="W562" s="165"/>
      <c r="X562" s="165"/>
      <c r="Y562" s="165"/>
      <c r="Z562" s="165"/>
    </row>
    <row r="563" spans="16:26">
      <c r="P563" s="165"/>
      <c r="Q563" s="165"/>
      <c r="R563" s="165"/>
      <c r="S563" s="165"/>
      <c r="T563" s="165"/>
      <c r="U563" s="165"/>
      <c r="V563" s="165"/>
      <c r="W563" s="165"/>
      <c r="X563" s="165"/>
      <c r="Y563" s="165"/>
      <c r="Z563" s="165"/>
    </row>
    <row r="564" spans="16:26">
      <c r="P564" s="165"/>
      <c r="Q564" s="165"/>
      <c r="R564" s="165"/>
      <c r="S564" s="165"/>
      <c r="T564" s="165"/>
      <c r="U564" s="165"/>
      <c r="V564" s="165"/>
      <c r="W564" s="165"/>
      <c r="X564" s="165"/>
      <c r="Y564" s="165"/>
      <c r="Z564" s="165"/>
    </row>
    <row r="565" spans="16:26">
      <c r="P565" s="165"/>
      <c r="Q565" s="165"/>
      <c r="R565" s="165"/>
      <c r="S565" s="165"/>
      <c r="T565" s="165"/>
      <c r="U565" s="165"/>
      <c r="V565" s="165"/>
      <c r="W565" s="165"/>
      <c r="X565" s="165"/>
      <c r="Y565" s="165"/>
      <c r="Z565" s="165"/>
    </row>
    <row r="566" spans="16:26">
      <c r="P566" s="165"/>
      <c r="Q566" s="165"/>
      <c r="R566" s="165"/>
      <c r="S566" s="165"/>
      <c r="T566" s="165"/>
      <c r="U566" s="165"/>
      <c r="V566" s="165"/>
      <c r="W566" s="165"/>
      <c r="X566" s="165"/>
      <c r="Y566" s="165"/>
      <c r="Z566" s="165"/>
    </row>
    <row r="567" spans="16:26">
      <c r="P567" s="165"/>
      <c r="Q567" s="165"/>
      <c r="R567" s="165"/>
      <c r="S567" s="165"/>
      <c r="T567" s="165"/>
      <c r="U567" s="165"/>
      <c r="V567" s="165"/>
      <c r="W567" s="165"/>
      <c r="X567" s="165"/>
      <c r="Y567" s="165"/>
      <c r="Z567" s="165"/>
    </row>
    <row r="568" spans="16:26">
      <c r="P568" s="165"/>
      <c r="Q568" s="165"/>
      <c r="R568" s="165"/>
      <c r="S568" s="165"/>
      <c r="T568" s="165"/>
      <c r="U568" s="165"/>
      <c r="V568" s="165"/>
      <c r="W568" s="165"/>
      <c r="X568" s="165"/>
      <c r="Y568" s="165"/>
      <c r="Z568" s="165"/>
    </row>
    <row r="569" spans="16:26">
      <c r="P569" s="165"/>
      <c r="Q569" s="165"/>
      <c r="R569" s="165"/>
      <c r="S569" s="165"/>
      <c r="T569" s="165"/>
      <c r="U569" s="165"/>
      <c r="V569" s="165"/>
      <c r="W569" s="165"/>
      <c r="X569" s="165"/>
      <c r="Y569" s="165"/>
      <c r="Z569" s="165"/>
    </row>
    <row r="570" spans="16:26">
      <c r="P570" s="165"/>
      <c r="Q570" s="165"/>
      <c r="R570" s="165"/>
      <c r="S570" s="165"/>
      <c r="T570" s="165"/>
      <c r="U570" s="165"/>
      <c r="V570" s="165"/>
      <c r="W570" s="165"/>
      <c r="X570" s="165"/>
      <c r="Y570" s="165"/>
      <c r="Z570" s="165"/>
    </row>
    <row r="571" spans="16:26">
      <c r="P571" s="165"/>
      <c r="Q571" s="165"/>
      <c r="R571" s="165"/>
      <c r="S571" s="165"/>
      <c r="T571" s="165"/>
      <c r="U571" s="165"/>
      <c r="V571" s="165"/>
      <c r="W571" s="165"/>
      <c r="X571" s="165"/>
      <c r="Y571" s="165"/>
      <c r="Z571" s="165"/>
    </row>
    <row r="572" spans="16:26">
      <c r="P572" s="165"/>
      <c r="Q572" s="165"/>
      <c r="R572" s="165"/>
      <c r="S572" s="165"/>
      <c r="T572" s="165"/>
      <c r="U572" s="165"/>
      <c r="V572" s="165"/>
      <c r="W572" s="165"/>
      <c r="X572" s="165"/>
      <c r="Y572" s="165"/>
      <c r="Z572" s="165"/>
    </row>
    <row r="573" spans="16:26">
      <c r="P573" s="165"/>
      <c r="Q573" s="165"/>
      <c r="R573" s="165"/>
      <c r="S573" s="165"/>
      <c r="T573" s="165"/>
      <c r="U573" s="165"/>
      <c r="V573" s="165"/>
      <c r="W573" s="165"/>
      <c r="X573" s="165"/>
      <c r="Y573" s="165"/>
      <c r="Z573" s="165"/>
    </row>
    <row r="574" spans="16:26">
      <c r="P574" s="165"/>
      <c r="Q574" s="165"/>
      <c r="R574" s="165"/>
      <c r="S574" s="165"/>
      <c r="T574" s="165"/>
      <c r="U574" s="165"/>
      <c r="V574" s="165"/>
      <c r="W574" s="165"/>
      <c r="X574" s="165"/>
      <c r="Y574" s="165"/>
      <c r="Z574" s="165"/>
    </row>
    <row r="575" spans="16:26">
      <c r="P575" s="165"/>
      <c r="Q575" s="165"/>
      <c r="R575" s="165"/>
      <c r="S575" s="165"/>
      <c r="T575" s="165"/>
      <c r="U575" s="165"/>
      <c r="V575" s="165"/>
      <c r="W575" s="165"/>
      <c r="X575" s="165"/>
      <c r="Y575" s="165"/>
      <c r="Z575" s="165"/>
    </row>
    <row r="576" spans="16:26">
      <c r="P576" s="165"/>
      <c r="Q576" s="165"/>
      <c r="R576" s="165"/>
      <c r="S576" s="165"/>
      <c r="T576" s="165"/>
      <c r="U576" s="165"/>
      <c r="V576" s="165"/>
      <c r="W576" s="165"/>
      <c r="X576" s="165"/>
      <c r="Y576" s="165"/>
      <c r="Z576" s="165"/>
    </row>
    <row r="577" spans="16:26">
      <c r="P577" s="165"/>
      <c r="Q577" s="165"/>
      <c r="R577" s="165"/>
      <c r="S577" s="165"/>
      <c r="T577" s="165"/>
      <c r="U577" s="165"/>
      <c r="V577" s="165"/>
      <c r="W577" s="165"/>
      <c r="X577" s="165"/>
      <c r="Y577" s="165"/>
      <c r="Z577" s="165"/>
    </row>
    <row r="578" spans="16:26">
      <c r="P578" s="165"/>
      <c r="Q578" s="165"/>
      <c r="R578" s="165"/>
      <c r="S578" s="165"/>
      <c r="T578" s="165"/>
      <c r="U578" s="165"/>
      <c r="V578" s="165"/>
      <c r="W578" s="165"/>
      <c r="X578" s="165"/>
      <c r="Y578" s="165"/>
      <c r="Z578" s="165"/>
    </row>
    <row r="579" spans="16:26">
      <c r="P579" s="165"/>
      <c r="Q579" s="165"/>
      <c r="R579" s="165"/>
      <c r="S579" s="165"/>
      <c r="T579" s="165"/>
      <c r="U579" s="165"/>
      <c r="V579" s="165"/>
      <c r="W579" s="165"/>
      <c r="X579" s="165"/>
      <c r="Y579" s="165"/>
      <c r="Z579" s="165"/>
    </row>
    <row r="580" spans="16:26">
      <c r="P580" s="165"/>
      <c r="Q580" s="165"/>
      <c r="R580" s="165"/>
      <c r="S580" s="165"/>
      <c r="T580" s="165"/>
      <c r="U580" s="165"/>
      <c r="V580" s="165"/>
      <c r="W580" s="165"/>
      <c r="X580" s="165"/>
      <c r="Y580" s="165"/>
      <c r="Z580" s="165"/>
    </row>
    <row r="581" spans="16:26">
      <c r="P581" s="165"/>
      <c r="Q581" s="165"/>
      <c r="R581" s="165"/>
      <c r="S581" s="165"/>
      <c r="T581" s="165"/>
      <c r="U581" s="165"/>
      <c r="V581" s="165"/>
      <c r="W581" s="165"/>
      <c r="X581" s="165"/>
      <c r="Y581" s="165"/>
      <c r="Z581" s="165"/>
    </row>
    <row r="582" spans="16:26">
      <c r="P582" s="165"/>
      <c r="Q582" s="165"/>
      <c r="R582" s="165"/>
      <c r="S582" s="165"/>
      <c r="T582" s="165"/>
      <c r="U582" s="165"/>
      <c r="V582" s="165"/>
      <c r="W582" s="165"/>
      <c r="X582" s="165"/>
      <c r="Y582" s="165"/>
      <c r="Z582" s="165"/>
    </row>
    <row r="583" spans="16:26">
      <c r="P583" s="165"/>
      <c r="Q583" s="165"/>
      <c r="R583" s="165"/>
      <c r="S583" s="165"/>
      <c r="T583" s="165"/>
      <c r="U583" s="165"/>
      <c r="V583" s="165"/>
      <c r="W583" s="165"/>
      <c r="X583" s="165"/>
      <c r="Y583" s="165"/>
      <c r="Z583" s="165"/>
    </row>
    <row r="584" spans="16:26">
      <c r="P584" s="165"/>
      <c r="Q584" s="165"/>
      <c r="R584" s="165"/>
      <c r="S584" s="165"/>
      <c r="T584" s="165"/>
      <c r="U584" s="165"/>
      <c r="V584" s="165"/>
      <c r="W584" s="165"/>
      <c r="X584" s="165"/>
      <c r="Y584" s="165"/>
      <c r="Z584" s="165"/>
    </row>
    <row r="585" spans="16:26">
      <c r="P585" s="165"/>
      <c r="Q585" s="165"/>
      <c r="R585" s="165"/>
      <c r="S585" s="165"/>
      <c r="T585" s="165"/>
      <c r="U585" s="165"/>
      <c r="V585" s="165"/>
      <c r="W585" s="165"/>
      <c r="X585" s="165"/>
      <c r="Y585" s="165"/>
      <c r="Z585" s="165"/>
    </row>
    <row r="586" spans="16:26">
      <c r="P586" s="165"/>
      <c r="Q586" s="165"/>
      <c r="R586" s="165"/>
      <c r="S586" s="165"/>
      <c r="T586" s="165"/>
      <c r="U586" s="165"/>
      <c r="V586" s="165"/>
      <c r="W586" s="165"/>
      <c r="X586" s="165"/>
      <c r="Y586" s="165"/>
      <c r="Z586" s="165"/>
    </row>
    <row r="587" spans="16:26">
      <c r="P587" s="165"/>
      <c r="Q587" s="165"/>
      <c r="R587" s="165"/>
      <c r="S587" s="165"/>
      <c r="T587" s="165"/>
      <c r="U587" s="165"/>
      <c r="V587" s="165"/>
      <c r="W587" s="165"/>
      <c r="X587" s="165"/>
      <c r="Y587" s="165"/>
      <c r="Z587" s="165"/>
    </row>
    <row r="588" spans="16:26">
      <c r="P588" s="165"/>
      <c r="Q588" s="165"/>
      <c r="R588" s="165"/>
      <c r="S588" s="165"/>
      <c r="T588" s="165"/>
      <c r="U588" s="165"/>
      <c r="V588" s="165"/>
      <c r="W588" s="165"/>
      <c r="X588" s="165"/>
      <c r="Y588" s="165"/>
      <c r="Z588" s="165"/>
    </row>
    <row r="589" spans="16:26">
      <c r="P589" s="165"/>
      <c r="Q589" s="165"/>
      <c r="R589" s="165"/>
      <c r="S589" s="165"/>
      <c r="T589" s="165"/>
      <c r="U589" s="165"/>
      <c r="V589" s="165"/>
      <c r="W589" s="165"/>
      <c r="X589" s="165"/>
      <c r="Y589" s="165"/>
      <c r="Z589" s="165"/>
    </row>
    <row r="590" spans="16:26">
      <c r="P590" s="165"/>
      <c r="Q590" s="165"/>
      <c r="R590" s="165"/>
      <c r="S590" s="165"/>
      <c r="T590" s="165"/>
      <c r="U590" s="165"/>
      <c r="V590" s="165"/>
      <c r="W590" s="165"/>
      <c r="X590" s="165"/>
      <c r="Y590" s="165"/>
      <c r="Z590" s="165"/>
    </row>
    <row r="591" spans="16:26">
      <c r="P591" s="165"/>
      <c r="Q591" s="165"/>
      <c r="R591" s="165"/>
      <c r="S591" s="165"/>
      <c r="T591" s="165"/>
      <c r="U591" s="165"/>
      <c r="V591" s="165"/>
      <c r="W591" s="165"/>
      <c r="X591" s="165"/>
      <c r="Y591" s="165"/>
      <c r="Z591" s="165"/>
    </row>
    <row r="592" spans="16:26">
      <c r="P592" s="165"/>
      <c r="Q592" s="165"/>
      <c r="R592" s="165"/>
      <c r="S592" s="165"/>
      <c r="T592" s="165"/>
      <c r="U592" s="165"/>
      <c r="V592" s="165"/>
      <c r="W592" s="165"/>
      <c r="X592" s="165"/>
      <c r="Y592" s="165"/>
      <c r="Z592" s="165"/>
    </row>
    <row r="593" spans="16:26">
      <c r="P593" s="165"/>
      <c r="Q593" s="165"/>
      <c r="R593" s="165"/>
      <c r="S593" s="165"/>
      <c r="T593" s="165"/>
      <c r="U593" s="165"/>
      <c r="V593" s="165"/>
      <c r="W593" s="165"/>
      <c r="X593" s="165"/>
      <c r="Y593" s="165"/>
      <c r="Z593" s="165"/>
    </row>
    <row r="594" spans="16:26">
      <c r="P594" s="165"/>
      <c r="Q594" s="165"/>
      <c r="R594" s="165"/>
      <c r="S594" s="165"/>
      <c r="T594" s="165"/>
      <c r="U594" s="165"/>
      <c r="V594" s="165"/>
      <c r="W594" s="165"/>
      <c r="X594" s="165"/>
      <c r="Y594" s="165"/>
      <c r="Z594" s="165"/>
    </row>
    <row r="595" spans="16:26">
      <c r="P595" s="165"/>
      <c r="Q595" s="165"/>
      <c r="R595" s="165"/>
      <c r="S595" s="165"/>
      <c r="T595" s="165"/>
      <c r="U595" s="165"/>
      <c r="V595" s="165"/>
      <c r="W595" s="165"/>
      <c r="X595" s="165"/>
      <c r="Y595" s="165"/>
      <c r="Z595" s="165"/>
    </row>
    <row r="596" spans="16:26">
      <c r="P596" s="165"/>
      <c r="Q596" s="165"/>
      <c r="R596" s="165"/>
      <c r="S596" s="165"/>
      <c r="T596" s="165"/>
      <c r="U596" s="165"/>
      <c r="V596" s="165"/>
      <c r="W596" s="165"/>
      <c r="X596" s="165"/>
      <c r="Y596" s="165"/>
      <c r="Z596" s="165"/>
    </row>
    <row r="597" spans="16:26">
      <c r="P597" s="165"/>
      <c r="Q597" s="165"/>
      <c r="R597" s="165"/>
      <c r="S597" s="165"/>
      <c r="T597" s="165"/>
      <c r="U597" s="165"/>
      <c r="V597" s="165"/>
      <c r="W597" s="165"/>
      <c r="X597" s="165"/>
      <c r="Y597" s="165"/>
      <c r="Z597" s="165"/>
    </row>
    <row r="598" spans="16:26">
      <c r="P598" s="165"/>
      <c r="Q598" s="165"/>
      <c r="R598" s="165"/>
      <c r="S598" s="165"/>
      <c r="T598" s="165"/>
      <c r="U598" s="165"/>
      <c r="V598" s="165"/>
      <c r="W598" s="165"/>
      <c r="X598" s="165"/>
      <c r="Y598" s="165"/>
      <c r="Z598" s="165"/>
    </row>
    <row r="599" spans="16:26">
      <c r="P599" s="165"/>
      <c r="Q599" s="165"/>
      <c r="R599" s="165"/>
      <c r="S599" s="165"/>
      <c r="T599" s="165"/>
      <c r="U599" s="165"/>
      <c r="V599" s="165"/>
      <c r="W599" s="165"/>
      <c r="X599" s="165"/>
      <c r="Y599" s="165"/>
      <c r="Z599" s="165"/>
    </row>
    <row r="600" spans="16:26">
      <c r="P600" s="165"/>
      <c r="Q600" s="165"/>
      <c r="R600" s="165"/>
      <c r="S600" s="165"/>
      <c r="T600" s="165"/>
      <c r="U600" s="165"/>
      <c r="V600" s="165"/>
      <c r="W600" s="165"/>
      <c r="X600" s="165"/>
      <c r="Y600" s="165"/>
      <c r="Z600" s="165"/>
    </row>
    <row r="601" spans="16:26">
      <c r="P601" s="165"/>
      <c r="Q601" s="165"/>
      <c r="R601" s="165"/>
      <c r="S601" s="165"/>
      <c r="T601" s="165"/>
      <c r="U601" s="165"/>
      <c r="V601" s="165"/>
      <c r="W601" s="165"/>
      <c r="X601" s="165"/>
      <c r="Y601" s="165"/>
      <c r="Z601" s="165"/>
    </row>
    <row r="602" spans="16:26">
      <c r="P602" s="165"/>
      <c r="Q602" s="165"/>
      <c r="R602" s="165"/>
      <c r="S602" s="165"/>
      <c r="T602" s="165"/>
      <c r="U602" s="165"/>
      <c r="V602" s="165"/>
      <c r="W602" s="165"/>
      <c r="X602" s="165"/>
      <c r="Y602" s="165"/>
      <c r="Z602" s="165"/>
    </row>
    <row r="603" spans="16:26">
      <c r="P603" s="165"/>
      <c r="Q603" s="165"/>
      <c r="R603" s="165"/>
      <c r="S603" s="165"/>
      <c r="T603" s="165"/>
      <c r="U603" s="165"/>
      <c r="V603" s="165"/>
      <c r="W603" s="165"/>
      <c r="X603" s="165"/>
      <c r="Y603" s="165"/>
      <c r="Z603" s="165"/>
    </row>
    <row r="604" spans="16:26">
      <c r="P604" s="165"/>
      <c r="Q604" s="165"/>
      <c r="R604" s="165"/>
      <c r="S604" s="165"/>
      <c r="T604" s="165"/>
      <c r="U604" s="165"/>
      <c r="V604" s="165"/>
      <c r="W604" s="165"/>
      <c r="X604" s="165"/>
      <c r="Y604" s="165"/>
      <c r="Z604" s="165"/>
    </row>
    <row r="605" spans="16:26">
      <c r="P605" s="165"/>
      <c r="Q605" s="165"/>
      <c r="R605" s="165"/>
      <c r="S605" s="165"/>
      <c r="T605" s="165"/>
      <c r="U605" s="165"/>
      <c r="V605" s="165"/>
      <c r="W605" s="165"/>
      <c r="X605" s="165"/>
      <c r="Y605" s="165"/>
      <c r="Z605" s="165"/>
    </row>
    <row r="606" spans="16:26">
      <c r="P606" s="165"/>
      <c r="Q606" s="165"/>
      <c r="R606" s="165"/>
      <c r="S606" s="165"/>
      <c r="T606" s="165"/>
      <c r="U606" s="165"/>
      <c r="V606" s="165"/>
      <c r="W606" s="165"/>
      <c r="X606" s="165"/>
      <c r="Y606" s="165"/>
      <c r="Z606" s="165"/>
    </row>
    <row r="607" spans="16:26">
      <c r="P607" s="165"/>
      <c r="Q607" s="165"/>
      <c r="R607" s="165"/>
      <c r="S607" s="165"/>
      <c r="T607" s="165"/>
      <c r="U607" s="165"/>
      <c r="V607" s="165"/>
      <c r="W607" s="165"/>
      <c r="X607" s="165"/>
      <c r="Y607" s="165"/>
      <c r="Z607" s="165"/>
    </row>
    <row r="608" spans="16:26">
      <c r="P608" s="165"/>
      <c r="Q608" s="165"/>
      <c r="R608" s="165"/>
      <c r="S608" s="165"/>
      <c r="T608" s="165"/>
      <c r="U608" s="165"/>
      <c r="V608" s="165"/>
      <c r="W608" s="165"/>
      <c r="X608" s="165"/>
      <c r="Y608" s="165"/>
      <c r="Z608" s="165"/>
    </row>
    <row r="609" spans="16:26">
      <c r="P609" s="165"/>
      <c r="Q609" s="165"/>
      <c r="R609" s="165"/>
      <c r="S609" s="165"/>
      <c r="T609" s="165"/>
      <c r="U609" s="165"/>
      <c r="V609" s="165"/>
      <c r="W609" s="165"/>
      <c r="X609" s="165"/>
      <c r="Y609" s="165"/>
      <c r="Z609" s="165"/>
    </row>
    <row r="610" spans="16:26">
      <c r="P610" s="165"/>
      <c r="Q610" s="165"/>
      <c r="R610" s="165"/>
      <c r="S610" s="165"/>
      <c r="T610" s="165"/>
      <c r="U610" s="165"/>
      <c r="V610" s="165"/>
      <c r="W610" s="165"/>
      <c r="X610" s="165"/>
      <c r="Y610" s="165"/>
      <c r="Z610" s="165"/>
    </row>
    <row r="611" spans="16:26">
      <c r="P611" s="165"/>
      <c r="Q611" s="165"/>
      <c r="R611" s="165"/>
      <c r="S611" s="165"/>
      <c r="T611" s="165"/>
      <c r="U611" s="165"/>
      <c r="V611" s="165"/>
      <c r="W611" s="165"/>
      <c r="X611" s="165"/>
      <c r="Y611" s="165"/>
      <c r="Z611" s="165"/>
    </row>
    <row r="612" spans="16:26">
      <c r="P612" s="165"/>
      <c r="Q612" s="165"/>
      <c r="R612" s="165"/>
      <c r="S612" s="165"/>
      <c r="T612" s="165"/>
      <c r="U612" s="165"/>
      <c r="V612" s="165"/>
      <c r="W612" s="165"/>
      <c r="X612" s="165"/>
      <c r="Y612" s="165"/>
      <c r="Z612" s="165"/>
    </row>
    <row r="613" spans="16:26">
      <c r="P613" s="165"/>
      <c r="Q613" s="165"/>
      <c r="R613" s="165"/>
      <c r="S613" s="165"/>
      <c r="T613" s="165"/>
      <c r="U613" s="165"/>
      <c r="V613" s="165"/>
      <c r="W613" s="165"/>
      <c r="X613" s="165"/>
      <c r="Y613" s="165"/>
      <c r="Z613" s="165"/>
    </row>
    <row r="614" spans="16:26">
      <c r="P614" s="165"/>
      <c r="Q614" s="165"/>
      <c r="R614" s="165"/>
      <c r="S614" s="165"/>
      <c r="T614" s="165"/>
      <c r="U614" s="165"/>
      <c r="V614" s="165"/>
      <c r="W614" s="165"/>
      <c r="X614" s="165"/>
      <c r="Y614" s="165"/>
      <c r="Z614" s="165"/>
    </row>
    <row r="615" spans="16:26">
      <c r="P615" s="165"/>
      <c r="Q615" s="165"/>
      <c r="R615" s="165"/>
      <c r="S615" s="165"/>
      <c r="T615" s="165"/>
      <c r="U615" s="165"/>
      <c r="V615" s="165"/>
      <c r="W615" s="165"/>
      <c r="X615" s="165"/>
      <c r="Y615" s="165"/>
      <c r="Z615" s="165"/>
    </row>
    <row r="616" spans="16:26">
      <c r="P616" s="165"/>
      <c r="Q616" s="165"/>
      <c r="R616" s="165"/>
      <c r="S616" s="165"/>
      <c r="T616" s="165"/>
      <c r="U616" s="165"/>
      <c r="V616" s="165"/>
      <c r="W616" s="165"/>
      <c r="X616" s="165"/>
      <c r="Y616" s="165"/>
      <c r="Z616" s="165"/>
    </row>
    <row r="617" spans="16:26">
      <c r="P617" s="165"/>
      <c r="Q617" s="165"/>
      <c r="R617" s="165"/>
      <c r="S617" s="165"/>
      <c r="T617" s="165"/>
      <c r="U617" s="165"/>
      <c r="V617" s="165"/>
      <c r="W617" s="165"/>
      <c r="X617" s="165"/>
      <c r="Y617" s="165"/>
      <c r="Z617" s="165"/>
    </row>
    <row r="618" spans="16:26">
      <c r="P618" s="165"/>
      <c r="Q618" s="165"/>
      <c r="R618" s="165"/>
      <c r="S618" s="165"/>
      <c r="T618" s="165"/>
      <c r="U618" s="165"/>
      <c r="V618" s="165"/>
      <c r="W618" s="165"/>
      <c r="X618" s="165"/>
      <c r="Y618" s="165"/>
      <c r="Z618" s="165"/>
    </row>
    <row r="619" spans="16:26">
      <c r="P619" s="165"/>
      <c r="Q619" s="165"/>
      <c r="R619" s="165"/>
      <c r="S619" s="165"/>
      <c r="T619" s="165"/>
      <c r="U619" s="165"/>
      <c r="V619" s="165"/>
      <c r="W619" s="165"/>
      <c r="X619" s="165"/>
      <c r="Y619" s="165"/>
      <c r="Z619" s="165"/>
    </row>
    <row r="620" spans="16:26">
      <c r="P620" s="165"/>
      <c r="Q620" s="165"/>
      <c r="R620" s="165"/>
      <c r="S620" s="165"/>
      <c r="T620" s="165"/>
      <c r="U620" s="165"/>
      <c r="V620" s="165"/>
      <c r="W620" s="165"/>
      <c r="X620" s="165"/>
      <c r="Y620" s="165"/>
      <c r="Z620" s="165"/>
    </row>
    <row r="621" spans="16:26">
      <c r="P621" s="165"/>
      <c r="Q621" s="165"/>
      <c r="R621" s="165"/>
      <c r="S621" s="165"/>
      <c r="T621" s="165"/>
      <c r="U621" s="165"/>
      <c r="V621" s="165"/>
      <c r="W621" s="165"/>
      <c r="X621" s="165"/>
      <c r="Y621" s="165"/>
      <c r="Z621" s="165"/>
    </row>
    <row r="622" spans="16:26">
      <c r="P622" s="165"/>
      <c r="Q622" s="165"/>
      <c r="R622" s="165"/>
      <c r="S622" s="165"/>
      <c r="T622" s="165"/>
      <c r="U622" s="165"/>
      <c r="V622" s="165"/>
      <c r="W622" s="165"/>
      <c r="X622" s="165"/>
      <c r="Y622" s="165"/>
      <c r="Z622" s="165"/>
    </row>
    <row r="623" spans="16:26">
      <c r="P623" s="165"/>
      <c r="Q623" s="165"/>
      <c r="R623" s="165"/>
      <c r="S623" s="165"/>
      <c r="T623" s="165"/>
      <c r="U623" s="165"/>
      <c r="V623" s="165"/>
      <c r="W623" s="165"/>
      <c r="X623" s="165"/>
      <c r="Y623" s="165"/>
      <c r="Z623" s="165"/>
    </row>
    <row r="624" spans="16:26">
      <c r="P624" s="165"/>
      <c r="Q624" s="165"/>
      <c r="R624" s="165"/>
      <c r="S624" s="165"/>
      <c r="T624" s="165"/>
      <c r="U624" s="165"/>
      <c r="V624" s="165"/>
      <c r="W624" s="165"/>
      <c r="X624" s="165"/>
      <c r="Y624" s="165"/>
      <c r="Z624" s="165"/>
    </row>
    <row r="625" spans="16:26">
      <c r="P625" s="165"/>
      <c r="Q625" s="165"/>
      <c r="R625" s="165"/>
      <c r="S625" s="165"/>
      <c r="T625" s="165"/>
      <c r="U625" s="165"/>
      <c r="V625" s="165"/>
      <c r="W625" s="165"/>
      <c r="X625" s="165"/>
      <c r="Y625" s="165"/>
      <c r="Z625" s="165"/>
    </row>
    <row r="626" spans="16:26">
      <c r="P626" s="165"/>
      <c r="Q626" s="165"/>
      <c r="R626" s="165"/>
      <c r="S626" s="165"/>
      <c r="T626" s="165"/>
      <c r="U626" s="165"/>
      <c r="V626" s="165"/>
      <c r="W626" s="165"/>
      <c r="X626" s="165"/>
      <c r="Y626" s="165"/>
      <c r="Z626" s="165"/>
    </row>
    <row r="627" spans="16:26">
      <c r="P627" s="165"/>
      <c r="Q627" s="165"/>
      <c r="R627" s="165"/>
      <c r="S627" s="165"/>
      <c r="T627" s="165"/>
      <c r="U627" s="165"/>
      <c r="V627" s="165"/>
      <c r="W627" s="165"/>
      <c r="X627" s="165"/>
      <c r="Y627" s="165"/>
      <c r="Z627" s="165"/>
    </row>
    <row r="628" spans="16:26">
      <c r="P628" s="165"/>
      <c r="Q628" s="165"/>
      <c r="R628" s="165"/>
      <c r="S628" s="165"/>
      <c r="T628" s="165"/>
      <c r="U628" s="165"/>
      <c r="V628" s="165"/>
      <c r="W628" s="165"/>
      <c r="X628" s="165"/>
      <c r="Y628" s="165"/>
      <c r="Z628" s="165"/>
    </row>
    <row r="629" spans="16:26">
      <c r="P629" s="165"/>
      <c r="Q629" s="165"/>
      <c r="R629" s="165"/>
      <c r="S629" s="165"/>
      <c r="T629" s="165"/>
      <c r="U629" s="165"/>
      <c r="V629" s="165"/>
      <c r="W629" s="165"/>
      <c r="X629" s="165"/>
      <c r="Y629" s="165"/>
      <c r="Z629" s="165"/>
    </row>
    <row r="630" spans="16:26">
      <c r="P630" s="165"/>
      <c r="Q630" s="165"/>
      <c r="R630" s="165"/>
      <c r="S630" s="165"/>
      <c r="T630" s="165"/>
      <c r="U630" s="165"/>
      <c r="V630" s="165"/>
      <c r="W630" s="165"/>
      <c r="X630" s="165"/>
      <c r="Y630" s="165"/>
      <c r="Z630" s="165"/>
    </row>
    <row r="631" spans="16:26">
      <c r="P631" s="165"/>
      <c r="Q631" s="165"/>
      <c r="R631" s="165"/>
      <c r="S631" s="165"/>
      <c r="T631" s="165"/>
      <c r="U631" s="165"/>
      <c r="V631" s="165"/>
      <c r="W631" s="165"/>
      <c r="X631" s="165"/>
      <c r="Y631" s="165"/>
      <c r="Z631" s="165"/>
    </row>
    <row r="632" spans="16:26">
      <c r="P632" s="165"/>
      <c r="Q632" s="165"/>
      <c r="R632" s="165"/>
      <c r="S632" s="165"/>
      <c r="T632" s="165"/>
      <c r="U632" s="165"/>
      <c r="V632" s="165"/>
      <c r="W632" s="165"/>
      <c r="X632" s="165"/>
      <c r="Y632" s="165"/>
      <c r="Z632" s="165"/>
    </row>
    <row r="633" spans="16:26">
      <c r="P633" s="165"/>
      <c r="Q633" s="165"/>
      <c r="R633" s="165"/>
      <c r="S633" s="165"/>
      <c r="T633" s="165"/>
      <c r="U633" s="165"/>
      <c r="V633" s="165"/>
      <c r="W633" s="165"/>
      <c r="X633" s="165"/>
      <c r="Y633" s="165"/>
      <c r="Z633" s="165"/>
    </row>
    <row r="634" spans="16:26">
      <c r="P634" s="165"/>
      <c r="Q634" s="165"/>
      <c r="R634" s="165"/>
      <c r="S634" s="165"/>
      <c r="T634" s="165"/>
      <c r="U634" s="165"/>
      <c r="V634" s="165"/>
      <c r="W634" s="165"/>
      <c r="X634" s="165"/>
      <c r="Y634" s="165"/>
      <c r="Z634" s="165"/>
    </row>
    <row r="635" spans="16:26">
      <c r="P635" s="165"/>
      <c r="Q635" s="165"/>
      <c r="R635" s="165"/>
      <c r="S635" s="165"/>
      <c r="T635" s="165"/>
      <c r="U635" s="165"/>
      <c r="V635" s="165"/>
      <c r="W635" s="165"/>
      <c r="X635" s="165"/>
      <c r="Y635" s="165"/>
      <c r="Z635" s="165"/>
    </row>
    <row r="636" spans="16:26">
      <c r="P636" s="165"/>
      <c r="Q636" s="165"/>
      <c r="R636" s="165"/>
      <c r="S636" s="165"/>
      <c r="T636" s="165"/>
      <c r="U636" s="165"/>
      <c r="V636" s="165"/>
      <c r="W636" s="165"/>
      <c r="X636" s="165"/>
      <c r="Y636" s="165"/>
      <c r="Z636" s="165"/>
    </row>
    <row r="637" spans="16:26">
      <c r="P637" s="165"/>
      <c r="Q637" s="165"/>
      <c r="R637" s="165"/>
      <c r="S637" s="165"/>
      <c r="T637" s="165"/>
      <c r="U637" s="165"/>
      <c r="V637" s="165"/>
      <c r="W637" s="165"/>
      <c r="X637" s="165"/>
      <c r="Y637" s="165"/>
      <c r="Z637" s="165"/>
    </row>
    <row r="638" spans="16:26">
      <c r="P638" s="165"/>
      <c r="Q638" s="165"/>
      <c r="R638" s="165"/>
      <c r="S638" s="165"/>
      <c r="T638" s="165"/>
      <c r="U638" s="165"/>
      <c r="V638" s="165"/>
      <c r="W638" s="165"/>
      <c r="X638" s="165"/>
      <c r="Y638" s="165"/>
      <c r="Z638" s="165"/>
    </row>
    <row r="639" spans="16:26">
      <c r="P639" s="165"/>
      <c r="Q639" s="165"/>
      <c r="R639" s="165"/>
      <c r="S639" s="165"/>
      <c r="T639" s="165"/>
      <c r="U639" s="165"/>
      <c r="V639" s="165"/>
      <c r="W639" s="165"/>
      <c r="X639" s="165"/>
      <c r="Y639" s="165"/>
      <c r="Z639" s="165"/>
    </row>
    <row r="640" spans="16:26">
      <c r="P640" s="165"/>
      <c r="Q640" s="165"/>
      <c r="R640" s="165"/>
      <c r="S640" s="165"/>
      <c r="T640" s="165"/>
      <c r="U640" s="165"/>
      <c r="V640" s="165"/>
      <c r="W640" s="165"/>
      <c r="X640" s="165"/>
      <c r="Y640" s="165"/>
      <c r="Z640" s="165"/>
    </row>
    <row r="641" spans="16:26">
      <c r="P641" s="165"/>
      <c r="Q641" s="165"/>
      <c r="R641" s="165"/>
      <c r="S641" s="165"/>
      <c r="T641" s="165"/>
      <c r="U641" s="165"/>
      <c r="V641" s="165"/>
      <c r="W641" s="165"/>
      <c r="X641" s="165"/>
      <c r="Y641" s="165"/>
      <c r="Z641" s="165"/>
    </row>
    <row r="642" spans="16:26">
      <c r="P642" s="165"/>
      <c r="Q642" s="165"/>
      <c r="R642" s="165"/>
      <c r="S642" s="165"/>
      <c r="T642" s="165"/>
      <c r="U642" s="165"/>
      <c r="V642" s="165"/>
      <c r="W642" s="165"/>
      <c r="X642" s="165"/>
      <c r="Y642" s="165"/>
      <c r="Z642" s="165"/>
    </row>
    <row r="643" spans="16:26">
      <c r="P643" s="165"/>
      <c r="Q643" s="165"/>
      <c r="R643" s="165"/>
      <c r="S643" s="165"/>
      <c r="T643" s="165"/>
      <c r="U643" s="165"/>
      <c r="V643" s="165"/>
      <c r="W643" s="165"/>
      <c r="X643" s="165"/>
      <c r="Y643" s="165"/>
      <c r="Z643" s="165"/>
    </row>
    <row r="644" spans="16:26">
      <c r="P644" s="165"/>
      <c r="Q644" s="165"/>
      <c r="R644" s="165"/>
      <c r="S644" s="165"/>
      <c r="T644" s="165"/>
      <c r="U644" s="165"/>
      <c r="V644" s="165"/>
      <c r="W644" s="165"/>
      <c r="X644" s="165"/>
      <c r="Y644" s="165"/>
      <c r="Z644" s="165"/>
    </row>
    <row r="645" spans="16:26">
      <c r="P645" s="165"/>
      <c r="Q645" s="165"/>
      <c r="R645" s="165"/>
      <c r="S645" s="165"/>
      <c r="T645" s="165"/>
      <c r="U645" s="165"/>
      <c r="V645" s="165"/>
      <c r="W645" s="165"/>
      <c r="X645" s="165"/>
      <c r="Y645" s="165"/>
      <c r="Z645" s="165"/>
    </row>
    <row r="646" spans="16:26">
      <c r="P646" s="165"/>
      <c r="Q646" s="165"/>
      <c r="R646" s="165"/>
      <c r="S646" s="165"/>
      <c r="T646" s="165"/>
      <c r="U646" s="165"/>
      <c r="V646" s="165"/>
      <c r="W646" s="165"/>
      <c r="X646" s="165"/>
      <c r="Y646" s="165"/>
      <c r="Z646" s="165"/>
    </row>
    <row r="647" spans="16:26">
      <c r="P647" s="165"/>
      <c r="Q647" s="165"/>
      <c r="R647" s="165"/>
      <c r="S647" s="165"/>
      <c r="T647" s="165"/>
      <c r="U647" s="165"/>
      <c r="V647" s="165"/>
      <c r="W647" s="165"/>
      <c r="X647" s="165"/>
      <c r="Y647" s="165"/>
      <c r="Z647" s="165"/>
    </row>
    <row r="648" spans="16:26">
      <c r="P648" s="165"/>
      <c r="Q648" s="165"/>
      <c r="R648" s="165"/>
      <c r="S648" s="165"/>
      <c r="T648" s="165"/>
      <c r="U648" s="165"/>
      <c r="V648" s="165"/>
      <c r="W648" s="165"/>
      <c r="X648" s="165"/>
      <c r="Y648" s="165"/>
      <c r="Z648" s="165"/>
    </row>
    <row r="649" spans="16:26">
      <c r="P649" s="165"/>
      <c r="Q649" s="165"/>
      <c r="R649" s="165"/>
      <c r="S649" s="165"/>
      <c r="T649" s="165"/>
      <c r="U649" s="165"/>
      <c r="V649" s="165"/>
      <c r="W649" s="165"/>
      <c r="X649" s="165"/>
      <c r="Y649" s="165"/>
      <c r="Z649" s="165"/>
    </row>
    <row r="650" spans="16:26">
      <c r="P650" s="165"/>
      <c r="Q650" s="165"/>
      <c r="R650" s="165"/>
      <c r="S650" s="165"/>
      <c r="T650" s="165"/>
      <c r="U650" s="165"/>
      <c r="V650" s="165"/>
      <c r="W650" s="165"/>
      <c r="X650" s="165"/>
      <c r="Y650" s="165"/>
      <c r="Z650" s="165"/>
    </row>
    <row r="651" spans="16:26">
      <c r="P651" s="165"/>
      <c r="Q651" s="165"/>
      <c r="R651" s="165"/>
      <c r="S651" s="165"/>
      <c r="T651" s="165"/>
      <c r="U651" s="165"/>
      <c r="V651" s="165"/>
      <c r="W651" s="165"/>
      <c r="X651" s="165"/>
      <c r="Y651" s="165"/>
      <c r="Z651" s="165"/>
    </row>
    <row r="652" spans="16:26">
      <c r="P652" s="165"/>
      <c r="Q652" s="165"/>
      <c r="R652" s="165"/>
      <c r="S652" s="165"/>
      <c r="T652" s="165"/>
      <c r="U652" s="165"/>
      <c r="V652" s="165"/>
      <c r="W652" s="165"/>
      <c r="X652" s="165"/>
      <c r="Y652" s="165"/>
      <c r="Z652" s="165"/>
    </row>
    <row r="653" spans="16:26">
      <c r="P653" s="165"/>
      <c r="Q653" s="165"/>
      <c r="R653" s="165"/>
      <c r="S653" s="165"/>
      <c r="T653" s="165"/>
      <c r="U653" s="165"/>
      <c r="V653" s="165"/>
      <c r="W653" s="165"/>
      <c r="X653" s="165"/>
      <c r="Y653" s="165"/>
      <c r="Z653" s="165"/>
    </row>
    <row r="654" spans="16:26">
      <c r="P654" s="165"/>
      <c r="Q654" s="165"/>
      <c r="R654" s="165"/>
      <c r="S654" s="165"/>
      <c r="T654" s="165"/>
      <c r="U654" s="165"/>
      <c r="V654" s="165"/>
      <c r="W654" s="165"/>
      <c r="X654" s="165"/>
      <c r="Y654" s="165"/>
      <c r="Z654" s="165"/>
    </row>
    <row r="655" spans="16:26">
      <c r="P655" s="165"/>
      <c r="Q655" s="165"/>
      <c r="R655" s="165"/>
      <c r="S655" s="165"/>
      <c r="T655" s="165"/>
      <c r="U655" s="165"/>
      <c r="V655" s="165"/>
      <c r="W655" s="165"/>
      <c r="X655" s="165"/>
      <c r="Y655" s="165"/>
      <c r="Z655" s="165"/>
    </row>
    <row r="656" spans="16:26">
      <c r="P656" s="165"/>
      <c r="Q656" s="165"/>
      <c r="R656" s="165"/>
      <c r="S656" s="165"/>
      <c r="T656" s="165"/>
      <c r="U656" s="165"/>
      <c r="V656" s="165"/>
      <c r="W656" s="165"/>
      <c r="X656" s="165"/>
      <c r="Y656" s="165"/>
      <c r="Z656" s="165"/>
    </row>
    <row r="657" spans="16:26">
      <c r="P657" s="165"/>
      <c r="Q657" s="165"/>
      <c r="R657" s="165"/>
      <c r="S657" s="165"/>
      <c r="T657" s="165"/>
      <c r="U657" s="165"/>
      <c r="V657" s="165"/>
      <c r="W657" s="165"/>
      <c r="X657" s="165"/>
      <c r="Y657" s="165"/>
      <c r="Z657" s="165"/>
    </row>
    <row r="658" spans="16:26">
      <c r="P658" s="165"/>
      <c r="Q658" s="165"/>
      <c r="R658" s="165"/>
      <c r="S658" s="165"/>
      <c r="T658" s="165"/>
      <c r="U658" s="165"/>
      <c r="V658" s="165"/>
      <c r="W658" s="165"/>
      <c r="X658" s="165"/>
      <c r="Y658" s="165"/>
      <c r="Z658" s="165"/>
    </row>
    <row r="659" spans="16:26">
      <c r="P659" s="165"/>
      <c r="Q659" s="165"/>
      <c r="R659" s="165"/>
      <c r="S659" s="165"/>
      <c r="T659" s="165"/>
      <c r="U659" s="165"/>
      <c r="V659" s="165"/>
      <c r="W659" s="165"/>
      <c r="X659" s="165"/>
      <c r="Y659" s="165"/>
      <c r="Z659" s="165"/>
    </row>
    <row r="660" spans="16:26">
      <c r="P660" s="165"/>
      <c r="Q660" s="165"/>
      <c r="R660" s="165"/>
      <c r="S660" s="165"/>
      <c r="T660" s="165"/>
      <c r="U660" s="165"/>
      <c r="V660" s="165"/>
      <c r="W660" s="165"/>
      <c r="X660" s="165"/>
      <c r="Y660" s="165"/>
      <c r="Z660" s="165"/>
    </row>
    <row r="661" spans="16:26">
      <c r="P661" s="165"/>
      <c r="Q661" s="165"/>
      <c r="R661" s="165"/>
      <c r="S661" s="165"/>
      <c r="T661" s="165"/>
      <c r="U661" s="165"/>
      <c r="V661" s="165"/>
      <c r="W661" s="165"/>
      <c r="X661" s="165"/>
      <c r="Y661" s="165"/>
      <c r="Z661" s="165"/>
    </row>
    <row r="662" spans="16:26">
      <c r="P662" s="165"/>
      <c r="Q662" s="165"/>
      <c r="R662" s="165"/>
      <c r="S662" s="165"/>
      <c r="T662" s="165"/>
      <c r="U662" s="165"/>
      <c r="V662" s="165"/>
      <c r="W662" s="165"/>
      <c r="X662" s="165"/>
      <c r="Y662" s="165"/>
      <c r="Z662" s="165"/>
    </row>
    <row r="663" spans="16:26">
      <c r="P663" s="165"/>
      <c r="Q663" s="165"/>
      <c r="R663" s="165"/>
      <c r="S663" s="165"/>
      <c r="T663" s="165"/>
      <c r="U663" s="165"/>
      <c r="V663" s="165"/>
      <c r="W663" s="165"/>
      <c r="X663" s="165"/>
      <c r="Y663" s="165"/>
      <c r="Z663" s="165"/>
    </row>
    <row r="664" spans="16:26">
      <c r="P664" s="165"/>
      <c r="Q664" s="165"/>
      <c r="R664" s="165"/>
      <c r="S664" s="165"/>
      <c r="T664" s="165"/>
      <c r="U664" s="165"/>
      <c r="V664" s="165"/>
      <c r="W664" s="165"/>
      <c r="X664" s="165"/>
      <c r="Y664" s="165"/>
      <c r="Z664" s="165"/>
    </row>
    <row r="665" spans="16:26">
      <c r="P665" s="165"/>
      <c r="Q665" s="165"/>
      <c r="R665" s="165"/>
      <c r="S665" s="165"/>
      <c r="T665" s="165"/>
      <c r="U665" s="165"/>
      <c r="V665" s="165"/>
      <c r="W665" s="165"/>
      <c r="X665" s="165"/>
      <c r="Y665" s="165"/>
      <c r="Z665" s="165"/>
    </row>
    <row r="666" spans="16:26">
      <c r="P666" s="165"/>
      <c r="Q666" s="165"/>
      <c r="R666" s="165"/>
      <c r="S666" s="165"/>
      <c r="T666" s="165"/>
      <c r="U666" s="165"/>
      <c r="V666" s="165"/>
      <c r="W666" s="165"/>
      <c r="X666" s="165"/>
      <c r="Y666" s="165"/>
      <c r="Z666" s="165"/>
    </row>
    <row r="667" spans="16:26">
      <c r="P667" s="165"/>
      <c r="Q667" s="165"/>
      <c r="R667" s="165"/>
      <c r="S667" s="165"/>
      <c r="T667" s="165"/>
      <c r="U667" s="165"/>
      <c r="V667" s="165"/>
      <c r="W667" s="165"/>
      <c r="X667" s="165"/>
      <c r="Y667" s="165"/>
      <c r="Z667" s="165"/>
    </row>
    <row r="668" spans="16:26">
      <c r="P668" s="165"/>
      <c r="Q668" s="165"/>
      <c r="R668" s="165"/>
      <c r="S668" s="165"/>
      <c r="T668" s="165"/>
      <c r="U668" s="165"/>
      <c r="V668" s="165"/>
      <c r="W668" s="165"/>
      <c r="X668" s="165"/>
      <c r="Y668" s="165"/>
      <c r="Z668" s="165"/>
    </row>
    <row r="669" spans="16:26">
      <c r="P669" s="165"/>
      <c r="Q669" s="165"/>
      <c r="R669" s="165"/>
      <c r="S669" s="165"/>
      <c r="T669" s="165"/>
      <c r="U669" s="165"/>
      <c r="V669" s="165"/>
      <c r="W669" s="165"/>
      <c r="X669" s="165"/>
      <c r="Y669" s="165"/>
      <c r="Z669" s="165"/>
    </row>
    <row r="670" spans="16:26">
      <c r="P670" s="165"/>
      <c r="Q670" s="165"/>
      <c r="R670" s="165"/>
      <c r="S670" s="165"/>
      <c r="T670" s="165"/>
      <c r="U670" s="165"/>
      <c r="V670" s="165"/>
      <c r="W670" s="165"/>
      <c r="X670" s="165"/>
      <c r="Y670" s="165"/>
      <c r="Z670" s="165"/>
    </row>
    <row r="671" spans="16:26">
      <c r="P671" s="165"/>
      <c r="Q671" s="165"/>
      <c r="R671" s="165"/>
      <c r="S671" s="165"/>
      <c r="T671" s="165"/>
      <c r="U671" s="165"/>
      <c r="V671" s="165"/>
      <c r="W671" s="165"/>
      <c r="X671" s="165"/>
      <c r="Y671" s="165"/>
      <c r="Z671" s="165"/>
    </row>
    <row r="672" spans="16:26">
      <c r="P672" s="165"/>
      <c r="Q672" s="165"/>
      <c r="R672" s="165"/>
      <c r="S672" s="165"/>
      <c r="T672" s="165"/>
      <c r="U672" s="165"/>
      <c r="V672" s="165"/>
      <c r="W672" s="165"/>
      <c r="X672" s="165"/>
      <c r="Y672" s="165"/>
      <c r="Z672" s="165"/>
    </row>
    <row r="673" spans="16:26">
      <c r="P673" s="165"/>
      <c r="Q673" s="165"/>
      <c r="R673" s="165"/>
      <c r="S673" s="165"/>
      <c r="T673" s="165"/>
      <c r="U673" s="165"/>
      <c r="V673" s="165"/>
      <c r="W673" s="165"/>
      <c r="X673" s="165"/>
      <c r="Y673" s="165"/>
      <c r="Z673" s="165"/>
    </row>
    <row r="674" spans="16:26">
      <c r="P674" s="165"/>
      <c r="Q674" s="165"/>
      <c r="R674" s="165"/>
      <c r="S674" s="165"/>
      <c r="T674" s="165"/>
      <c r="U674" s="165"/>
      <c r="V674" s="165"/>
      <c r="W674" s="165"/>
      <c r="X674" s="165"/>
      <c r="Y674" s="165"/>
      <c r="Z674" s="165"/>
    </row>
    <row r="675" spans="16:26">
      <c r="P675" s="165"/>
      <c r="Q675" s="165"/>
      <c r="R675" s="165"/>
      <c r="S675" s="165"/>
      <c r="T675" s="165"/>
      <c r="U675" s="165"/>
      <c r="V675" s="165"/>
      <c r="W675" s="165"/>
      <c r="X675" s="165"/>
      <c r="Y675" s="165"/>
      <c r="Z675" s="165"/>
    </row>
    <row r="676" spans="16:26">
      <c r="P676" s="165"/>
      <c r="Q676" s="165"/>
      <c r="R676" s="165"/>
      <c r="S676" s="165"/>
      <c r="T676" s="165"/>
      <c r="U676" s="165"/>
      <c r="V676" s="165"/>
      <c r="W676" s="165"/>
      <c r="X676" s="165"/>
      <c r="Y676" s="165"/>
      <c r="Z676" s="165"/>
    </row>
    <row r="677" spans="16:26">
      <c r="P677" s="165"/>
      <c r="Q677" s="165"/>
      <c r="R677" s="165"/>
      <c r="S677" s="165"/>
      <c r="T677" s="165"/>
      <c r="U677" s="165"/>
      <c r="V677" s="165"/>
      <c r="W677" s="165"/>
      <c r="X677" s="165"/>
      <c r="Y677" s="165"/>
      <c r="Z677" s="165"/>
    </row>
    <row r="678" spans="16:26">
      <c r="P678" s="165"/>
      <c r="Q678" s="165"/>
      <c r="R678" s="165"/>
      <c r="S678" s="165"/>
      <c r="T678" s="165"/>
      <c r="U678" s="165"/>
      <c r="V678" s="165"/>
      <c r="W678" s="165"/>
      <c r="X678" s="165"/>
      <c r="Y678" s="165"/>
      <c r="Z678" s="165"/>
    </row>
    <row r="679" spans="16:26">
      <c r="P679" s="165"/>
      <c r="Q679" s="165"/>
      <c r="R679" s="165"/>
      <c r="S679" s="165"/>
      <c r="T679" s="165"/>
      <c r="U679" s="165"/>
      <c r="V679" s="165"/>
      <c r="W679" s="165"/>
      <c r="X679" s="165"/>
      <c r="Y679" s="165"/>
      <c r="Z679" s="165"/>
    </row>
    <row r="680" spans="16:26">
      <c r="P680" s="165"/>
      <c r="Q680" s="165"/>
      <c r="R680" s="165"/>
      <c r="S680" s="165"/>
      <c r="T680" s="165"/>
      <c r="U680" s="165"/>
      <c r="V680" s="165"/>
      <c r="W680" s="165"/>
      <c r="X680" s="165"/>
      <c r="Y680" s="165"/>
      <c r="Z680" s="165"/>
    </row>
    <row r="681" spans="16:26">
      <c r="P681" s="165"/>
      <c r="Q681" s="165"/>
      <c r="R681" s="165"/>
      <c r="S681" s="165"/>
      <c r="T681" s="165"/>
      <c r="U681" s="165"/>
      <c r="V681" s="165"/>
      <c r="W681" s="165"/>
      <c r="X681" s="165"/>
      <c r="Y681" s="165"/>
      <c r="Z681" s="165"/>
    </row>
    <row r="682" spans="16:26">
      <c r="P682" s="165"/>
      <c r="Q682" s="165"/>
      <c r="R682" s="165"/>
      <c r="S682" s="165"/>
      <c r="T682" s="165"/>
      <c r="U682" s="165"/>
      <c r="V682" s="165"/>
      <c r="W682" s="165"/>
      <c r="X682" s="165"/>
      <c r="Y682" s="165"/>
      <c r="Z682" s="165"/>
    </row>
    <row r="683" spans="16:26">
      <c r="P683" s="165"/>
      <c r="Q683" s="165"/>
      <c r="R683" s="165"/>
      <c r="S683" s="165"/>
      <c r="T683" s="165"/>
      <c r="U683" s="165"/>
      <c r="V683" s="165"/>
      <c r="W683" s="165"/>
      <c r="X683" s="165"/>
      <c r="Y683" s="165"/>
      <c r="Z683" s="165"/>
    </row>
    <row r="684" spans="16:26">
      <c r="P684" s="165"/>
      <c r="Q684" s="165"/>
      <c r="R684" s="165"/>
      <c r="S684" s="165"/>
      <c r="T684" s="165"/>
      <c r="U684" s="165"/>
      <c r="V684" s="165"/>
      <c r="W684" s="165"/>
      <c r="X684" s="165"/>
      <c r="Y684" s="165"/>
      <c r="Z684" s="165"/>
    </row>
    <row r="685" spans="16:26">
      <c r="P685" s="165"/>
      <c r="Q685" s="165"/>
      <c r="R685" s="165"/>
      <c r="S685" s="165"/>
      <c r="T685" s="165"/>
      <c r="U685" s="165"/>
      <c r="V685" s="165"/>
      <c r="W685" s="165"/>
      <c r="X685" s="165"/>
      <c r="Y685" s="165"/>
      <c r="Z685" s="165"/>
    </row>
    <row r="686" spans="16:26">
      <c r="P686" s="165"/>
      <c r="Q686" s="165"/>
      <c r="R686" s="165"/>
      <c r="S686" s="165"/>
      <c r="T686" s="165"/>
      <c r="U686" s="165"/>
      <c r="V686" s="165"/>
      <c r="W686" s="165"/>
      <c r="X686" s="165"/>
      <c r="Y686" s="165"/>
      <c r="Z686" s="165"/>
    </row>
    <row r="687" spans="16:26">
      <c r="P687" s="165"/>
      <c r="Q687" s="165"/>
      <c r="R687" s="165"/>
      <c r="S687" s="165"/>
      <c r="T687" s="165"/>
      <c r="U687" s="165"/>
      <c r="V687" s="165"/>
      <c r="W687" s="165"/>
      <c r="X687" s="165"/>
      <c r="Y687" s="165"/>
      <c r="Z687" s="165"/>
    </row>
    <row r="688" spans="16:26">
      <c r="P688" s="165"/>
      <c r="Q688" s="165"/>
      <c r="R688" s="165"/>
      <c r="S688" s="165"/>
      <c r="T688" s="165"/>
      <c r="U688" s="165"/>
      <c r="V688" s="165"/>
      <c r="W688" s="165"/>
      <c r="X688" s="165"/>
      <c r="Y688" s="165"/>
      <c r="Z688" s="165"/>
    </row>
    <row r="689" spans="16:26">
      <c r="P689" s="165"/>
      <c r="Q689" s="165"/>
      <c r="R689" s="165"/>
      <c r="S689" s="165"/>
      <c r="T689" s="165"/>
      <c r="U689" s="165"/>
      <c r="V689" s="165"/>
      <c r="W689" s="165"/>
      <c r="X689" s="165"/>
      <c r="Y689" s="165"/>
      <c r="Z689" s="165"/>
    </row>
    <row r="690" spans="16:26">
      <c r="P690" s="165"/>
      <c r="Q690" s="165"/>
      <c r="R690" s="165"/>
      <c r="S690" s="165"/>
      <c r="T690" s="165"/>
      <c r="U690" s="165"/>
      <c r="V690" s="165"/>
      <c r="W690" s="165"/>
      <c r="X690" s="165"/>
      <c r="Y690" s="165"/>
      <c r="Z690" s="165"/>
    </row>
    <row r="691" spans="16:26">
      <c r="P691" s="165"/>
      <c r="Q691" s="165"/>
      <c r="R691" s="165"/>
      <c r="S691" s="165"/>
      <c r="T691" s="165"/>
      <c r="U691" s="165"/>
      <c r="V691" s="165"/>
      <c r="W691" s="165"/>
      <c r="X691" s="165"/>
      <c r="Y691" s="165"/>
      <c r="Z691" s="165"/>
    </row>
    <row r="692" spans="16:26">
      <c r="P692" s="165"/>
      <c r="Q692" s="165"/>
      <c r="R692" s="165"/>
      <c r="S692" s="165"/>
      <c r="T692" s="165"/>
      <c r="U692" s="165"/>
      <c r="V692" s="165"/>
      <c r="W692" s="165"/>
      <c r="X692" s="165"/>
      <c r="Y692" s="165"/>
      <c r="Z692" s="165"/>
    </row>
    <row r="693" spans="16:26">
      <c r="P693" s="165"/>
      <c r="Q693" s="165"/>
      <c r="R693" s="165"/>
      <c r="S693" s="165"/>
      <c r="T693" s="165"/>
      <c r="U693" s="165"/>
      <c r="V693" s="165"/>
      <c r="W693" s="165"/>
      <c r="X693" s="165"/>
      <c r="Y693" s="165"/>
      <c r="Z693" s="165"/>
    </row>
    <row r="694" spans="16:26">
      <c r="P694" s="165"/>
      <c r="Q694" s="165"/>
      <c r="R694" s="165"/>
      <c r="S694" s="165"/>
      <c r="T694" s="165"/>
      <c r="U694" s="165"/>
      <c r="V694" s="165"/>
      <c r="W694" s="165"/>
      <c r="X694" s="165"/>
      <c r="Y694" s="165"/>
      <c r="Z694" s="165"/>
    </row>
    <row r="695" spans="16:26">
      <c r="P695" s="165"/>
      <c r="Q695" s="165"/>
      <c r="R695" s="165"/>
      <c r="S695" s="165"/>
      <c r="T695" s="165"/>
      <c r="U695" s="165"/>
      <c r="V695" s="165"/>
      <c r="W695" s="165"/>
      <c r="X695" s="165"/>
      <c r="Y695" s="165"/>
      <c r="Z695" s="165"/>
    </row>
    <row r="696" spans="16:26">
      <c r="P696" s="165"/>
      <c r="Q696" s="165"/>
      <c r="R696" s="165"/>
      <c r="S696" s="165"/>
      <c r="T696" s="165"/>
      <c r="U696" s="165"/>
      <c r="V696" s="165"/>
      <c r="W696" s="165"/>
      <c r="X696" s="165"/>
      <c r="Y696" s="165"/>
      <c r="Z696" s="165"/>
    </row>
    <row r="697" spans="16:26">
      <c r="P697" s="165"/>
      <c r="Q697" s="165"/>
      <c r="R697" s="165"/>
      <c r="S697" s="165"/>
      <c r="T697" s="165"/>
      <c r="U697" s="165"/>
      <c r="V697" s="165"/>
      <c r="W697" s="165"/>
      <c r="X697" s="165"/>
      <c r="Y697" s="165"/>
      <c r="Z697" s="165"/>
    </row>
    <row r="698" spans="16:26">
      <c r="P698" s="165"/>
      <c r="Q698" s="165"/>
      <c r="R698" s="165"/>
      <c r="S698" s="165"/>
      <c r="T698" s="165"/>
      <c r="U698" s="165"/>
      <c r="V698" s="165"/>
      <c r="W698" s="165"/>
      <c r="X698" s="165"/>
      <c r="Y698" s="165"/>
      <c r="Z698" s="165"/>
    </row>
    <row r="699" spans="16:26">
      <c r="P699" s="165"/>
      <c r="Q699" s="165"/>
      <c r="R699" s="165"/>
      <c r="S699" s="165"/>
      <c r="T699" s="165"/>
      <c r="U699" s="165"/>
      <c r="V699" s="165"/>
      <c r="W699" s="165"/>
      <c r="X699" s="165"/>
      <c r="Y699" s="165"/>
      <c r="Z699" s="165"/>
    </row>
    <row r="700" spans="16:26">
      <c r="P700" s="165"/>
      <c r="Q700" s="165"/>
      <c r="R700" s="165"/>
      <c r="S700" s="165"/>
      <c r="T700" s="165"/>
      <c r="U700" s="165"/>
      <c r="V700" s="165"/>
      <c r="W700" s="165"/>
      <c r="X700" s="165"/>
      <c r="Y700" s="165"/>
      <c r="Z700" s="165"/>
    </row>
    <row r="701" spans="16:26">
      <c r="P701" s="165"/>
      <c r="Q701" s="165"/>
      <c r="R701" s="165"/>
      <c r="S701" s="165"/>
      <c r="T701" s="165"/>
      <c r="U701" s="165"/>
      <c r="V701" s="165"/>
      <c r="W701" s="165"/>
      <c r="X701" s="165"/>
      <c r="Y701" s="165"/>
      <c r="Z701" s="165"/>
    </row>
    <row r="702" spans="16:26">
      <c r="P702" s="165"/>
      <c r="Q702" s="165"/>
      <c r="R702" s="165"/>
      <c r="S702" s="165"/>
      <c r="T702" s="165"/>
      <c r="U702" s="165"/>
      <c r="V702" s="165"/>
      <c r="W702" s="165"/>
      <c r="X702" s="165"/>
      <c r="Y702" s="165"/>
      <c r="Z702" s="165"/>
    </row>
    <row r="703" spans="16:26">
      <c r="P703" s="165"/>
      <c r="Q703" s="165"/>
      <c r="R703" s="165"/>
      <c r="S703" s="165"/>
      <c r="T703" s="165"/>
      <c r="U703" s="165"/>
      <c r="V703" s="165"/>
      <c r="W703" s="165"/>
      <c r="X703" s="165"/>
      <c r="Y703" s="165"/>
      <c r="Z703" s="165"/>
    </row>
    <row r="704" spans="16:26">
      <c r="P704" s="165"/>
      <c r="Q704" s="165"/>
      <c r="R704" s="165"/>
      <c r="S704" s="165"/>
      <c r="T704" s="165"/>
      <c r="U704" s="165"/>
      <c r="V704" s="165"/>
      <c r="W704" s="165"/>
      <c r="X704" s="165"/>
      <c r="Y704" s="165"/>
      <c r="Z704" s="165"/>
    </row>
    <row r="705" spans="16:26">
      <c r="P705" s="165"/>
      <c r="Q705" s="165"/>
      <c r="R705" s="165"/>
      <c r="S705" s="165"/>
      <c r="T705" s="165"/>
      <c r="U705" s="165"/>
      <c r="V705" s="165"/>
      <c r="W705" s="165"/>
      <c r="X705" s="165"/>
      <c r="Y705" s="165"/>
      <c r="Z705" s="165"/>
    </row>
    <row r="706" spans="16:26">
      <c r="P706" s="165"/>
      <c r="Q706" s="165"/>
      <c r="R706" s="165"/>
      <c r="S706" s="165"/>
      <c r="T706" s="165"/>
      <c r="U706" s="165"/>
      <c r="V706" s="165"/>
      <c r="W706" s="165"/>
      <c r="X706" s="165"/>
      <c r="Y706" s="165"/>
      <c r="Z706" s="165"/>
    </row>
    <row r="707" spans="16:26">
      <c r="P707" s="165"/>
      <c r="Q707" s="165"/>
      <c r="R707" s="165"/>
      <c r="S707" s="165"/>
      <c r="T707" s="165"/>
      <c r="U707" s="165"/>
      <c r="V707" s="165"/>
      <c r="W707" s="165"/>
      <c r="X707" s="165"/>
      <c r="Y707" s="165"/>
      <c r="Z707" s="165"/>
    </row>
    <row r="708" spans="16:26">
      <c r="P708" s="165"/>
      <c r="Q708" s="165"/>
      <c r="R708" s="165"/>
      <c r="S708" s="165"/>
      <c r="T708" s="165"/>
      <c r="U708" s="165"/>
      <c r="V708" s="165"/>
      <c r="W708" s="165"/>
      <c r="X708" s="165"/>
      <c r="Y708" s="165"/>
      <c r="Z708" s="165"/>
    </row>
    <row r="709" spans="16:26">
      <c r="P709" s="165"/>
      <c r="Q709" s="165"/>
      <c r="R709" s="165"/>
      <c r="S709" s="165"/>
      <c r="T709" s="165"/>
      <c r="U709" s="165"/>
      <c r="V709" s="165"/>
      <c r="W709" s="165"/>
      <c r="X709" s="165"/>
      <c r="Y709" s="165"/>
      <c r="Z709" s="165"/>
    </row>
    <row r="710" spans="16:26">
      <c r="P710" s="165"/>
      <c r="Q710" s="165"/>
      <c r="R710" s="165"/>
      <c r="S710" s="165"/>
      <c r="T710" s="165"/>
      <c r="U710" s="165"/>
      <c r="V710" s="165"/>
      <c r="W710" s="165"/>
      <c r="X710" s="165"/>
      <c r="Y710" s="165"/>
      <c r="Z710" s="165"/>
    </row>
    <row r="711" spans="16:26">
      <c r="P711" s="165"/>
      <c r="Q711" s="165"/>
      <c r="R711" s="165"/>
      <c r="S711" s="165"/>
      <c r="T711" s="165"/>
      <c r="U711" s="165"/>
      <c r="V711" s="165"/>
      <c r="W711" s="165"/>
      <c r="X711" s="165"/>
      <c r="Y711" s="165"/>
      <c r="Z711" s="165"/>
    </row>
    <row r="712" spans="16:26">
      <c r="P712" s="165"/>
      <c r="Q712" s="165"/>
      <c r="R712" s="165"/>
      <c r="S712" s="165"/>
      <c r="T712" s="165"/>
      <c r="U712" s="165"/>
      <c r="V712" s="165"/>
      <c r="W712" s="165"/>
      <c r="X712" s="165"/>
      <c r="Y712" s="165"/>
      <c r="Z712" s="165"/>
    </row>
    <row r="713" spans="16:26">
      <c r="P713" s="165"/>
      <c r="Q713" s="165"/>
      <c r="R713" s="165"/>
      <c r="S713" s="165"/>
      <c r="T713" s="165"/>
      <c r="U713" s="165"/>
      <c r="V713" s="165"/>
      <c r="W713" s="165"/>
      <c r="X713" s="165"/>
      <c r="Y713" s="165"/>
      <c r="Z713" s="165"/>
    </row>
    <row r="714" spans="16:26">
      <c r="P714" s="165"/>
      <c r="Q714" s="165"/>
      <c r="R714" s="165"/>
      <c r="S714" s="165"/>
      <c r="T714" s="165"/>
      <c r="U714" s="165"/>
      <c r="V714" s="165"/>
      <c r="W714" s="165"/>
      <c r="X714" s="165"/>
      <c r="Y714" s="165"/>
      <c r="Z714" s="165"/>
    </row>
    <row r="715" spans="16:26">
      <c r="P715" s="165"/>
      <c r="Q715" s="165"/>
      <c r="R715" s="165"/>
      <c r="S715" s="165"/>
      <c r="T715" s="165"/>
      <c r="U715" s="165"/>
      <c r="V715" s="165"/>
      <c r="W715" s="165"/>
      <c r="X715" s="165"/>
      <c r="Y715" s="165"/>
      <c r="Z715" s="165"/>
    </row>
    <row r="716" spans="16:26">
      <c r="P716" s="165"/>
      <c r="Q716" s="165"/>
      <c r="R716" s="165"/>
      <c r="S716" s="165"/>
      <c r="T716" s="165"/>
      <c r="U716" s="165"/>
      <c r="V716" s="165"/>
      <c r="W716" s="165"/>
      <c r="X716" s="165"/>
      <c r="Y716" s="165"/>
      <c r="Z716" s="165"/>
    </row>
    <row r="717" spans="16:26">
      <c r="P717" s="165"/>
      <c r="Q717" s="165"/>
      <c r="R717" s="165"/>
      <c r="S717" s="165"/>
      <c r="T717" s="165"/>
      <c r="U717" s="165"/>
      <c r="V717" s="165"/>
      <c r="W717" s="165"/>
      <c r="X717" s="165"/>
      <c r="Y717" s="165"/>
      <c r="Z717" s="165"/>
    </row>
    <row r="718" spans="16:26">
      <c r="P718" s="165"/>
      <c r="Q718" s="165"/>
      <c r="R718" s="165"/>
      <c r="S718" s="165"/>
      <c r="T718" s="165"/>
      <c r="U718" s="165"/>
      <c r="V718" s="165"/>
      <c r="W718" s="165"/>
      <c r="X718" s="165"/>
      <c r="Y718" s="165"/>
      <c r="Z718" s="165"/>
    </row>
    <row r="719" spans="16:26">
      <c r="P719" s="165"/>
      <c r="Q719" s="165"/>
      <c r="R719" s="165"/>
      <c r="S719" s="165"/>
      <c r="T719" s="165"/>
      <c r="U719" s="165"/>
      <c r="V719" s="165"/>
      <c r="W719" s="165"/>
      <c r="X719" s="165"/>
      <c r="Y719" s="165"/>
      <c r="Z719" s="165"/>
    </row>
    <row r="720" spans="16:26">
      <c r="P720" s="165"/>
      <c r="Q720" s="165"/>
      <c r="R720" s="165"/>
      <c r="S720" s="165"/>
      <c r="T720" s="165"/>
      <c r="U720" s="165"/>
      <c r="V720" s="165"/>
      <c r="W720" s="165"/>
      <c r="X720" s="165"/>
      <c r="Y720" s="165"/>
      <c r="Z720" s="165"/>
    </row>
    <row r="721" spans="16:26">
      <c r="P721" s="165"/>
      <c r="Q721" s="165"/>
      <c r="R721" s="165"/>
      <c r="S721" s="165"/>
      <c r="T721" s="165"/>
      <c r="U721" s="165"/>
      <c r="V721" s="165"/>
      <c r="W721" s="165"/>
      <c r="X721" s="165"/>
      <c r="Y721" s="165"/>
      <c r="Z721" s="165"/>
    </row>
    <row r="722" spans="16:26">
      <c r="P722" s="165"/>
      <c r="Q722" s="165"/>
      <c r="R722" s="165"/>
      <c r="S722" s="165"/>
      <c r="T722" s="165"/>
      <c r="U722" s="165"/>
      <c r="V722" s="165"/>
      <c r="W722" s="165"/>
      <c r="X722" s="165"/>
      <c r="Y722" s="165"/>
      <c r="Z722" s="165"/>
    </row>
    <row r="723" spans="16:26">
      <c r="P723" s="165"/>
      <c r="Q723" s="165"/>
      <c r="R723" s="165"/>
      <c r="S723" s="165"/>
      <c r="T723" s="165"/>
      <c r="U723" s="165"/>
      <c r="V723" s="165"/>
      <c r="W723" s="165"/>
      <c r="X723" s="165"/>
      <c r="Y723" s="165"/>
      <c r="Z723" s="165"/>
    </row>
    <row r="724" spans="16:26">
      <c r="P724" s="165"/>
      <c r="Q724" s="165"/>
      <c r="R724" s="165"/>
      <c r="S724" s="165"/>
      <c r="T724" s="165"/>
      <c r="U724" s="165"/>
      <c r="V724" s="165"/>
      <c r="W724" s="165"/>
      <c r="X724" s="165"/>
      <c r="Y724" s="165"/>
      <c r="Z724" s="165"/>
    </row>
    <row r="725" spans="16:26">
      <c r="P725" s="165"/>
      <c r="Q725" s="165"/>
      <c r="R725" s="165"/>
      <c r="S725" s="165"/>
      <c r="T725" s="165"/>
      <c r="U725" s="165"/>
      <c r="V725" s="165"/>
      <c r="W725" s="165"/>
      <c r="X725" s="165"/>
      <c r="Y725" s="165"/>
      <c r="Z725" s="165"/>
    </row>
    <row r="726" spans="16:26">
      <c r="P726" s="165"/>
      <c r="Q726" s="165"/>
      <c r="R726" s="165"/>
      <c r="S726" s="165"/>
      <c r="T726" s="165"/>
      <c r="U726" s="165"/>
      <c r="V726" s="165"/>
      <c r="W726" s="165"/>
      <c r="X726" s="165"/>
      <c r="Y726" s="165"/>
      <c r="Z726" s="165"/>
    </row>
    <row r="727" spans="16:26">
      <c r="P727" s="165"/>
      <c r="Q727" s="165"/>
      <c r="R727" s="165"/>
      <c r="S727" s="165"/>
      <c r="T727" s="165"/>
      <c r="U727" s="165"/>
      <c r="V727" s="165"/>
      <c r="W727" s="165"/>
      <c r="X727" s="165"/>
      <c r="Y727" s="165"/>
      <c r="Z727" s="165"/>
    </row>
    <row r="728" spans="16:26">
      <c r="P728" s="165"/>
      <c r="Q728" s="165"/>
      <c r="R728" s="165"/>
      <c r="S728" s="165"/>
      <c r="T728" s="165"/>
      <c r="U728" s="165"/>
      <c r="V728" s="165"/>
      <c r="W728" s="165"/>
      <c r="X728" s="165"/>
      <c r="Y728" s="165"/>
      <c r="Z728" s="165"/>
    </row>
    <row r="729" spans="16:26">
      <c r="P729" s="165"/>
      <c r="Q729" s="165"/>
      <c r="R729" s="165"/>
      <c r="S729" s="165"/>
      <c r="T729" s="165"/>
      <c r="U729" s="165"/>
      <c r="V729" s="165"/>
      <c r="W729" s="165"/>
      <c r="X729" s="165"/>
      <c r="Y729" s="165"/>
      <c r="Z729" s="165"/>
    </row>
    <row r="730" spans="16:26">
      <c r="P730" s="165"/>
      <c r="Q730" s="165"/>
      <c r="R730" s="165"/>
      <c r="S730" s="165"/>
      <c r="T730" s="165"/>
      <c r="U730" s="165"/>
      <c r="V730" s="165"/>
      <c r="W730" s="165"/>
      <c r="X730" s="165"/>
      <c r="Y730" s="165"/>
      <c r="Z730" s="165"/>
    </row>
    <row r="731" spans="16:26">
      <c r="P731" s="165"/>
      <c r="Q731" s="165"/>
      <c r="R731" s="165"/>
      <c r="S731" s="165"/>
      <c r="T731" s="165"/>
      <c r="U731" s="165"/>
      <c r="V731" s="165"/>
      <c r="W731" s="165"/>
      <c r="X731" s="165"/>
      <c r="Y731" s="165"/>
      <c r="Z731" s="165"/>
    </row>
    <row r="732" spans="16:26">
      <c r="P732" s="165"/>
      <c r="Q732" s="165"/>
      <c r="R732" s="165"/>
      <c r="S732" s="165"/>
      <c r="T732" s="165"/>
      <c r="U732" s="165"/>
      <c r="V732" s="165"/>
      <c r="W732" s="165"/>
      <c r="X732" s="165"/>
      <c r="Y732" s="165"/>
      <c r="Z732" s="165"/>
    </row>
    <row r="733" spans="16:26">
      <c r="P733" s="165"/>
      <c r="Q733" s="165"/>
      <c r="R733" s="165"/>
      <c r="S733" s="165"/>
      <c r="T733" s="165"/>
      <c r="U733" s="165"/>
      <c r="V733" s="165"/>
      <c r="W733" s="165"/>
      <c r="X733" s="165"/>
      <c r="Y733" s="165"/>
      <c r="Z733" s="165"/>
    </row>
    <row r="734" spans="16:26">
      <c r="P734" s="165"/>
      <c r="Q734" s="165"/>
      <c r="R734" s="165"/>
      <c r="S734" s="165"/>
      <c r="T734" s="165"/>
      <c r="U734" s="165"/>
      <c r="V734" s="165"/>
      <c r="W734" s="165"/>
      <c r="X734" s="165"/>
      <c r="Y734" s="165"/>
      <c r="Z734" s="165"/>
    </row>
    <row r="735" spans="16:26">
      <c r="P735" s="165"/>
      <c r="Q735" s="165"/>
      <c r="R735" s="165"/>
      <c r="S735" s="165"/>
      <c r="T735" s="165"/>
      <c r="U735" s="165"/>
      <c r="V735" s="165"/>
      <c r="W735" s="165"/>
      <c r="X735" s="165"/>
      <c r="Y735" s="165"/>
      <c r="Z735" s="165"/>
    </row>
    <row r="736" spans="16:26">
      <c r="P736" s="165"/>
      <c r="Q736" s="165"/>
      <c r="R736" s="165"/>
      <c r="S736" s="165"/>
      <c r="T736" s="165"/>
      <c r="U736" s="165"/>
      <c r="V736" s="165"/>
      <c r="W736" s="165"/>
      <c r="X736" s="165"/>
      <c r="Y736" s="165"/>
      <c r="Z736" s="165"/>
    </row>
    <row r="737" spans="16:26">
      <c r="P737" s="165"/>
      <c r="Q737" s="165"/>
      <c r="R737" s="165"/>
      <c r="S737" s="165"/>
      <c r="T737" s="165"/>
      <c r="U737" s="165"/>
      <c r="V737" s="165"/>
      <c r="W737" s="165"/>
      <c r="X737" s="165"/>
      <c r="Y737" s="165"/>
      <c r="Z737" s="165"/>
    </row>
    <row r="738" spans="16:26">
      <c r="P738" s="165"/>
      <c r="Q738" s="165"/>
      <c r="R738" s="165"/>
      <c r="S738" s="165"/>
      <c r="T738" s="165"/>
      <c r="U738" s="165"/>
      <c r="V738" s="165"/>
      <c r="W738" s="165"/>
      <c r="X738" s="165"/>
      <c r="Y738" s="165"/>
      <c r="Z738" s="165"/>
    </row>
    <row r="739" spans="16:26">
      <c r="P739" s="165"/>
      <c r="Q739" s="165"/>
      <c r="R739" s="165"/>
      <c r="S739" s="165"/>
      <c r="T739" s="165"/>
      <c r="U739" s="165"/>
      <c r="V739" s="165"/>
      <c r="W739" s="165"/>
      <c r="X739" s="165"/>
      <c r="Y739" s="165"/>
      <c r="Z739" s="165"/>
    </row>
    <row r="740" spans="16:26">
      <c r="P740" s="165"/>
      <c r="Q740" s="165"/>
      <c r="R740" s="165"/>
      <c r="S740" s="165"/>
      <c r="T740" s="165"/>
      <c r="U740" s="165"/>
      <c r="V740" s="165"/>
      <c r="W740" s="165"/>
      <c r="X740" s="165"/>
      <c r="Y740" s="165"/>
      <c r="Z740" s="165"/>
    </row>
    <row r="741" spans="16:26">
      <c r="P741" s="165"/>
      <c r="Q741" s="165"/>
      <c r="R741" s="165"/>
      <c r="S741" s="165"/>
      <c r="T741" s="165"/>
      <c r="U741" s="165"/>
      <c r="V741" s="165"/>
      <c r="W741" s="165"/>
      <c r="X741" s="165"/>
      <c r="Y741" s="165"/>
      <c r="Z741" s="165"/>
    </row>
    <row r="742" spans="16:26">
      <c r="P742" s="165"/>
      <c r="Q742" s="165"/>
      <c r="R742" s="165"/>
      <c r="S742" s="165"/>
      <c r="T742" s="165"/>
      <c r="U742" s="165"/>
      <c r="V742" s="165"/>
      <c r="W742" s="165"/>
      <c r="X742" s="165"/>
      <c r="Y742" s="165"/>
      <c r="Z742" s="165"/>
    </row>
    <row r="743" spans="16:26">
      <c r="P743" s="165"/>
      <c r="Q743" s="165"/>
      <c r="R743" s="165"/>
      <c r="S743" s="165"/>
      <c r="T743" s="165"/>
      <c r="U743" s="165"/>
      <c r="V743" s="165"/>
      <c r="W743" s="165"/>
      <c r="X743" s="165"/>
      <c r="Y743" s="165"/>
      <c r="Z743" s="165"/>
    </row>
    <row r="744" spans="16:26">
      <c r="P744" s="165"/>
      <c r="Q744" s="165"/>
      <c r="R744" s="165"/>
      <c r="S744" s="165"/>
      <c r="T744" s="165"/>
      <c r="U744" s="165"/>
      <c r="V744" s="165"/>
      <c r="W744" s="165"/>
      <c r="X744" s="165"/>
      <c r="Y744" s="165"/>
      <c r="Z744" s="165"/>
    </row>
    <row r="745" spans="16:26">
      <c r="P745" s="165"/>
      <c r="Q745" s="165"/>
      <c r="R745" s="165"/>
      <c r="S745" s="165"/>
      <c r="T745" s="165"/>
      <c r="U745" s="165"/>
      <c r="V745" s="165"/>
      <c r="W745" s="165"/>
      <c r="X745" s="165"/>
      <c r="Y745" s="165"/>
      <c r="Z745" s="165"/>
    </row>
    <row r="746" spans="16:26">
      <c r="P746" s="165"/>
      <c r="Q746" s="165"/>
      <c r="R746" s="165"/>
      <c r="S746" s="165"/>
      <c r="T746" s="165"/>
      <c r="U746" s="165"/>
      <c r="V746" s="165"/>
      <c r="W746" s="165"/>
      <c r="X746" s="165"/>
      <c r="Y746" s="165"/>
      <c r="Z746" s="165"/>
    </row>
    <row r="747" spans="16:26">
      <c r="P747" s="165"/>
      <c r="Q747" s="165"/>
      <c r="R747" s="165"/>
      <c r="S747" s="165"/>
      <c r="T747" s="165"/>
      <c r="U747" s="165"/>
      <c r="V747" s="165"/>
      <c r="W747" s="165"/>
      <c r="X747" s="165"/>
      <c r="Y747" s="165"/>
      <c r="Z747" s="165"/>
    </row>
    <row r="748" spans="16:26">
      <c r="P748" s="165"/>
      <c r="Q748" s="165"/>
      <c r="R748" s="165"/>
      <c r="S748" s="165"/>
      <c r="T748" s="165"/>
      <c r="U748" s="165"/>
      <c r="V748" s="165"/>
      <c r="W748" s="165"/>
      <c r="X748" s="165"/>
      <c r="Y748" s="165"/>
      <c r="Z748" s="165"/>
    </row>
    <row r="749" spans="16:26">
      <c r="P749" s="165"/>
      <c r="Q749" s="165"/>
      <c r="R749" s="165"/>
      <c r="S749" s="165"/>
      <c r="T749" s="165"/>
      <c r="U749" s="165"/>
      <c r="V749" s="165"/>
      <c r="W749" s="165"/>
      <c r="X749" s="165"/>
      <c r="Y749" s="165"/>
      <c r="Z749" s="165"/>
    </row>
    <row r="750" spans="16:26">
      <c r="P750" s="165"/>
      <c r="Q750" s="165"/>
      <c r="R750" s="165"/>
      <c r="S750" s="165"/>
      <c r="T750" s="165"/>
      <c r="U750" s="165"/>
      <c r="V750" s="165"/>
      <c r="W750" s="165"/>
      <c r="X750" s="165"/>
      <c r="Y750" s="165"/>
      <c r="Z750" s="165"/>
    </row>
    <row r="751" spans="16:26">
      <c r="P751" s="165"/>
      <c r="Q751" s="165"/>
      <c r="R751" s="165"/>
      <c r="S751" s="165"/>
      <c r="T751" s="165"/>
      <c r="U751" s="165"/>
      <c r="V751" s="165"/>
      <c r="W751" s="165"/>
      <c r="X751" s="165"/>
      <c r="Y751" s="165"/>
      <c r="Z751" s="165"/>
    </row>
    <row r="752" spans="16:26">
      <c r="P752" s="165"/>
      <c r="Q752" s="165"/>
      <c r="R752" s="165"/>
      <c r="S752" s="165"/>
      <c r="T752" s="165"/>
      <c r="U752" s="165"/>
      <c r="V752" s="165"/>
      <c r="W752" s="165"/>
      <c r="X752" s="165"/>
      <c r="Y752" s="165"/>
      <c r="Z752" s="165"/>
    </row>
    <row r="753" spans="16:26">
      <c r="P753" s="165"/>
      <c r="Q753" s="165"/>
      <c r="R753" s="165"/>
      <c r="S753" s="165"/>
      <c r="T753" s="165"/>
      <c r="U753" s="165"/>
      <c r="V753" s="165"/>
      <c r="W753" s="165"/>
      <c r="X753" s="165"/>
      <c r="Y753" s="165"/>
      <c r="Z753" s="165"/>
    </row>
    <row r="754" spans="16:26">
      <c r="P754" s="165"/>
      <c r="Q754" s="165"/>
      <c r="R754" s="165"/>
      <c r="S754" s="165"/>
      <c r="T754" s="165"/>
      <c r="U754" s="165"/>
      <c r="V754" s="165"/>
      <c r="W754" s="165"/>
      <c r="X754" s="165"/>
      <c r="Y754" s="165"/>
      <c r="Z754" s="165"/>
    </row>
    <row r="755" spans="16:26">
      <c r="P755" s="165"/>
      <c r="Q755" s="165"/>
      <c r="R755" s="165"/>
      <c r="S755" s="165"/>
      <c r="T755" s="165"/>
      <c r="U755" s="165"/>
      <c r="V755" s="165"/>
      <c r="W755" s="165"/>
      <c r="X755" s="165"/>
      <c r="Y755" s="165"/>
      <c r="Z755" s="165"/>
    </row>
    <row r="756" spans="16:26">
      <c r="P756" s="165"/>
      <c r="Q756" s="165"/>
      <c r="R756" s="165"/>
      <c r="S756" s="165"/>
      <c r="T756" s="165"/>
      <c r="U756" s="165"/>
      <c r="V756" s="165"/>
      <c r="W756" s="165"/>
      <c r="X756" s="165"/>
      <c r="Y756" s="165"/>
      <c r="Z756" s="165"/>
    </row>
    <row r="757" spans="16:26">
      <c r="P757" s="165"/>
      <c r="Q757" s="165"/>
      <c r="R757" s="165"/>
      <c r="S757" s="165"/>
      <c r="T757" s="165"/>
      <c r="U757" s="165"/>
      <c r="V757" s="165"/>
      <c r="W757" s="165"/>
      <c r="X757" s="165"/>
      <c r="Y757" s="165"/>
      <c r="Z757" s="165"/>
    </row>
    <row r="758" spans="16:26">
      <c r="P758" s="165"/>
      <c r="Q758" s="165"/>
      <c r="R758" s="165"/>
      <c r="S758" s="165"/>
      <c r="T758" s="165"/>
      <c r="U758" s="165"/>
      <c r="V758" s="165"/>
      <c r="W758" s="165"/>
      <c r="X758" s="165"/>
      <c r="Y758" s="165"/>
      <c r="Z758" s="165"/>
    </row>
    <row r="759" spans="16:26">
      <c r="P759" s="165"/>
      <c r="Q759" s="165"/>
      <c r="R759" s="165"/>
      <c r="S759" s="165"/>
      <c r="T759" s="165"/>
      <c r="U759" s="165"/>
      <c r="V759" s="165"/>
      <c r="W759" s="165"/>
      <c r="X759" s="165"/>
      <c r="Y759" s="165"/>
      <c r="Z759" s="165"/>
    </row>
    <row r="760" spans="16:26">
      <c r="P760" s="165"/>
      <c r="Q760" s="165"/>
      <c r="R760" s="165"/>
      <c r="S760" s="165"/>
      <c r="T760" s="165"/>
      <c r="U760" s="165"/>
      <c r="V760" s="165"/>
      <c r="W760" s="165"/>
      <c r="X760" s="165"/>
      <c r="Y760" s="165"/>
      <c r="Z760" s="165"/>
    </row>
    <row r="761" spans="16:26">
      <c r="P761" s="165"/>
      <c r="Q761" s="165"/>
      <c r="R761" s="165"/>
      <c r="S761" s="165"/>
      <c r="T761" s="165"/>
      <c r="U761" s="165"/>
      <c r="V761" s="165"/>
      <c r="W761" s="165"/>
      <c r="X761" s="165"/>
      <c r="Y761" s="165"/>
      <c r="Z761" s="165"/>
    </row>
    <row r="762" spans="16:26">
      <c r="P762" s="165"/>
      <c r="Q762" s="165"/>
      <c r="R762" s="165"/>
      <c r="S762" s="165"/>
      <c r="T762" s="165"/>
      <c r="U762" s="165"/>
      <c r="V762" s="165"/>
      <c r="W762" s="165"/>
      <c r="X762" s="165"/>
      <c r="Y762" s="165"/>
      <c r="Z762" s="165"/>
    </row>
    <row r="763" spans="16:26">
      <c r="P763" s="165"/>
      <c r="Q763" s="165"/>
      <c r="R763" s="165"/>
      <c r="S763" s="165"/>
      <c r="T763" s="165"/>
      <c r="U763" s="165"/>
      <c r="V763" s="165"/>
      <c r="W763" s="165"/>
      <c r="X763" s="165"/>
      <c r="Y763" s="165"/>
      <c r="Z763" s="165"/>
    </row>
    <row r="764" spans="16:26">
      <c r="P764" s="165"/>
      <c r="Q764" s="165"/>
      <c r="R764" s="165"/>
      <c r="S764" s="165"/>
      <c r="T764" s="165"/>
      <c r="U764" s="165"/>
      <c r="V764" s="165"/>
      <c r="W764" s="165"/>
      <c r="X764" s="165"/>
      <c r="Y764" s="165"/>
      <c r="Z764" s="165"/>
    </row>
    <row r="765" spans="16:26">
      <c r="P765" s="165"/>
      <c r="Q765" s="165"/>
      <c r="R765" s="165"/>
      <c r="S765" s="165"/>
      <c r="T765" s="165"/>
      <c r="U765" s="165"/>
      <c r="V765" s="165"/>
      <c r="W765" s="165"/>
      <c r="X765" s="165"/>
      <c r="Y765" s="165"/>
      <c r="Z765" s="165"/>
    </row>
    <row r="766" spans="16:26">
      <c r="P766" s="165"/>
      <c r="Q766" s="165"/>
      <c r="R766" s="165"/>
      <c r="S766" s="165"/>
      <c r="T766" s="165"/>
      <c r="U766" s="165"/>
      <c r="V766" s="165"/>
      <c r="W766" s="165"/>
      <c r="X766" s="165"/>
      <c r="Y766" s="165"/>
      <c r="Z766" s="165"/>
    </row>
    <row r="767" spans="16:26">
      <c r="P767" s="165"/>
      <c r="Q767" s="165"/>
      <c r="R767" s="165"/>
      <c r="S767" s="165"/>
      <c r="T767" s="165"/>
      <c r="U767" s="165"/>
      <c r="V767" s="165"/>
      <c r="W767" s="165"/>
      <c r="X767" s="165"/>
      <c r="Y767" s="165"/>
      <c r="Z767" s="165"/>
    </row>
    <row r="768" spans="16:26">
      <c r="P768" s="165"/>
      <c r="Q768" s="165"/>
      <c r="R768" s="165"/>
      <c r="S768" s="165"/>
      <c r="T768" s="165"/>
      <c r="U768" s="165"/>
      <c r="V768" s="165"/>
      <c r="W768" s="165"/>
      <c r="X768" s="165"/>
      <c r="Y768" s="165"/>
      <c r="Z768" s="165"/>
    </row>
    <row r="769" spans="16:26">
      <c r="P769" s="165"/>
      <c r="Q769" s="165"/>
      <c r="R769" s="165"/>
      <c r="S769" s="165"/>
      <c r="T769" s="165"/>
      <c r="U769" s="165"/>
      <c r="V769" s="165"/>
      <c r="W769" s="165"/>
      <c r="X769" s="165"/>
      <c r="Y769" s="165"/>
      <c r="Z769" s="165"/>
    </row>
    <row r="770" spans="16:26">
      <c r="P770" s="165"/>
      <c r="Q770" s="165"/>
      <c r="R770" s="165"/>
      <c r="S770" s="165"/>
      <c r="T770" s="165"/>
      <c r="U770" s="165"/>
      <c r="V770" s="165"/>
      <c r="W770" s="165"/>
      <c r="X770" s="165"/>
      <c r="Y770" s="165"/>
      <c r="Z770" s="165"/>
    </row>
    <row r="771" spans="16:26">
      <c r="P771" s="165"/>
      <c r="Q771" s="165"/>
      <c r="R771" s="165"/>
      <c r="S771" s="165"/>
      <c r="T771" s="165"/>
      <c r="U771" s="165"/>
      <c r="V771" s="165"/>
      <c r="W771" s="165"/>
      <c r="X771" s="165"/>
      <c r="Y771" s="165"/>
      <c r="Z771" s="165"/>
    </row>
    <row r="772" spans="16:26">
      <c r="P772" s="165"/>
      <c r="Q772" s="165"/>
      <c r="R772" s="165"/>
      <c r="S772" s="165"/>
      <c r="T772" s="165"/>
      <c r="U772" s="165"/>
      <c r="V772" s="165"/>
      <c r="W772" s="165"/>
      <c r="X772" s="165"/>
      <c r="Y772" s="165"/>
      <c r="Z772" s="165"/>
    </row>
    <row r="773" spans="16:26">
      <c r="P773" s="165"/>
      <c r="Q773" s="165"/>
      <c r="R773" s="165"/>
      <c r="S773" s="165"/>
      <c r="T773" s="165"/>
      <c r="U773" s="165"/>
      <c r="V773" s="165"/>
      <c r="W773" s="165"/>
      <c r="X773" s="165"/>
      <c r="Y773" s="165"/>
      <c r="Z773" s="165"/>
    </row>
    <row r="774" spans="16:26">
      <c r="P774" s="165"/>
      <c r="Q774" s="165"/>
      <c r="R774" s="165"/>
      <c r="S774" s="165"/>
      <c r="T774" s="165"/>
      <c r="U774" s="165"/>
      <c r="V774" s="165"/>
      <c r="W774" s="165"/>
      <c r="X774" s="165"/>
      <c r="Y774" s="165"/>
      <c r="Z774" s="165"/>
    </row>
    <row r="775" spans="16:26">
      <c r="P775" s="165"/>
      <c r="Q775" s="165"/>
      <c r="R775" s="165"/>
      <c r="S775" s="165"/>
      <c r="T775" s="165"/>
      <c r="U775" s="165"/>
      <c r="V775" s="165"/>
      <c r="W775" s="165"/>
      <c r="X775" s="165"/>
      <c r="Y775" s="165"/>
      <c r="Z775" s="165"/>
    </row>
    <row r="776" spans="16:26">
      <c r="P776" s="165"/>
      <c r="Q776" s="165"/>
      <c r="R776" s="165"/>
      <c r="S776" s="165"/>
      <c r="T776" s="165"/>
      <c r="U776" s="165"/>
      <c r="V776" s="165"/>
      <c r="W776" s="165"/>
      <c r="X776" s="165"/>
      <c r="Y776" s="165"/>
      <c r="Z776" s="165"/>
    </row>
    <row r="777" spans="16:26">
      <c r="P777" s="165"/>
      <c r="Q777" s="165"/>
      <c r="R777" s="165"/>
      <c r="S777" s="165"/>
      <c r="T777" s="165"/>
      <c r="U777" s="165"/>
      <c r="V777" s="165"/>
      <c r="W777" s="165"/>
      <c r="X777" s="165"/>
      <c r="Y777" s="165"/>
      <c r="Z777" s="165"/>
    </row>
    <row r="778" spans="16:26">
      <c r="P778" s="165"/>
      <c r="Q778" s="165"/>
      <c r="R778" s="165"/>
      <c r="S778" s="165"/>
      <c r="T778" s="165"/>
      <c r="U778" s="165"/>
      <c r="V778" s="165"/>
      <c r="W778" s="165"/>
      <c r="X778" s="165"/>
      <c r="Y778" s="165"/>
      <c r="Z778" s="165"/>
    </row>
    <row r="779" spans="16:26">
      <c r="P779" s="165"/>
      <c r="Q779" s="165"/>
      <c r="R779" s="165"/>
      <c r="S779" s="165"/>
      <c r="T779" s="165"/>
      <c r="U779" s="165"/>
      <c r="V779" s="165"/>
      <c r="W779" s="165"/>
      <c r="X779" s="165"/>
      <c r="Y779" s="165"/>
      <c r="Z779" s="165"/>
    </row>
    <row r="780" spans="16:26">
      <c r="P780" s="165"/>
      <c r="Q780" s="165"/>
      <c r="R780" s="165"/>
      <c r="S780" s="165"/>
      <c r="T780" s="165"/>
      <c r="U780" s="165"/>
      <c r="V780" s="165"/>
      <c r="W780" s="165"/>
      <c r="X780" s="165"/>
      <c r="Y780" s="165"/>
      <c r="Z780" s="165"/>
    </row>
    <row r="781" spans="16:26">
      <c r="P781" s="165"/>
      <c r="Q781" s="165"/>
      <c r="R781" s="165"/>
      <c r="S781" s="165"/>
      <c r="T781" s="165"/>
      <c r="U781" s="165"/>
      <c r="V781" s="165"/>
      <c r="W781" s="165"/>
      <c r="X781" s="165"/>
      <c r="Y781" s="165"/>
      <c r="Z781" s="165"/>
    </row>
    <row r="782" spans="16:26">
      <c r="P782" s="165"/>
      <c r="Q782" s="165"/>
      <c r="R782" s="165"/>
      <c r="S782" s="165"/>
      <c r="T782" s="165"/>
      <c r="U782" s="165"/>
      <c r="V782" s="165"/>
      <c r="W782" s="165"/>
      <c r="X782" s="165"/>
      <c r="Y782" s="165"/>
      <c r="Z782" s="165"/>
    </row>
    <row r="783" spans="16:26">
      <c r="P783" s="165"/>
      <c r="Q783" s="165"/>
      <c r="R783" s="165"/>
      <c r="S783" s="165"/>
      <c r="T783" s="165"/>
      <c r="U783" s="165"/>
      <c r="V783" s="165"/>
      <c r="W783" s="165"/>
      <c r="X783" s="165"/>
      <c r="Y783" s="165"/>
      <c r="Z783" s="165"/>
    </row>
    <row r="784" spans="16:26">
      <c r="P784" s="165"/>
      <c r="Q784" s="165"/>
      <c r="R784" s="165"/>
      <c r="S784" s="165"/>
      <c r="T784" s="165"/>
      <c r="U784" s="165"/>
      <c r="V784" s="165"/>
      <c r="W784" s="165"/>
      <c r="X784" s="165"/>
      <c r="Y784" s="165"/>
      <c r="Z784" s="165"/>
    </row>
    <row r="785" spans="16:26">
      <c r="P785" s="165"/>
      <c r="Q785" s="165"/>
      <c r="R785" s="165"/>
      <c r="S785" s="165"/>
      <c r="T785" s="165"/>
      <c r="U785" s="165"/>
      <c r="V785" s="165"/>
      <c r="W785" s="165"/>
      <c r="X785" s="165"/>
      <c r="Y785" s="165"/>
      <c r="Z785" s="165"/>
    </row>
    <row r="786" spans="16:26">
      <c r="P786" s="165"/>
      <c r="Q786" s="165"/>
      <c r="R786" s="165"/>
      <c r="S786" s="165"/>
      <c r="T786" s="165"/>
      <c r="U786" s="165"/>
      <c r="V786" s="165"/>
      <c r="W786" s="165"/>
      <c r="X786" s="165"/>
      <c r="Y786" s="165"/>
      <c r="Z786" s="165"/>
    </row>
    <row r="787" spans="16:26">
      <c r="P787" s="165"/>
      <c r="Q787" s="165"/>
      <c r="R787" s="165"/>
      <c r="S787" s="165"/>
      <c r="T787" s="165"/>
      <c r="U787" s="165"/>
      <c r="V787" s="165"/>
      <c r="W787" s="165"/>
      <c r="X787" s="165"/>
      <c r="Y787" s="165"/>
      <c r="Z787" s="165"/>
    </row>
    <row r="788" spans="16:26">
      <c r="P788" s="165"/>
      <c r="Q788" s="165"/>
      <c r="R788" s="165"/>
      <c r="S788" s="165"/>
      <c r="T788" s="165"/>
      <c r="U788" s="165"/>
      <c r="V788" s="165"/>
      <c r="W788" s="165"/>
      <c r="X788" s="165"/>
      <c r="Y788" s="165"/>
      <c r="Z788" s="165"/>
    </row>
    <row r="789" spans="16:26">
      <c r="P789" s="165"/>
      <c r="Q789" s="165"/>
      <c r="R789" s="165"/>
      <c r="S789" s="165"/>
      <c r="T789" s="165"/>
      <c r="U789" s="165"/>
      <c r="V789" s="165"/>
      <c r="W789" s="165"/>
      <c r="X789" s="165"/>
      <c r="Y789" s="165"/>
      <c r="Z789" s="165"/>
    </row>
    <row r="790" spans="16:26">
      <c r="P790" s="165"/>
      <c r="Q790" s="165"/>
      <c r="R790" s="165"/>
      <c r="S790" s="165"/>
      <c r="T790" s="165"/>
      <c r="U790" s="165"/>
      <c r="V790" s="165"/>
      <c r="W790" s="165"/>
      <c r="X790" s="165"/>
      <c r="Y790" s="165"/>
      <c r="Z790" s="165"/>
    </row>
    <row r="791" spans="16:26">
      <c r="P791" s="165"/>
      <c r="Q791" s="165"/>
      <c r="R791" s="165"/>
      <c r="S791" s="165"/>
      <c r="T791" s="165"/>
      <c r="U791" s="165"/>
      <c r="V791" s="165"/>
      <c r="W791" s="165"/>
      <c r="X791" s="165"/>
      <c r="Y791" s="165"/>
      <c r="Z791" s="165"/>
    </row>
    <row r="792" spans="16:26">
      <c r="P792" s="165"/>
      <c r="Q792" s="165"/>
      <c r="R792" s="165"/>
      <c r="S792" s="165"/>
      <c r="T792" s="165"/>
      <c r="U792" s="165"/>
      <c r="V792" s="165"/>
      <c r="W792" s="165"/>
      <c r="X792" s="165"/>
      <c r="Y792" s="165"/>
      <c r="Z792" s="165"/>
    </row>
    <row r="793" spans="16:26">
      <c r="P793" s="165"/>
      <c r="Q793" s="165"/>
      <c r="R793" s="165"/>
      <c r="S793" s="165"/>
      <c r="T793" s="165"/>
      <c r="U793" s="165"/>
      <c r="V793" s="165"/>
      <c r="W793" s="165"/>
      <c r="X793" s="165"/>
      <c r="Y793" s="165"/>
      <c r="Z793" s="165"/>
    </row>
    <row r="794" spans="16:26">
      <c r="P794" s="165"/>
      <c r="Q794" s="165"/>
      <c r="R794" s="165"/>
      <c r="S794" s="165"/>
      <c r="T794" s="165"/>
      <c r="U794" s="165"/>
      <c r="V794" s="165"/>
      <c r="W794" s="165"/>
      <c r="X794" s="165"/>
      <c r="Y794" s="165"/>
      <c r="Z794" s="165"/>
    </row>
    <row r="795" spans="16:26">
      <c r="P795" s="165"/>
      <c r="Q795" s="165"/>
      <c r="R795" s="165"/>
      <c r="S795" s="165"/>
      <c r="T795" s="165"/>
      <c r="U795" s="165"/>
      <c r="V795" s="165"/>
      <c r="W795" s="165"/>
      <c r="X795" s="165"/>
      <c r="Y795" s="165"/>
      <c r="Z795" s="165"/>
    </row>
    <row r="796" spans="16:26">
      <c r="P796" s="165"/>
      <c r="Q796" s="165"/>
      <c r="R796" s="165"/>
      <c r="S796" s="165"/>
      <c r="T796" s="165"/>
      <c r="U796" s="165"/>
      <c r="V796" s="165"/>
      <c r="W796" s="165"/>
      <c r="X796" s="165"/>
      <c r="Y796" s="165"/>
      <c r="Z796" s="165"/>
    </row>
    <row r="797" spans="16:26">
      <c r="P797" s="165"/>
      <c r="Q797" s="165"/>
      <c r="R797" s="165"/>
      <c r="S797" s="165"/>
      <c r="T797" s="165"/>
      <c r="U797" s="165"/>
      <c r="V797" s="165"/>
      <c r="W797" s="165"/>
      <c r="X797" s="165"/>
      <c r="Y797" s="165"/>
      <c r="Z797" s="165"/>
    </row>
    <row r="798" spans="16:26">
      <c r="P798" s="165"/>
      <c r="Q798" s="165"/>
      <c r="R798" s="165"/>
      <c r="S798" s="165"/>
      <c r="T798" s="165"/>
      <c r="U798" s="165"/>
      <c r="V798" s="165"/>
      <c r="W798" s="165"/>
      <c r="X798" s="165"/>
      <c r="Y798" s="165"/>
      <c r="Z798" s="165"/>
    </row>
    <row r="799" spans="16:26">
      <c r="P799" s="165"/>
      <c r="Q799" s="165"/>
      <c r="R799" s="165"/>
      <c r="S799" s="165"/>
      <c r="T799" s="165"/>
      <c r="U799" s="165"/>
      <c r="V799" s="165"/>
      <c r="W799" s="165"/>
      <c r="X799" s="165"/>
      <c r="Y799" s="165"/>
      <c r="Z799" s="165"/>
    </row>
    <row r="800" spans="16:26">
      <c r="P800" s="165"/>
      <c r="Q800" s="165"/>
      <c r="R800" s="165"/>
      <c r="S800" s="165"/>
      <c r="T800" s="165"/>
      <c r="U800" s="165"/>
      <c r="V800" s="165"/>
      <c r="W800" s="165"/>
      <c r="X800" s="165"/>
      <c r="Y800" s="165"/>
      <c r="Z800" s="165"/>
    </row>
    <row r="801" spans="16:26">
      <c r="P801" s="165"/>
      <c r="Q801" s="165"/>
      <c r="R801" s="165"/>
      <c r="S801" s="165"/>
      <c r="T801" s="165"/>
      <c r="U801" s="165"/>
      <c r="V801" s="165"/>
      <c r="W801" s="165"/>
      <c r="X801" s="165"/>
      <c r="Y801" s="165"/>
      <c r="Z801" s="165"/>
    </row>
    <row r="802" spans="16:26">
      <c r="P802" s="165"/>
      <c r="Q802" s="165"/>
      <c r="R802" s="165"/>
      <c r="S802" s="165"/>
      <c r="T802" s="165"/>
      <c r="U802" s="165"/>
      <c r="V802" s="165"/>
      <c r="W802" s="165"/>
      <c r="X802" s="165"/>
      <c r="Y802" s="165"/>
      <c r="Z802" s="165"/>
    </row>
    <row r="803" spans="16:26">
      <c r="P803" s="165"/>
      <c r="Q803" s="165"/>
      <c r="R803" s="165"/>
      <c r="S803" s="165"/>
      <c r="T803" s="165"/>
      <c r="U803" s="165"/>
      <c r="V803" s="165"/>
      <c r="W803" s="165"/>
      <c r="X803" s="165"/>
      <c r="Y803" s="165"/>
      <c r="Z803" s="165"/>
    </row>
    <row r="804" spans="16:26">
      <c r="P804" s="165"/>
      <c r="Q804" s="165"/>
      <c r="R804" s="165"/>
      <c r="S804" s="165"/>
      <c r="T804" s="165"/>
      <c r="U804" s="165"/>
      <c r="V804" s="165"/>
      <c r="W804" s="165"/>
      <c r="X804" s="165"/>
      <c r="Y804" s="165"/>
      <c r="Z804" s="165"/>
    </row>
    <row r="805" spans="16:26">
      <c r="P805" s="165"/>
      <c r="Q805" s="165"/>
      <c r="R805" s="165"/>
      <c r="S805" s="165"/>
      <c r="T805" s="165"/>
      <c r="U805" s="165"/>
      <c r="V805" s="165"/>
      <c r="W805" s="165"/>
      <c r="X805" s="165"/>
      <c r="Y805" s="165"/>
      <c r="Z805" s="165"/>
    </row>
    <row r="806" spans="16:26">
      <c r="P806" s="165"/>
      <c r="Q806" s="165"/>
      <c r="R806" s="165"/>
      <c r="S806" s="165"/>
      <c r="T806" s="165"/>
      <c r="U806" s="165"/>
      <c r="V806" s="165"/>
      <c r="W806" s="165"/>
      <c r="X806" s="165"/>
      <c r="Y806" s="165"/>
      <c r="Z806" s="165"/>
    </row>
    <row r="807" spans="16:26">
      <c r="P807" s="165"/>
      <c r="Q807" s="165"/>
      <c r="R807" s="165"/>
      <c r="S807" s="165"/>
      <c r="T807" s="165"/>
      <c r="U807" s="165"/>
      <c r="V807" s="165"/>
      <c r="W807" s="165"/>
      <c r="X807" s="165"/>
      <c r="Y807" s="165"/>
      <c r="Z807" s="165"/>
    </row>
    <row r="808" spans="16:26">
      <c r="P808" s="165"/>
      <c r="Q808" s="165"/>
      <c r="R808" s="165"/>
      <c r="S808" s="165"/>
      <c r="T808" s="165"/>
      <c r="U808" s="165"/>
      <c r="V808" s="165"/>
      <c r="W808" s="165"/>
      <c r="X808" s="165"/>
      <c r="Y808" s="165"/>
      <c r="Z808" s="165"/>
    </row>
    <row r="809" spans="16:26">
      <c r="P809" s="165"/>
      <c r="Q809" s="165"/>
      <c r="R809" s="165"/>
      <c r="S809" s="165"/>
      <c r="T809" s="165"/>
      <c r="U809" s="165"/>
      <c r="V809" s="165"/>
      <c r="W809" s="165"/>
      <c r="X809" s="165"/>
      <c r="Y809" s="165"/>
      <c r="Z809" s="165"/>
    </row>
    <row r="810" spans="16:26">
      <c r="P810" s="165"/>
      <c r="Q810" s="165"/>
      <c r="R810" s="165"/>
      <c r="S810" s="165"/>
      <c r="T810" s="165"/>
      <c r="U810" s="165"/>
      <c r="V810" s="165"/>
      <c r="W810" s="165"/>
      <c r="X810" s="165"/>
      <c r="Y810" s="165"/>
      <c r="Z810" s="165"/>
    </row>
    <row r="811" spans="16:26">
      <c r="P811" s="165"/>
      <c r="Q811" s="165"/>
      <c r="R811" s="165"/>
      <c r="S811" s="165"/>
      <c r="T811" s="165"/>
      <c r="U811" s="165"/>
      <c r="V811" s="165"/>
      <c r="W811" s="165"/>
      <c r="X811" s="165"/>
      <c r="Y811" s="165"/>
      <c r="Z811" s="165"/>
    </row>
    <row r="812" spans="16:26">
      <c r="P812" s="165"/>
      <c r="Q812" s="165"/>
      <c r="R812" s="165"/>
      <c r="S812" s="165"/>
      <c r="T812" s="165"/>
      <c r="U812" s="165"/>
      <c r="V812" s="165"/>
      <c r="W812" s="165"/>
      <c r="X812" s="165"/>
      <c r="Y812" s="165"/>
      <c r="Z812" s="165"/>
    </row>
    <row r="813" spans="16:26">
      <c r="P813" s="165"/>
      <c r="Q813" s="165"/>
      <c r="R813" s="165"/>
      <c r="S813" s="165"/>
      <c r="T813" s="165"/>
      <c r="U813" s="165"/>
      <c r="V813" s="165"/>
      <c r="W813" s="165"/>
      <c r="X813" s="165"/>
      <c r="Y813" s="165"/>
      <c r="Z813" s="165"/>
    </row>
    <row r="814" spans="16:26">
      <c r="P814" s="165"/>
      <c r="Q814" s="165"/>
      <c r="R814" s="165"/>
      <c r="S814" s="165"/>
      <c r="T814" s="165"/>
      <c r="U814" s="165"/>
      <c r="V814" s="165"/>
      <c r="W814" s="165"/>
      <c r="X814" s="165"/>
      <c r="Y814" s="165"/>
      <c r="Z814" s="165"/>
    </row>
    <row r="815" spans="16:26">
      <c r="P815" s="165"/>
      <c r="Q815" s="165"/>
      <c r="R815" s="165"/>
      <c r="S815" s="165"/>
      <c r="T815" s="165"/>
      <c r="U815" s="165"/>
      <c r="V815" s="165"/>
      <c r="W815" s="165"/>
      <c r="X815" s="165"/>
      <c r="Y815" s="165"/>
      <c r="Z815" s="165"/>
    </row>
    <row r="816" spans="16:26">
      <c r="P816" s="165"/>
      <c r="Q816" s="165"/>
      <c r="R816" s="165"/>
      <c r="S816" s="165"/>
      <c r="T816" s="165"/>
      <c r="U816" s="165"/>
      <c r="V816" s="165"/>
      <c r="W816" s="165"/>
      <c r="X816" s="165"/>
      <c r="Y816" s="165"/>
      <c r="Z816" s="165"/>
    </row>
    <row r="817" spans="16:26">
      <c r="P817" s="165"/>
      <c r="Q817" s="165"/>
      <c r="R817" s="165"/>
      <c r="S817" s="165"/>
      <c r="T817" s="165"/>
      <c r="U817" s="165"/>
      <c r="V817" s="165"/>
      <c r="W817" s="165"/>
      <c r="X817" s="165"/>
      <c r="Y817" s="165"/>
      <c r="Z817" s="165"/>
    </row>
    <row r="818" spans="16:26">
      <c r="P818" s="165"/>
      <c r="Q818" s="165"/>
      <c r="R818" s="165"/>
      <c r="S818" s="165"/>
      <c r="T818" s="165"/>
      <c r="U818" s="165"/>
      <c r="V818" s="165"/>
      <c r="W818" s="165"/>
      <c r="X818" s="165"/>
      <c r="Y818" s="165"/>
      <c r="Z818" s="165"/>
    </row>
    <row r="819" spans="16:26">
      <c r="P819" s="165"/>
      <c r="Q819" s="165"/>
      <c r="R819" s="165"/>
      <c r="S819" s="165"/>
      <c r="T819" s="165"/>
      <c r="U819" s="165"/>
      <c r="V819" s="165"/>
      <c r="W819" s="165"/>
      <c r="X819" s="165"/>
      <c r="Y819" s="165"/>
      <c r="Z819" s="165"/>
    </row>
    <row r="820" spans="16:26">
      <c r="P820" s="165"/>
      <c r="Q820" s="165"/>
      <c r="R820" s="165"/>
      <c r="S820" s="165"/>
      <c r="T820" s="165"/>
      <c r="U820" s="165"/>
      <c r="V820" s="165"/>
      <c r="W820" s="165"/>
      <c r="X820" s="165"/>
      <c r="Y820" s="165"/>
      <c r="Z820" s="165"/>
    </row>
    <row r="821" spans="16:26">
      <c r="P821" s="165"/>
      <c r="Q821" s="165"/>
      <c r="R821" s="165"/>
      <c r="S821" s="165"/>
      <c r="T821" s="165"/>
      <c r="U821" s="165"/>
      <c r="V821" s="165"/>
      <c r="W821" s="165"/>
      <c r="X821" s="165"/>
      <c r="Y821" s="165"/>
      <c r="Z821" s="165"/>
    </row>
    <row r="822" spans="16:26">
      <c r="P822" s="165"/>
      <c r="Q822" s="165"/>
      <c r="R822" s="165"/>
      <c r="S822" s="165"/>
      <c r="T822" s="165"/>
      <c r="U822" s="165"/>
      <c r="V822" s="165"/>
      <c r="W822" s="165"/>
      <c r="X822" s="165"/>
      <c r="Y822" s="165"/>
      <c r="Z822" s="165"/>
    </row>
    <row r="823" spans="16:26">
      <c r="P823" s="165"/>
      <c r="Q823" s="165"/>
      <c r="R823" s="165"/>
      <c r="S823" s="165"/>
      <c r="T823" s="165"/>
      <c r="U823" s="165"/>
      <c r="V823" s="165"/>
      <c r="W823" s="165"/>
      <c r="X823" s="165"/>
      <c r="Y823" s="165"/>
      <c r="Z823" s="165"/>
    </row>
    <row r="824" spans="16:26">
      <c r="P824" s="165"/>
      <c r="Q824" s="165"/>
      <c r="R824" s="165"/>
      <c r="S824" s="165"/>
      <c r="T824" s="165"/>
      <c r="U824" s="165"/>
      <c r="V824" s="165"/>
      <c r="W824" s="165"/>
      <c r="X824" s="165"/>
      <c r="Y824" s="165"/>
      <c r="Z824" s="165"/>
    </row>
    <row r="825" spans="16:26">
      <c r="P825" s="165"/>
      <c r="Q825" s="165"/>
      <c r="R825" s="165"/>
      <c r="S825" s="165"/>
      <c r="T825" s="165"/>
      <c r="U825" s="165"/>
      <c r="V825" s="165"/>
      <c r="W825" s="165"/>
      <c r="X825" s="165"/>
      <c r="Y825" s="165"/>
      <c r="Z825" s="165"/>
    </row>
    <row r="826" spans="16:26">
      <c r="P826" s="165"/>
      <c r="Q826" s="165"/>
      <c r="R826" s="165"/>
      <c r="S826" s="165"/>
      <c r="T826" s="165"/>
      <c r="U826" s="165"/>
      <c r="V826" s="165"/>
      <c r="W826" s="165"/>
      <c r="X826" s="165"/>
      <c r="Y826" s="165"/>
      <c r="Z826" s="165"/>
    </row>
    <row r="827" spans="16:26">
      <c r="P827" s="165"/>
      <c r="Q827" s="165"/>
      <c r="R827" s="165"/>
      <c r="S827" s="165"/>
      <c r="T827" s="165"/>
      <c r="U827" s="165"/>
      <c r="V827" s="165"/>
      <c r="W827" s="165"/>
      <c r="X827" s="165"/>
      <c r="Y827" s="165"/>
      <c r="Z827" s="165"/>
    </row>
    <row r="828" spans="16:26">
      <c r="P828" s="165"/>
      <c r="Q828" s="165"/>
      <c r="R828" s="165"/>
      <c r="S828" s="165"/>
      <c r="T828" s="165"/>
      <c r="U828" s="165"/>
      <c r="V828" s="165"/>
      <c r="W828" s="165"/>
      <c r="X828" s="165"/>
      <c r="Y828" s="165"/>
      <c r="Z828" s="165"/>
    </row>
    <row r="829" spans="16:26">
      <c r="P829" s="165"/>
      <c r="Q829" s="165"/>
      <c r="R829" s="165"/>
      <c r="S829" s="165"/>
      <c r="T829" s="165"/>
      <c r="U829" s="165"/>
      <c r="V829" s="165"/>
      <c r="W829" s="165"/>
      <c r="X829" s="165"/>
      <c r="Y829" s="165"/>
      <c r="Z829" s="165"/>
    </row>
    <row r="830" spans="16:26">
      <c r="P830" s="165"/>
      <c r="Q830" s="165"/>
      <c r="R830" s="165"/>
      <c r="S830" s="165"/>
      <c r="T830" s="165"/>
      <c r="U830" s="165"/>
      <c r="V830" s="165"/>
      <c r="W830" s="165"/>
      <c r="X830" s="165"/>
      <c r="Y830" s="165"/>
      <c r="Z830" s="165"/>
    </row>
    <row r="831" spans="16:26">
      <c r="P831" s="165"/>
      <c r="Q831" s="165"/>
      <c r="R831" s="165"/>
      <c r="S831" s="165"/>
      <c r="T831" s="165"/>
      <c r="U831" s="165"/>
      <c r="V831" s="165"/>
      <c r="W831" s="165"/>
      <c r="X831" s="165"/>
      <c r="Y831" s="165"/>
      <c r="Z831" s="165"/>
    </row>
    <row r="832" spans="16:26">
      <c r="P832" s="165"/>
      <c r="Q832" s="165"/>
      <c r="R832" s="165"/>
      <c r="S832" s="165"/>
      <c r="T832" s="165"/>
      <c r="U832" s="165"/>
      <c r="V832" s="165"/>
      <c r="W832" s="165"/>
      <c r="X832" s="165"/>
      <c r="Y832" s="165"/>
      <c r="Z832" s="165"/>
    </row>
    <row r="833" spans="16:26">
      <c r="P833" s="165"/>
      <c r="Q833" s="165"/>
      <c r="R833" s="165"/>
      <c r="S833" s="165"/>
      <c r="T833" s="165"/>
      <c r="U833" s="165"/>
      <c r="V833" s="165"/>
      <c r="W833" s="165"/>
      <c r="X833" s="165"/>
      <c r="Y833" s="165"/>
      <c r="Z833" s="165"/>
    </row>
    <row r="834" spans="16:26">
      <c r="P834" s="165"/>
      <c r="Q834" s="165"/>
      <c r="R834" s="165"/>
      <c r="S834" s="165"/>
      <c r="T834" s="165"/>
      <c r="U834" s="165"/>
      <c r="V834" s="165"/>
      <c r="W834" s="165"/>
      <c r="X834" s="165"/>
      <c r="Y834" s="165"/>
      <c r="Z834" s="165"/>
    </row>
    <row r="835" spans="16:26">
      <c r="P835" s="165"/>
      <c r="Q835" s="165"/>
      <c r="R835" s="165"/>
      <c r="S835" s="165"/>
      <c r="T835" s="165"/>
      <c r="U835" s="165"/>
      <c r="V835" s="165"/>
      <c r="W835" s="165"/>
      <c r="X835" s="165"/>
      <c r="Y835" s="165"/>
      <c r="Z835" s="165"/>
    </row>
    <row r="836" spans="16:26">
      <c r="P836" s="165"/>
      <c r="Q836" s="165"/>
      <c r="R836" s="165"/>
      <c r="S836" s="165"/>
      <c r="T836" s="165"/>
      <c r="U836" s="165"/>
      <c r="V836" s="165"/>
      <c r="W836" s="165"/>
      <c r="X836" s="165"/>
      <c r="Y836" s="165"/>
      <c r="Z836" s="165"/>
    </row>
    <row r="837" spans="16:26">
      <c r="P837" s="165"/>
      <c r="Q837" s="165"/>
      <c r="R837" s="165"/>
      <c r="S837" s="165"/>
      <c r="T837" s="165"/>
      <c r="U837" s="165"/>
      <c r="V837" s="165"/>
      <c r="W837" s="165"/>
      <c r="X837" s="165"/>
      <c r="Y837" s="165"/>
      <c r="Z837" s="165"/>
    </row>
    <row r="838" spans="16:26">
      <c r="P838" s="165"/>
      <c r="Q838" s="165"/>
      <c r="R838" s="165"/>
      <c r="S838" s="165"/>
      <c r="T838" s="165"/>
      <c r="U838" s="165"/>
      <c r="V838" s="165"/>
      <c r="W838" s="165"/>
      <c r="X838" s="165"/>
      <c r="Y838" s="165"/>
      <c r="Z838" s="165"/>
    </row>
    <row r="839" spans="16:26">
      <c r="P839" s="165"/>
      <c r="Q839" s="165"/>
      <c r="R839" s="165"/>
      <c r="S839" s="165"/>
      <c r="T839" s="165"/>
      <c r="U839" s="165"/>
      <c r="V839" s="165"/>
      <c r="W839" s="165"/>
      <c r="X839" s="165"/>
      <c r="Y839" s="165"/>
      <c r="Z839" s="165"/>
    </row>
    <row r="840" spans="16:26">
      <c r="P840" s="165"/>
      <c r="Q840" s="165"/>
      <c r="R840" s="165"/>
      <c r="S840" s="165"/>
      <c r="T840" s="165"/>
      <c r="U840" s="165"/>
      <c r="V840" s="165"/>
      <c r="W840" s="165"/>
      <c r="X840" s="165"/>
      <c r="Y840" s="165"/>
      <c r="Z840" s="165"/>
    </row>
    <row r="841" spans="16:26">
      <c r="P841" s="165"/>
      <c r="Q841" s="165"/>
      <c r="R841" s="165"/>
      <c r="S841" s="165"/>
      <c r="T841" s="165"/>
      <c r="U841" s="165"/>
      <c r="V841" s="165"/>
      <c r="W841" s="165"/>
      <c r="X841" s="165"/>
      <c r="Y841" s="165"/>
      <c r="Z841" s="165"/>
    </row>
    <row r="842" spans="16:26">
      <c r="P842" s="165"/>
      <c r="Q842" s="165"/>
      <c r="R842" s="165"/>
      <c r="S842" s="165"/>
      <c r="T842" s="165"/>
      <c r="U842" s="165"/>
      <c r="V842" s="165"/>
      <c r="W842" s="165"/>
      <c r="X842" s="165"/>
      <c r="Y842" s="165"/>
      <c r="Z842" s="165"/>
    </row>
    <row r="843" spans="16:26">
      <c r="P843" s="165"/>
      <c r="Q843" s="165"/>
      <c r="R843" s="165"/>
      <c r="S843" s="165"/>
      <c r="T843" s="165"/>
      <c r="U843" s="165"/>
      <c r="V843" s="165"/>
      <c r="W843" s="165"/>
      <c r="X843" s="165"/>
      <c r="Y843" s="165"/>
      <c r="Z843" s="165"/>
    </row>
    <row r="844" spans="16:26">
      <c r="P844" s="165"/>
      <c r="Q844" s="165"/>
      <c r="R844" s="165"/>
      <c r="S844" s="165"/>
      <c r="T844" s="165"/>
      <c r="U844" s="165"/>
      <c r="V844" s="165"/>
      <c r="W844" s="165"/>
      <c r="X844" s="165"/>
      <c r="Y844" s="165"/>
      <c r="Z844" s="165"/>
    </row>
    <row r="845" spans="16:26">
      <c r="P845" s="165"/>
      <c r="Q845" s="165"/>
      <c r="R845" s="165"/>
      <c r="S845" s="165"/>
      <c r="T845" s="165"/>
      <c r="U845" s="165"/>
      <c r="V845" s="165"/>
      <c r="W845" s="165"/>
      <c r="X845" s="165"/>
      <c r="Y845" s="165"/>
      <c r="Z845" s="165"/>
    </row>
    <row r="846" spans="16:26">
      <c r="P846" s="165"/>
      <c r="Q846" s="165"/>
      <c r="R846" s="165"/>
      <c r="S846" s="165"/>
      <c r="T846" s="165"/>
      <c r="U846" s="165"/>
      <c r="V846" s="165"/>
      <c r="W846" s="165"/>
      <c r="X846" s="165"/>
      <c r="Y846" s="165"/>
      <c r="Z846" s="165"/>
    </row>
    <row r="847" spans="16:26">
      <c r="P847" s="165"/>
      <c r="Q847" s="165"/>
      <c r="R847" s="165"/>
      <c r="S847" s="165"/>
      <c r="T847" s="165"/>
      <c r="U847" s="165"/>
      <c r="V847" s="165"/>
      <c r="W847" s="165"/>
      <c r="X847" s="165"/>
      <c r="Y847" s="165"/>
      <c r="Z847" s="165"/>
    </row>
    <row r="848" spans="16:26">
      <c r="P848" s="165"/>
      <c r="Q848" s="165"/>
      <c r="R848" s="165"/>
      <c r="S848" s="165"/>
      <c r="T848" s="165"/>
      <c r="U848" s="165"/>
      <c r="V848" s="165"/>
      <c r="W848" s="165"/>
      <c r="X848" s="165"/>
      <c r="Y848" s="165"/>
      <c r="Z848" s="165"/>
    </row>
    <row r="849" spans="16:26">
      <c r="P849" s="165"/>
      <c r="Q849" s="165"/>
      <c r="R849" s="165"/>
      <c r="S849" s="165"/>
      <c r="T849" s="165"/>
      <c r="U849" s="165"/>
      <c r="V849" s="165"/>
      <c r="W849" s="165"/>
      <c r="X849" s="165"/>
      <c r="Y849" s="165"/>
      <c r="Z849" s="165"/>
    </row>
    <row r="850" spans="16:26">
      <c r="P850" s="165"/>
      <c r="Q850" s="165"/>
      <c r="R850" s="165"/>
      <c r="S850" s="165"/>
      <c r="T850" s="165"/>
      <c r="U850" s="165"/>
      <c r="V850" s="165"/>
      <c r="W850" s="165"/>
      <c r="X850" s="165"/>
      <c r="Y850" s="165"/>
      <c r="Z850" s="165"/>
    </row>
    <row r="851" spans="16:26">
      <c r="P851" s="165"/>
      <c r="Q851" s="165"/>
      <c r="R851" s="165"/>
      <c r="S851" s="165"/>
      <c r="T851" s="165"/>
      <c r="U851" s="165"/>
      <c r="V851" s="165"/>
      <c r="W851" s="165"/>
      <c r="X851" s="165"/>
      <c r="Y851" s="165"/>
      <c r="Z851" s="165"/>
    </row>
    <row r="852" spans="16:26">
      <c r="P852" s="165"/>
      <c r="Q852" s="165"/>
      <c r="R852" s="165"/>
      <c r="S852" s="165"/>
      <c r="T852" s="165"/>
      <c r="U852" s="165"/>
      <c r="V852" s="165"/>
      <c r="W852" s="165"/>
      <c r="X852" s="165"/>
      <c r="Y852" s="165"/>
      <c r="Z852" s="165"/>
    </row>
    <row r="853" spans="16:26">
      <c r="P853" s="165"/>
      <c r="Q853" s="165"/>
      <c r="R853" s="165"/>
      <c r="S853" s="165"/>
      <c r="T853" s="165"/>
      <c r="U853" s="165"/>
      <c r="V853" s="165"/>
      <c r="W853" s="165"/>
      <c r="X853" s="165"/>
      <c r="Y853" s="165"/>
      <c r="Z853" s="165"/>
    </row>
    <row r="854" spans="16:26">
      <c r="P854" s="165"/>
      <c r="Q854" s="165"/>
      <c r="R854" s="165"/>
      <c r="S854" s="165"/>
      <c r="T854" s="165"/>
      <c r="U854" s="165"/>
      <c r="V854" s="165"/>
      <c r="W854" s="165"/>
      <c r="X854" s="165"/>
      <c r="Y854" s="165"/>
      <c r="Z854" s="165"/>
    </row>
    <row r="855" spans="16:26">
      <c r="P855" s="165"/>
      <c r="Q855" s="165"/>
      <c r="R855" s="165"/>
      <c r="S855" s="165"/>
      <c r="T855" s="165"/>
      <c r="U855" s="165"/>
      <c r="V855" s="165"/>
      <c r="W855" s="165"/>
      <c r="X855" s="165"/>
      <c r="Y855" s="165"/>
      <c r="Z855" s="165"/>
    </row>
    <row r="856" spans="16:26">
      <c r="P856" s="165"/>
      <c r="Q856" s="165"/>
      <c r="R856" s="165"/>
      <c r="S856" s="165"/>
      <c r="T856" s="165"/>
      <c r="U856" s="165"/>
      <c r="V856" s="165"/>
      <c r="W856" s="165"/>
      <c r="X856" s="165"/>
      <c r="Y856" s="165"/>
      <c r="Z856" s="165"/>
    </row>
    <row r="857" spans="16:26">
      <c r="P857" s="165"/>
      <c r="Q857" s="165"/>
      <c r="R857" s="165"/>
      <c r="S857" s="165"/>
      <c r="T857" s="165"/>
      <c r="U857" s="165"/>
      <c r="V857" s="165"/>
      <c r="W857" s="165"/>
      <c r="X857" s="165"/>
      <c r="Y857" s="165"/>
      <c r="Z857" s="165"/>
    </row>
    <row r="858" spans="16:26">
      <c r="P858" s="165"/>
      <c r="Q858" s="165"/>
      <c r="R858" s="165"/>
      <c r="S858" s="165"/>
      <c r="T858" s="165"/>
      <c r="U858" s="165"/>
      <c r="V858" s="165"/>
      <c r="W858" s="165"/>
      <c r="X858" s="165"/>
      <c r="Y858" s="165"/>
      <c r="Z858" s="165"/>
    </row>
    <row r="859" spans="16:26">
      <c r="P859" s="165"/>
      <c r="Q859" s="165"/>
      <c r="R859" s="165"/>
      <c r="S859" s="165"/>
      <c r="T859" s="165"/>
      <c r="U859" s="165"/>
      <c r="V859" s="165"/>
      <c r="W859" s="165"/>
      <c r="X859" s="165"/>
      <c r="Y859" s="165"/>
      <c r="Z859" s="165"/>
    </row>
    <row r="860" spans="16:26">
      <c r="P860" s="165"/>
      <c r="Q860" s="165"/>
      <c r="R860" s="165"/>
      <c r="S860" s="165"/>
      <c r="T860" s="165"/>
      <c r="U860" s="165"/>
      <c r="V860" s="165"/>
      <c r="W860" s="165"/>
      <c r="X860" s="165"/>
      <c r="Y860" s="165"/>
      <c r="Z860" s="165"/>
    </row>
    <row r="861" spans="16:26">
      <c r="P861" s="165"/>
      <c r="Q861" s="165"/>
      <c r="R861" s="165"/>
      <c r="S861" s="165"/>
      <c r="T861" s="165"/>
      <c r="U861" s="165"/>
      <c r="V861" s="165"/>
      <c r="W861" s="165"/>
      <c r="X861" s="165"/>
      <c r="Y861" s="165"/>
      <c r="Z861" s="165"/>
    </row>
    <row r="862" spans="16:26">
      <c r="P862" s="165"/>
      <c r="Q862" s="165"/>
      <c r="R862" s="165"/>
      <c r="S862" s="165"/>
      <c r="T862" s="165"/>
      <c r="U862" s="165"/>
      <c r="V862" s="165"/>
      <c r="W862" s="165"/>
      <c r="X862" s="165"/>
      <c r="Y862" s="165"/>
      <c r="Z862" s="165"/>
    </row>
    <row r="863" spans="16:26">
      <c r="P863" s="165"/>
      <c r="Q863" s="165"/>
      <c r="R863" s="165"/>
      <c r="S863" s="165"/>
      <c r="T863" s="165"/>
      <c r="U863" s="165"/>
      <c r="V863" s="165"/>
      <c r="W863" s="165"/>
      <c r="X863" s="165"/>
      <c r="Y863" s="165"/>
      <c r="Z863" s="165"/>
    </row>
    <row r="864" spans="16:26">
      <c r="P864" s="165"/>
      <c r="Q864" s="165"/>
      <c r="R864" s="165"/>
      <c r="S864" s="165"/>
      <c r="T864" s="165"/>
      <c r="U864" s="165"/>
      <c r="V864" s="165"/>
      <c r="W864" s="165"/>
      <c r="X864" s="165"/>
      <c r="Y864" s="165"/>
      <c r="Z864" s="165"/>
    </row>
    <row r="865" spans="16:26">
      <c r="P865" s="165"/>
      <c r="Q865" s="165"/>
      <c r="R865" s="165"/>
      <c r="S865" s="165"/>
      <c r="T865" s="165"/>
      <c r="U865" s="165"/>
      <c r="V865" s="165"/>
      <c r="W865" s="165"/>
      <c r="X865" s="165"/>
      <c r="Y865" s="165"/>
      <c r="Z865" s="165"/>
    </row>
    <row r="866" spans="16:26">
      <c r="P866" s="165"/>
      <c r="Q866" s="165"/>
      <c r="R866" s="165"/>
      <c r="S866" s="165"/>
      <c r="T866" s="165"/>
      <c r="U866" s="165"/>
      <c r="V866" s="165"/>
      <c r="W866" s="165"/>
      <c r="X866" s="165"/>
      <c r="Y866" s="165"/>
      <c r="Z866" s="165"/>
    </row>
    <row r="867" spans="16:26">
      <c r="P867" s="165"/>
      <c r="Q867" s="165"/>
      <c r="R867" s="165"/>
      <c r="S867" s="165"/>
      <c r="T867" s="165"/>
      <c r="U867" s="165"/>
      <c r="V867" s="165"/>
      <c r="W867" s="165"/>
      <c r="X867" s="165"/>
      <c r="Y867" s="165"/>
      <c r="Z867" s="165"/>
    </row>
    <row r="868" spans="16:26">
      <c r="P868" s="165"/>
      <c r="Q868" s="165"/>
      <c r="R868" s="165"/>
      <c r="S868" s="165"/>
      <c r="T868" s="165"/>
      <c r="U868" s="165"/>
      <c r="V868" s="165"/>
      <c r="W868" s="165"/>
      <c r="X868" s="165"/>
      <c r="Y868" s="165"/>
      <c r="Z868" s="165"/>
    </row>
    <row r="869" spans="16:26">
      <c r="P869" s="165"/>
      <c r="Q869" s="165"/>
      <c r="R869" s="165"/>
      <c r="S869" s="165"/>
      <c r="T869" s="165"/>
      <c r="U869" s="165"/>
      <c r="V869" s="165"/>
      <c r="W869" s="165"/>
      <c r="X869" s="165"/>
      <c r="Y869" s="165"/>
      <c r="Z869" s="165"/>
    </row>
    <row r="870" spans="16:26">
      <c r="P870" s="165"/>
      <c r="Q870" s="165"/>
      <c r="R870" s="165"/>
      <c r="S870" s="165"/>
      <c r="T870" s="165"/>
      <c r="U870" s="165"/>
      <c r="V870" s="165"/>
      <c r="W870" s="165"/>
      <c r="X870" s="165"/>
      <c r="Y870" s="165"/>
      <c r="Z870" s="165"/>
    </row>
    <row r="871" spans="16:26">
      <c r="P871" s="165"/>
      <c r="Q871" s="165"/>
      <c r="R871" s="165"/>
      <c r="S871" s="165"/>
      <c r="T871" s="165"/>
      <c r="U871" s="165"/>
      <c r="V871" s="165"/>
      <c r="W871" s="165"/>
      <c r="X871" s="165"/>
      <c r="Y871" s="165"/>
      <c r="Z871" s="165"/>
    </row>
    <row r="872" spans="16:26">
      <c r="P872" s="165"/>
      <c r="Q872" s="165"/>
      <c r="R872" s="165"/>
      <c r="S872" s="165"/>
      <c r="T872" s="165"/>
      <c r="U872" s="165"/>
      <c r="V872" s="165"/>
      <c r="W872" s="165"/>
      <c r="X872" s="165"/>
      <c r="Y872" s="165"/>
      <c r="Z872" s="165"/>
    </row>
    <row r="873" spans="16:26">
      <c r="P873" s="165"/>
      <c r="Q873" s="165"/>
      <c r="R873" s="165"/>
      <c r="S873" s="165"/>
      <c r="T873" s="165"/>
      <c r="U873" s="165"/>
      <c r="V873" s="165"/>
      <c r="W873" s="165"/>
      <c r="X873" s="165"/>
      <c r="Y873" s="165"/>
      <c r="Z873" s="165"/>
    </row>
    <row r="874" spans="16:26">
      <c r="P874" s="165"/>
      <c r="Q874" s="165"/>
      <c r="R874" s="165"/>
      <c r="S874" s="165"/>
      <c r="T874" s="165"/>
      <c r="U874" s="165"/>
      <c r="V874" s="165"/>
      <c r="W874" s="165"/>
      <c r="X874" s="165"/>
      <c r="Y874" s="165"/>
      <c r="Z874" s="165"/>
    </row>
    <row r="875" spans="16:26">
      <c r="P875" s="165"/>
      <c r="Q875" s="165"/>
      <c r="R875" s="165"/>
      <c r="S875" s="165"/>
      <c r="T875" s="165"/>
      <c r="U875" s="165"/>
      <c r="V875" s="165"/>
      <c r="W875" s="165"/>
      <c r="X875" s="165"/>
      <c r="Y875" s="165"/>
      <c r="Z875" s="165"/>
    </row>
    <row r="876" spans="16:26">
      <c r="P876" s="165"/>
      <c r="Q876" s="165"/>
      <c r="R876" s="165"/>
      <c r="S876" s="165"/>
      <c r="T876" s="165"/>
      <c r="U876" s="165"/>
      <c r="V876" s="165"/>
      <c r="W876" s="165"/>
      <c r="X876" s="165"/>
      <c r="Y876" s="165"/>
      <c r="Z876" s="165"/>
    </row>
    <row r="877" spans="16:26">
      <c r="P877" s="165"/>
      <c r="Q877" s="165"/>
      <c r="R877" s="165"/>
      <c r="S877" s="165"/>
      <c r="T877" s="165"/>
      <c r="U877" s="165"/>
      <c r="V877" s="165"/>
      <c r="W877" s="165"/>
      <c r="X877" s="165"/>
      <c r="Y877" s="165"/>
      <c r="Z877" s="165"/>
    </row>
    <row r="878" spans="16:26">
      <c r="P878" s="165"/>
      <c r="Q878" s="165"/>
      <c r="R878" s="165"/>
      <c r="S878" s="165"/>
      <c r="T878" s="165"/>
      <c r="U878" s="165"/>
      <c r="V878" s="165"/>
      <c r="W878" s="165"/>
      <c r="X878" s="165"/>
      <c r="Y878" s="165"/>
      <c r="Z878" s="165"/>
    </row>
    <row r="879" spans="16:26">
      <c r="P879" s="165"/>
      <c r="Q879" s="165"/>
      <c r="R879" s="165"/>
      <c r="S879" s="165"/>
      <c r="T879" s="165"/>
      <c r="U879" s="165"/>
      <c r="V879" s="165"/>
      <c r="W879" s="165"/>
      <c r="X879" s="165"/>
      <c r="Y879" s="165"/>
      <c r="Z879" s="165"/>
    </row>
    <row r="880" spans="16:26">
      <c r="P880" s="165"/>
      <c r="Q880" s="165"/>
      <c r="R880" s="165"/>
      <c r="S880" s="165"/>
      <c r="T880" s="165"/>
      <c r="U880" s="165"/>
      <c r="V880" s="165"/>
      <c r="W880" s="165"/>
      <c r="X880" s="165"/>
      <c r="Y880" s="165"/>
      <c r="Z880" s="165"/>
    </row>
    <row r="881" spans="16:26">
      <c r="P881" s="165"/>
      <c r="Q881" s="165"/>
      <c r="R881" s="165"/>
      <c r="S881" s="165"/>
      <c r="T881" s="165"/>
      <c r="U881" s="165"/>
      <c r="V881" s="165"/>
      <c r="W881" s="165"/>
      <c r="X881" s="165"/>
      <c r="Y881" s="165"/>
      <c r="Z881" s="165"/>
    </row>
    <row r="882" spans="16:26">
      <c r="P882" s="165"/>
      <c r="Q882" s="165"/>
      <c r="R882" s="165"/>
      <c r="S882" s="165"/>
      <c r="T882" s="165"/>
      <c r="U882" s="165"/>
      <c r="V882" s="165"/>
      <c r="W882" s="165"/>
      <c r="X882" s="165"/>
      <c r="Y882" s="165"/>
      <c r="Z882" s="165"/>
    </row>
    <row r="883" spans="16:26">
      <c r="P883" s="165"/>
      <c r="Q883" s="165"/>
      <c r="R883" s="165"/>
      <c r="S883" s="165"/>
      <c r="T883" s="165"/>
      <c r="U883" s="165"/>
      <c r="V883" s="165"/>
      <c r="W883" s="165"/>
      <c r="X883" s="165"/>
      <c r="Y883" s="165"/>
      <c r="Z883" s="165"/>
    </row>
    <row r="884" spans="16:26">
      <c r="P884" s="165"/>
      <c r="Q884" s="165"/>
      <c r="R884" s="165"/>
      <c r="S884" s="165"/>
      <c r="T884" s="165"/>
      <c r="U884" s="165"/>
      <c r="V884" s="165"/>
      <c r="W884" s="165"/>
      <c r="X884" s="165"/>
      <c r="Y884" s="165"/>
      <c r="Z884" s="165"/>
    </row>
  </sheetData>
  <sheetProtection password="83B1" sheet="1" objects="1" scenarios="1" selectLockedCells="1"/>
  <pageMargins left="0.75" right="0.75" top="1" bottom="1" header="0.5" footer="0.5"/>
  <pageSetup orientation="portrait" horizontalDpi="1200" verticalDpi="12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Z884"/>
  <sheetViews>
    <sheetView workbookViewId="0">
      <selection activeCell="P1" sqref="P1"/>
    </sheetView>
  </sheetViews>
  <sheetFormatPr defaultColWidth="8" defaultRowHeight="10.199999999999999"/>
  <cols>
    <col min="1" max="15" width="8" style="98"/>
    <col min="16" max="26" width="8" style="166"/>
    <col min="27" max="16384" width="8" style="98"/>
  </cols>
  <sheetData>
    <row r="1" spans="2:26">
      <c r="B1" s="98" t="s">
        <v>144</v>
      </c>
      <c r="C1" s="98" t="s">
        <v>145</v>
      </c>
      <c r="D1" s="98" t="s">
        <v>146</v>
      </c>
      <c r="E1" s="98" t="s">
        <v>147</v>
      </c>
      <c r="F1" s="98" t="s">
        <v>148</v>
      </c>
      <c r="G1" s="98" t="s">
        <v>149</v>
      </c>
      <c r="H1" s="98" t="s">
        <v>150</v>
      </c>
      <c r="I1" s="98" t="s">
        <v>151</v>
      </c>
      <c r="J1" s="98" t="s">
        <v>152</v>
      </c>
      <c r="P1" s="165"/>
      <c r="Q1" s="165"/>
      <c r="R1" s="165"/>
      <c r="S1" s="165"/>
      <c r="T1" s="165"/>
      <c r="U1" s="165"/>
      <c r="V1" s="165"/>
      <c r="W1" s="165"/>
      <c r="X1" s="165"/>
      <c r="Y1" s="165"/>
      <c r="Z1" s="165"/>
    </row>
    <row r="2" spans="2:26">
      <c r="B2" s="98" t="s">
        <v>153</v>
      </c>
      <c r="C2" s="98" t="s">
        <v>154</v>
      </c>
      <c r="D2" s="98" t="s">
        <v>154</v>
      </c>
      <c r="E2" s="98" t="s">
        <v>155</v>
      </c>
      <c r="F2" s="98" t="s">
        <v>155</v>
      </c>
      <c r="G2" s="98" t="s">
        <v>156</v>
      </c>
      <c r="H2" s="98" t="s">
        <v>157</v>
      </c>
      <c r="I2" s="98" t="s">
        <v>158</v>
      </c>
      <c r="J2" s="98" t="s">
        <v>159</v>
      </c>
      <c r="K2" s="98" t="s">
        <v>160</v>
      </c>
      <c r="L2" s="98" t="s">
        <v>161</v>
      </c>
      <c r="P2" s="165"/>
      <c r="Q2" s="165"/>
      <c r="R2" s="165"/>
      <c r="S2" s="165"/>
      <c r="T2" s="165"/>
      <c r="U2" s="165"/>
      <c r="V2" s="165"/>
      <c r="W2" s="165"/>
      <c r="X2" s="165"/>
      <c r="Y2" s="165"/>
      <c r="Z2" s="165"/>
    </row>
    <row r="3" spans="2:26">
      <c r="P3" s="165"/>
      <c r="Q3" s="165"/>
      <c r="R3" s="165"/>
      <c r="S3" s="165"/>
      <c r="T3" s="165"/>
      <c r="U3" s="165"/>
      <c r="V3" s="165"/>
      <c r="W3" s="165"/>
      <c r="X3" s="165"/>
      <c r="Y3" s="165"/>
      <c r="Z3" s="165"/>
    </row>
    <row r="4" spans="2:26">
      <c r="B4" s="98" t="s">
        <v>162</v>
      </c>
      <c r="C4" s="95" t="str">
        <f ca="1">IF(P1="","","L"&amp;MID(INDIRECT("P"&amp;L4),6,2))</f>
        <v/>
      </c>
      <c r="D4" s="95" t="str">
        <f ca="1">IF(P1="","",MID(INDIRECT("P"&amp;L4),SEARCH("(",INDIRECT("P"&amp;L4),1)+1,3))</f>
        <v/>
      </c>
      <c r="E4" s="95" t="str">
        <f ca="1">IF(P1="","",MID(INDIRECT("P"&amp;L4),SEARCH(")",INDIRECT("P"&amp;L4),1)+2,LEN(INDIRECT("P"&amp;L4))))</f>
        <v/>
      </c>
      <c r="F4" s="95"/>
      <c r="G4" s="95"/>
      <c r="H4" s="95"/>
      <c r="I4" s="95"/>
      <c r="J4" s="95"/>
      <c r="K4" s="95"/>
      <c r="L4" s="95" t="str">
        <f>IF(P1="","",MATCH("CASE*",P1:P10,0))</f>
        <v/>
      </c>
      <c r="M4" s="99">
        <f>ROUND(COUNT(P:P)*1.6,0)</f>
        <v>0</v>
      </c>
      <c r="P4" s="165"/>
      <c r="Q4" s="165"/>
      <c r="R4" s="165"/>
      <c r="S4" s="165"/>
      <c r="T4" s="165"/>
      <c r="U4" s="165"/>
      <c r="V4" s="165"/>
      <c r="W4" s="165"/>
      <c r="X4" s="165"/>
      <c r="Y4" s="165"/>
      <c r="Z4" s="165"/>
    </row>
    <row r="5" spans="2:26">
      <c r="P5" s="165"/>
      <c r="Q5" s="165"/>
      <c r="R5" s="165"/>
      <c r="S5" s="165"/>
      <c r="T5" s="165"/>
      <c r="U5" s="165"/>
      <c r="V5" s="165"/>
      <c r="W5" s="165"/>
      <c r="X5" s="165"/>
      <c r="Y5" s="165"/>
      <c r="Z5" s="165"/>
    </row>
    <row r="6" spans="2:26">
      <c r="B6" s="97" t="str">
        <f>IF(Calculation!BE11="","",Calculation!BE11)</f>
        <v/>
      </c>
      <c r="C6" s="99" t="str">
        <f t="shared" ref="C6:L21" ca="1" si="0">IF($M$4=0,"",VLOOKUP($B6,INDIRECT("$P$1:$Z$"&amp;$M$4),COLUMN()-1,0))</f>
        <v/>
      </c>
      <c r="D6" s="99" t="str">
        <f t="shared" ca="1" si="0"/>
        <v/>
      </c>
      <c r="E6" s="99" t="str">
        <f t="shared" ca="1" si="0"/>
        <v/>
      </c>
      <c r="F6" s="99" t="str">
        <f t="shared" ca="1" si="0"/>
        <v/>
      </c>
      <c r="G6" s="99" t="str">
        <f t="shared" ca="1" si="0"/>
        <v/>
      </c>
      <c r="H6" s="99" t="str">
        <f t="shared" ca="1" si="0"/>
        <v/>
      </c>
      <c r="I6" s="99" t="str">
        <f t="shared" ca="1" si="0"/>
        <v/>
      </c>
      <c r="J6" s="99" t="str">
        <f t="shared" ca="1" si="0"/>
        <v/>
      </c>
      <c r="K6" s="99" t="str">
        <f t="shared" ca="1" si="0"/>
        <v/>
      </c>
      <c r="L6" s="99" t="str">
        <f t="shared" ca="1" si="0"/>
        <v/>
      </c>
      <c r="P6" s="165"/>
      <c r="Q6" s="165"/>
      <c r="R6" s="165"/>
      <c r="S6" s="165"/>
      <c r="T6" s="165"/>
      <c r="U6" s="165"/>
      <c r="V6" s="165"/>
      <c r="W6" s="165"/>
      <c r="X6" s="165"/>
      <c r="Y6" s="165"/>
      <c r="Z6" s="165"/>
    </row>
    <row r="7" spans="2:26">
      <c r="B7" s="97" t="str">
        <f>IF(Calculation!BE12="","",Calculation!BE12)</f>
        <v/>
      </c>
      <c r="C7" s="99" t="str">
        <f t="shared" ca="1" si="0"/>
        <v/>
      </c>
      <c r="D7" s="99" t="str">
        <f t="shared" ca="1" si="0"/>
        <v/>
      </c>
      <c r="E7" s="99" t="str">
        <f t="shared" ca="1" si="0"/>
        <v/>
      </c>
      <c r="F7" s="99" t="str">
        <f t="shared" ca="1" si="0"/>
        <v/>
      </c>
      <c r="G7" s="99" t="str">
        <f t="shared" ca="1" si="0"/>
        <v/>
      </c>
      <c r="H7" s="99" t="str">
        <f t="shared" ca="1" si="0"/>
        <v/>
      </c>
      <c r="I7" s="99" t="str">
        <f t="shared" ca="1" si="0"/>
        <v/>
      </c>
      <c r="J7" s="99" t="str">
        <f t="shared" ca="1" si="0"/>
        <v/>
      </c>
      <c r="K7" s="99" t="str">
        <f t="shared" ca="1" si="0"/>
        <v/>
      </c>
      <c r="L7" s="99" t="str">
        <f t="shared" ca="1" si="0"/>
        <v/>
      </c>
      <c r="P7" s="165"/>
      <c r="Q7" s="165"/>
      <c r="R7" s="165"/>
      <c r="S7" s="165"/>
      <c r="T7" s="165"/>
      <c r="U7" s="165"/>
      <c r="V7" s="165"/>
      <c r="W7" s="165"/>
      <c r="X7" s="165"/>
      <c r="Y7" s="165"/>
      <c r="Z7" s="165"/>
    </row>
    <row r="8" spans="2:26">
      <c r="B8" s="97" t="str">
        <f>IF(Calculation!BE13="","",Calculation!BE13)</f>
        <v/>
      </c>
      <c r="C8" s="99" t="str">
        <f t="shared" ca="1" si="0"/>
        <v/>
      </c>
      <c r="D8" s="99" t="str">
        <f t="shared" ca="1" si="0"/>
        <v/>
      </c>
      <c r="E8" s="99" t="str">
        <f t="shared" ca="1" si="0"/>
        <v/>
      </c>
      <c r="F8" s="99" t="str">
        <f t="shared" ca="1" si="0"/>
        <v/>
      </c>
      <c r="G8" s="99" t="str">
        <f t="shared" ca="1" si="0"/>
        <v/>
      </c>
      <c r="H8" s="99" t="str">
        <f t="shared" ca="1" si="0"/>
        <v/>
      </c>
      <c r="I8" s="99" t="str">
        <f t="shared" ca="1" si="0"/>
        <v/>
      </c>
      <c r="J8" s="99" t="str">
        <f t="shared" ca="1" si="0"/>
        <v/>
      </c>
      <c r="K8" s="99" t="str">
        <f t="shared" ca="1" si="0"/>
        <v/>
      </c>
      <c r="L8" s="99" t="str">
        <f t="shared" ca="1" si="0"/>
        <v/>
      </c>
      <c r="P8" s="165"/>
      <c r="Q8" s="165"/>
      <c r="R8" s="165"/>
      <c r="S8" s="165"/>
      <c r="T8" s="165"/>
      <c r="U8" s="165"/>
      <c r="V8" s="165"/>
      <c r="W8" s="165"/>
      <c r="X8" s="165"/>
      <c r="Y8" s="165"/>
      <c r="Z8" s="165"/>
    </row>
    <row r="9" spans="2:26">
      <c r="B9" s="97" t="str">
        <f>IF(Calculation!BE14="","",Calculation!BE14)</f>
        <v/>
      </c>
      <c r="C9" s="99" t="str">
        <f t="shared" ca="1" si="0"/>
        <v/>
      </c>
      <c r="D9" s="99" t="str">
        <f t="shared" ca="1" si="0"/>
        <v/>
      </c>
      <c r="E9" s="99" t="str">
        <f t="shared" ca="1" si="0"/>
        <v/>
      </c>
      <c r="F9" s="99" t="str">
        <f t="shared" ca="1" si="0"/>
        <v/>
      </c>
      <c r="G9" s="99" t="str">
        <f t="shared" ca="1" si="0"/>
        <v/>
      </c>
      <c r="H9" s="99" t="str">
        <f t="shared" ca="1" si="0"/>
        <v/>
      </c>
      <c r="I9" s="99" t="str">
        <f t="shared" ca="1" si="0"/>
        <v/>
      </c>
      <c r="J9" s="99" t="str">
        <f t="shared" ca="1" si="0"/>
        <v/>
      </c>
      <c r="K9" s="99" t="str">
        <f t="shared" ca="1" si="0"/>
        <v/>
      </c>
      <c r="L9" s="99" t="str">
        <f t="shared" ca="1" si="0"/>
        <v/>
      </c>
      <c r="P9" s="165"/>
      <c r="Q9" s="165"/>
      <c r="R9" s="165"/>
      <c r="S9" s="165"/>
      <c r="T9" s="165"/>
      <c r="U9" s="165"/>
      <c r="V9" s="165"/>
      <c r="W9" s="165"/>
      <c r="X9" s="165"/>
      <c r="Y9" s="165"/>
      <c r="Z9" s="165"/>
    </row>
    <row r="10" spans="2:26">
      <c r="B10" s="97" t="str">
        <f>IF(Calculation!BE15="","",Calculation!BE15)</f>
        <v/>
      </c>
      <c r="C10" s="99" t="str">
        <f t="shared" ca="1" si="0"/>
        <v/>
      </c>
      <c r="D10" s="99" t="str">
        <f t="shared" ca="1" si="0"/>
        <v/>
      </c>
      <c r="E10" s="99" t="str">
        <f t="shared" ca="1" si="0"/>
        <v/>
      </c>
      <c r="F10" s="99" t="str">
        <f t="shared" ca="1" si="0"/>
        <v/>
      </c>
      <c r="G10" s="99" t="str">
        <f t="shared" ca="1" si="0"/>
        <v/>
      </c>
      <c r="H10" s="99" t="str">
        <f t="shared" ca="1" si="0"/>
        <v/>
      </c>
      <c r="I10" s="99" t="str">
        <f t="shared" ca="1" si="0"/>
        <v/>
      </c>
      <c r="J10" s="99" t="str">
        <f t="shared" ca="1" si="0"/>
        <v/>
      </c>
      <c r="K10" s="99" t="str">
        <f t="shared" ca="1" si="0"/>
        <v/>
      </c>
      <c r="L10" s="99" t="str">
        <f t="shared" ca="1" si="0"/>
        <v/>
      </c>
      <c r="P10" s="165"/>
      <c r="Q10" s="165"/>
      <c r="R10" s="165"/>
      <c r="S10" s="165"/>
      <c r="T10" s="165"/>
      <c r="U10" s="165"/>
      <c r="V10" s="165"/>
      <c r="W10" s="165"/>
      <c r="X10" s="165"/>
      <c r="Y10" s="165"/>
      <c r="Z10" s="165"/>
    </row>
    <row r="11" spans="2:26">
      <c r="B11" s="97" t="str">
        <f>IF(Calculation!BE16="","",Calculation!BE16)</f>
        <v/>
      </c>
      <c r="C11" s="99" t="str">
        <f t="shared" ca="1" si="0"/>
        <v/>
      </c>
      <c r="D11" s="99" t="str">
        <f t="shared" ca="1" si="0"/>
        <v/>
      </c>
      <c r="E11" s="99" t="str">
        <f t="shared" ca="1" si="0"/>
        <v/>
      </c>
      <c r="F11" s="99" t="str">
        <f t="shared" ca="1" si="0"/>
        <v/>
      </c>
      <c r="G11" s="99" t="str">
        <f t="shared" ca="1" si="0"/>
        <v/>
      </c>
      <c r="H11" s="99" t="str">
        <f t="shared" ca="1" si="0"/>
        <v/>
      </c>
      <c r="I11" s="99" t="str">
        <f t="shared" ca="1" si="0"/>
        <v/>
      </c>
      <c r="J11" s="99" t="str">
        <f t="shared" ca="1" si="0"/>
        <v/>
      </c>
      <c r="K11" s="99" t="str">
        <f t="shared" ca="1" si="0"/>
        <v/>
      </c>
      <c r="L11" s="99" t="str">
        <f t="shared" ca="1" si="0"/>
        <v/>
      </c>
      <c r="P11" s="165"/>
      <c r="Q11" s="165"/>
      <c r="R11" s="165"/>
      <c r="S11" s="165"/>
      <c r="T11" s="165"/>
      <c r="U11" s="165"/>
      <c r="V11" s="165"/>
      <c r="W11" s="165"/>
      <c r="X11" s="165"/>
      <c r="Y11" s="165"/>
      <c r="Z11" s="165"/>
    </row>
    <row r="12" spans="2:26">
      <c r="B12" s="97" t="str">
        <f>IF(Calculation!BE17="","",Calculation!BE17)</f>
        <v/>
      </c>
      <c r="C12" s="99" t="str">
        <f t="shared" ca="1" si="0"/>
        <v/>
      </c>
      <c r="D12" s="99" t="str">
        <f t="shared" ca="1" si="0"/>
        <v/>
      </c>
      <c r="E12" s="99" t="str">
        <f t="shared" ca="1" si="0"/>
        <v/>
      </c>
      <c r="F12" s="99" t="str">
        <f t="shared" ca="1" si="0"/>
        <v/>
      </c>
      <c r="G12" s="99" t="str">
        <f t="shared" ca="1" si="0"/>
        <v/>
      </c>
      <c r="H12" s="99" t="str">
        <f t="shared" ca="1" si="0"/>
        <v/>
      </c>
      <c r="I12" s="99" t="str">
        <f t="shared" ca="1" si="0"/>
        <v/>
      </c>
      <c r="J12" s="99" t="str">
        <f t="shared" ca="1" si="0"/>
        <v/>
      </c>
      <c r="K12" s="99" t="str">
        <f t="shared" ca="1" si="0"/>
        <v/>
      </c>
      <c r="L12" s="99" t="str">
        <f t="shared" ca="1" si="0"/>
        <v/>
      </c>
      <c r="P12" s="165"/>
      <c r="Q12" s="165"/>
      <c r="R12" s="165"/>
      <c r="S12" s="165"/>
      <c r="T12" s="165"/>
      <c r="U12" s="165"/>
      <c r="V12" s="165"/>
      <c r="W12" s="165"/>
      <c r="X12" s="165"/>
      <c r="Y12" s="165"/>
      <c r="Z12" s="165"/>
    </row>
    <row r="13" spans="2:26">
      <c r="B13" s="97" t="str">
        <f>IF(Calculation!BE18="","",Calculation!BE18)</f>
        <v/>
      </c>
      <c r="C13" s="99" t="str">
        <f t="shared" ca="1" si="0"/>
        <v/>
      </c>
      <c r="D13" s="99" t="str">
        <f t="shared" ca="1" si="0"/>
        <v/>
      </c>
      <c r="E13" s="99" t="str">
        <f t="shared" ca="1" si="0"/>
        <v/>
      </c>
      <c r="F13" s="99" t="str">
        <f t="shared" ca="1" si="0"/>
        <v/>
      </c>
      <c r="G13" s="99" t="str">
        <f t="shared" ca="1" si="0"/>
        <v/>
      </c>
      <c r="H13" s="99" t="str">
        <f t="shared" ca="1" si="0"/>
        <v/>
      </c>
      <c r="I13" s="99" t="str">
        <f t="shared" ca="1" si="0"/>
        <v/>
      </c>
      <c r="J13" s="99" t="str">
        <f t="shared" ca="1" si="0"/>
        <v/>
      </c>
      <c r="K13" s="99" t="str">
        <f t="shared" ca="1" si="0"/>
        <v/>
      </c>
      <c r="L13" s="99" t="str">
        <f t="shared" ca="1" si="0"/>
        <v/>
      </c>
      <c r="P13" s="165"/>
      <c r="Q13" s="165"/>
      <c r="R13" s="165"/>
      <c r="S13" s="165"/>
      <c r="T13" s="165"/>
      <c r="U13" s="165"/>
      <c r="V13" s="165"/>
      <c r="W13" s="165"/>
      <c r="X13" s="165"/>
      <c r="Y13" s="165"/>
      <c r="Z13" s="165"/>
    </row>
    <row r="14" spans="2:26">
      <c r="B14" s="97" t="str">
        <f>IF(Calculation!BE19="","",Calculation!BE19)</f>
        <v/>
      </c>
      <c r="C14" s="99" t="str">
        <f t="shared" ca="1" si="0"/>
        <v/>
      </c>
      <c r="D14" s="99" t="str">
        <f t="shared" ca="1" si="0"/>
        <v/>
      </c>
      <c r="E14" s="99" t="str">
        <f t="shared" ca="1" si="0"/>
        <v/>
      </c>
      <c r="F14" s="99" t="str">
        <f t="shared" ca="1" si="0"/>
        <v/>
      </c>
      <c r="G14" s="99" t="str">
        <f t="shared" ca="1" si="0"/>
        <v/>
      </c>
      <c r="H14" s="99" t="str">
        <f t="shared" ca="1" si="0"/>
        <v/>
      </c>
      <c r="I14" s="99" t="str">
        <f t="shared" ca="1" si="0"/>
        <v/>
      </c>
      <c r="J14" s="99" t="str">
        <f t="shared" ca="1" si="0"/>
        <v/>
      </c>
      <c r="K14" s="99" t="str">
        <f t="shared" ca="1" si="0"/>
        <v/>
      </c>
      <c r="L14" s="99" t="str">
        <f t="shared" ca="1" si="0"/>
        <v/>
      </c>
      <c r="P14" s="165"/>
      <c r="Q14" s="165"/>
      <c r="R14" s="165"/>
      <c r="S14" s="165"/>
      <c r="T14" s="165"/>
      <c r="U14" s="165"/>
      <c r="V14" s="165"/>
      <c r="W14" s="165"/>
      <c r="X14" s="165"/>
      <c r="Y14" s="165"/>
      <c r="Z14" s="165"/>
    </row>
    <row r="15" spans="2:26">
      <c r="B15" s="97" t="str">
        <f>IF(Calculation!BE20="","",Calculation!BE20)</f>
        <v/>
      </c>
      <c r="C15" s="99" t="str">
        <f t="shared" ca="1" si="0"/>
        <v/>
      </c>
      <c r="D15" s="99" t="str">
        <f t="shared" ca="1" si="0"/>
        <v/>
      </c>
      <c r="E15" s="99" t="str">
        <f t="shared" ca="1" si="0"/>
        <v/>
      </c>
      <c r="F15" s="99" t="str">
        <f t="shared" ca="1" si="0"/>
        <v/>
      </c>
      <c r="G15" s="99" t="str">
        <f t="shared" ca="1" si="0"/>
        <v/>
      </c>
      <c r="H15" s="99" t="str">
        <f t="shared" ca="1" si="0"/>
        <v/>
      </c>
      <c r="I15" s="99" t="str">
        <f t="shared" ca="1" si="0"/>
        <v/>
      </c>
      <c r="J15" s="99" t="str">
        <f t="shared" ca="1" si="0"/>
        <v/>
      </c>
      <c r="K15" s="99" t="str">
        <f t="shared" ca="1" si="0"/>
        <v/>
      </c>
      <c r="L15" s="99" t="str">
        <f t="shared" ca="1" si="0"/>
        <v/>
      </c>
      <c r="P15" s="165"/>
      <c r="Q15" s="165"/>
      <c r="R15" s="165"/>
      <c r="S15" s="165"/>
      <c r="T15" s="165"/>
      <c r="U15" s="165"/>
      <c r="V15" s="165"/>
      <c r="W15" s="165"/>
      <c r="X15" s="165"/>
      <c r="Y15" s="165"/>
      <c r="Z15" s="165"/>
    </row>
    <row r="16" spans="2:26">
      <c r="B16" s="97" t="str">
        <f>IF(Calculation!BE21="","",Calculation!BE21)</f>
        <v/>
      </c>
      <c r="C16" s="99" t="str">
        <f t="shared" ca="1" si="0"/>
        <v/>
      </c>
      <c r="D16" s="99" t="str">
        <f t="shared" ca="1" si="0"/>
        <v/>
      </c>
      <c r="E16" s="99" t="str">
        <f t="shared" ca="1" si="0"/>
        <v/>
      </c>
      <c r="F16" s="99" t="str">
        <f t="shared" ca="1" si="0"/>
        <v/>
      </c>
      <c r="G16" s="99" t="str">
        <f t="shared" ca="1" si="0"/>
        <v/>
      </c>
      <c r="H16" s="99" t="str">
        <f t="shared" ca="1" si="0"/>
        <v/>
      </c>
      <c r="I16" s="99" t="str">
        <f t="shared" ca="1" si="0"/>
        <v/>
      </c>
      <c r="J16" s="99" t="str">
        <f t="shared" ca="1" si="0"/>
        <v/>
      </c>
      <c r="K16" s="99" t="str">
        <f t="shared" ca="1" si="0"/>
        <v/>
      </c>
      <c r="L16" s="99" t="str">
        <f t="shared" ca="1" si="0"/>
        <v/>
      </c>
      <c r="P16" s="165"/>
      <c r="Q16" s="165"/>
      <c r="R16" s="165"/>
      <c r="S16" s="165"/>
      <c r="T16" s="165"/>
      <c r="U16" s="165"/>
      <c r="V16" s="165"/>
      <c r="W16" s="165"/>
      <c r="X16" s="165"/>
      <c r="Y16" s="165"/>
      <c r="Z16" s="165"/>
    </row>
    <row r="17" spans="2:26">
      <c r="B17" s="97" t="str">
        <f>IF(Calculation!BE22="","",Calculation!BE22)</f>
        <v/>
      </c>
      <c r="C17" s="99" t="str">
        <f t="shared" ca="1" si="0"/>
        <v/>
      </c>
      <c r="D17" s="99" t="str">
        <f t="shared" ca="1" si="0"/>
        <v/>
      </c>
      <c r="E17" s="99" t="str">
        <f t="shared" ca="1" si="0"/>
        <v/>
      </c>
      <c r="F17" s="99" t="str">
        <f t="shared" ca="1" si="0"/>
        <v/>
      </c>
      <c r="G17" s="99" t="str">
        <f t="shared" ca="1" si="0"/>
        <v/>
      </c>
      <c r="H17" s="99" t="str">
        <f t="shared" ca="1" si="0"/>
        <v/>
      </c>
      <c r="I17" s="99" t="str">
        <f t="shared" ca="1" si="0"/>
        <v/>
      </c>
      <c r="J17" s="99" t="str">
        <f t="shared" ca="1" si="0"/>
        <v/>
      </c>
      <c r="K17" s="99" t="str">
        <f t="shared" ca="1" si="0"/>
        <v/>
      </c>
      <c r="L17" s="99" t="str">
        <f t="shared" ca="1" si="0"/>
        <v/>
      </c>
      <c r="P17" s="165"/>
      <c r="Q17" s="165"/>
      <c r="R17" s="165"/>
      <c r="S17" s="165"/>
      <c r="T17" s="165"/>
      <c r="U17" s="165"/>
      <c r="V17" s="165"/>
      <c r="W17" s="165"/>
      <c r="X17" s="165"/>
      <c r="Y17" s="165"/>
      <c r="Z17" s="165"/>
    </row>
    <row r="18" spans="2:26">
      <c r="B18" s="97" t="str">
        <f>IF(Calculation!BE23="","",Calculation!BE23)</f>
        <v/>
      </c>
      <c r="C18" s="99" t="str">
        <f t="shared" ca="1" si="0"/>
        <v/>
      </c>
      <c r="D18" s="99" t="str">
        <f t="shared" ca="1" si="0"/>
        <v/>
      </c>
      <c r="E18" s="99" t="str">
        <f t="shared" ca="1" si="0"/>
        <v/>
      </c>
      <c r="F18" s="99" t="str">
        <f t="shared" ca="1" si="0"/>
        <v/>
      </c>
      <c r="G18" s="99" t="str">
        <f t="shared" ca="1" si="0"/>
        <v/>
      </c>
      <c r="H18" s="99" t="str">
        <f t="shared" ca="1" si="0"/>
        <v/>
      </c>
      <c r="I18" s="99" t="str">
        <f t="shared" ca="1" si="0"/>
        <v/>
      </c>
      <c r="J18" s="99" t="str">
        <f t="shared" ca="1" si="0"/>
        <v/>
      </c>
      <c r="K18" s="99" t="str">
        <f t="shared" ca="1" si="0"/>
        <v/>
      </c>
      <c r="L18" s="99" t="str">
        <f t="shared" ca="1" si="0"/>
        <v/>
      </c>
      <c r="P18" s="165"/>
      <c r="Q18" s="165"/>
      <c r="R18" s="165"/>
      <c r="S18" s="165"/>
      <c r="T18" s="165"/>
      <c r="U18" s="165"/>
      <c r="V18" s="165"/>
      <c r="W18" s="165"/>
      <c r="X18" s="165"/>
      <c r="Y18" s="165"/>
      <c r="Z18" s="165"/>
    </row>
    <row r="19" spans="2:26">
      <c r="B19" s="97" t="str">
        <f>IF(Calculation!BE24="","",Calculation!BE24)</f>
        <v/>
      </c>
      <c r="C19" s="99" t="str">
        <f t="shared" ca="1" si="0"/>
        <v/>
      </c>
      <c r="D19" s="99" t="str">
        <f t="shared" ca="1" si="0"/>
        <v/>
      </c>
      <c r="E19" s="99" t="str">
        <f t="shared" ca="1" si="0"/>
        <v/>
      </c>
      <c r="F19" s="99" t="str">
        <f t="shared" ca="1" si="0"/>
        <v/>
      </c>
      <c r="G19" s="99" t="str">
        <f t="shared" ca="1" si="0"/>
        <v/>
      </c>
      <c r="H19" s="99" t="str">
        <f t="shared" ca="1" si="0"/>
        <v/>
      </c>
      <c r="I19" s="99" t="str">
        <f t="shared" ca="1" si="0"/>
        <v/>
      </c>
      <c r="J19" s="99" t="str">
        <f t="shared" ca="1" si="0"/>
        <v/>
      </c>
      <c r="K19" s="99" t="str">
        <f t="shared" ca="1" si="0"/>
        <v/>
      </c>
      <c r="L19" s="99" t="str">
        <f t="shared" ca="1" si="0"/>
        <v/>
      </c>
      <c r="P19" s="165"/>
      <c r="Q19" s="165"/>
      <c r="R19" s="165"/>
      <c r="S19" s="165"/>
      <c r="T19" s="165"/>
      <c r="U19" s="165"/>
      <c r="V19" s="165"/>
      <c r="W19" s="165"/>
      <c r="X19" s="165"/>
      <c r="Y19" s="165"/>
      <c r="Z19" s="165"/>
    </row>
    <row r="20" spans="2:26">
      <c r="B20" s="97" t="str">
        <f>IF(Calculation!BE25="","",Calculation!BE25)</f>
        <v/>
      </c>
      <c r="C20" s="99" t="str">
        <f t="shared" ca="1" si="0"/>
        <v/>
      </c>
      <c r="D20" s="99" t="str">
        <f t="shared" ca="1" si="0"/>
        <v/>
      </c>
      <c r="E20" s="99" t="str">
        <f t="shared" ca="1" si="0"/>
        <v/>
      </c>
      <c r="F20" s="99" t="str">
        <f t="shared" ca="1" si="0"/>
        <v/>
      </c>
      <c r="G20" s="99" t="str">
        <f t="shared" ca="1" si="0"/>
        <v/>
      </c>
      <c r="H20" s="99" t="str">
        <f t="shared" ca="1" si="0"/>
        <v/>
      </c>
      <c r="I20" s="99" t="str">
        <f t="shared" ca="1" si="0"/>
        <v/>
      </c>
      <c r="J20" s="99" t="str">
        <f t="shared" ca="1" si="0"/>
        <v/>
      </c>
      <c r="K20" s="99" t="str">
        <f t="shared" ca="1" si="0"/>
        <v/>
      </c>
      <c r="L20" s="99" t="str">
        <f t="shared" ca="1" si="0"/>
        <v/>
      </c>
      <c r="P20" s="165"/>
      <c r="Q20" s="165"/>
      <c r="R20" s="165"/>
      <c r="S20" s="165"/>
      <c r="T20" s="165"/>
      <c r="U20" s="165"/>
      <c r="V20" s="165"/>
      <c r="W20" s="165"/>
      <c r="X20" s="165"/>
      <c r="Y20" s="165"/>
      <c r="Z20" s="165"/>
    </row>
    <row r="21" spans="2:26">
      <c r="B21" s="97" t="str">
        <f>IF(Calculation!BE26="","",Calculation!BE26)</f>
        <v/>
      </c>
      <c r="C21" s="99" t="str">
        <f t="shared" ca="1" si="0"/>
        <v/>
      </c>
      <c r="D21" s="99" t="str">
        <f t="shared" ca="1" si="0"/>
        <v/>
      </c>
      <c r="E21" s="99" t="str">
        <f t="shared" ca="1" si="0"/>
        <v/>
      </c>
      <c r="F21" s="99" t="str">
        <f t="shared" ca="1" si="0"/>
        <v/>
      </c>
      <c r="G21" s="99" t="str">
        <f t="shared" ca="1" si="0"/>
        <v/>
      </c>
      <c r="H21" s="99" t="str">
        <f t="shared" ca="1" si="0"/>
        <v/>
      </c>
      <c r="I21" s="99" t="str">
        <f t="shared" ca="1" si="0"/>
        <v/>
      </c>
      <c r="J21" s="99" t="str">
        <f t="shared" ca="1" si="0"/>
        <v/>
      </c>
      <c r="K21" s="99" t="str">
        <f t="shared" ca="1" si="0"/>
        <v/>
      </c>
      <c r="L21" s="99" t="str">
        <f t="shared" ca="1" si="0"/>
        <v/>
      </c>
      <c r="P21" s="165"/>
      <c r="Q21" s="165"/>
      <c r="R21" s="165"/>
      <c r="S21" s="165"/>
      <c r="T21" s="165"/>
      <c r="U21" s="165"/>
      <c r="V21" s="165"/>
      <c r="W21" s="165"/>
      <c r="X21" s="165"/>
      <c r="Y21" s="165"/>
      <c r="Z21" s="165"/>
    </row>
    <row r="22" spans="2:26">
      <c r="B22" s="97" t="str">
        <f>IF(Calculation!BE27="","",Calculation!BE27)</f>
        <v/>
      </c>
      <c r="C22" s="99" t="str">
        <f t="shared" ref="C22:L37" ca="1" si="1">IF($M$4=0,"",VLOOKUP($B22,INDIRECT("$P$1:$Z$"&amp;$M$4),COLUMN()-1,0))</f>
        <v/>
      </c>
      <c r="D22" s="99" t="str">
        <f t="shared" ca="1" si="1"/>
        <v/>
      </c>
      <c r="E22" s="99" t="str">
        <f t="shared" ca="1" si="1"/>
        <v/>
      </c>
      <c r="F22" s="99" t="str">
        <f t="shared" ca="1" si="1"/>
        <v/>
      </c>
      <c r="G22" s="99" t="str">
        <f t="shared" ca="1" si="1"/>
        <v/>
      </c>
      <c r="H22" s="99" t="str">
        <f t="shared" ca="1" si="1"/>
        <v/>
      </c>
      <c r="I22" s="99" t="str">
        <f t="shared" ca="1" si="1"/>
        <v/>
      </c>
      <c r="J22" s="99" t="str">
        <f t="shared" ca="1" si="1"/>
        <v/>
      </c>
      <c r="K22" s="99" t="str">
        <f t="shared" ca="1" si="1"/>
        <v/>
      </c>
      <c r="L22" s="99" t="str">
        <f t="shared" ca="1" si="1"/>
        <v/>
      </c>
      <c r="P22" s="165"/>
      <c r="Q22" s="165"/>
      <c r="R22" s="165"/>
      <c r="S22" s="165"/>
      <c r="T22" s="165"/>
      <c r="U22" s="165"/>
      <c r="V22" s="165"/>
      <c r="W22" s="165"/>
      <c r="X22" s="165"/>
      <c r="Y22" s="165"/>
      <c r="Z22" s="165"/>
    </row>
    <row r="23" spans="2:26">
      <c r="B23" s="97" t="str">
        <f>IF(Calculation!BE28="","",Calculation!BE28)</f>
        <v/>
      </c>
      <c r="C23" s="99" t="str">
        <f t="shared" ca="1" si="1"/>
        <v/>
      </c>
      <c r="D23" s="99" t="str">
        <f t="shared" ca="1" si="1"/>
        <v/>
      </c>
      <c r="E23" s="99" t="str">
        <f t="shared" ca="1" si="1"/>
        <v/>
      </c>
      <c r="F23" s="99" t="str">
        <f t="shared" ca="1" si="1"/>
        <v/>
      </c>
      <c r="G23" s="99" t="str">
        <f t="shared" ca="1" si="1"/>
        <v/>
      </c>
      <c r="H23" s="99" t="str">
        <f t="shared" ca="1" si="1"/>
        <v/>
      </c>
      <c r="I23" s="99" t="str">
        <f t="shared" ca="1" si="1"/>
        <v/>
      </c>
      <c r="J23" s="99" t="str">
        <f t="shared" ca="1" si="1"/>
        <v/>
      </c>
      <c r="K23" s="99" t="str">
        <f t="shared" ca="1" si="1"/>
        <v/>
      </c>
      <c r="L23" s="99" t="str">
        <f t="shared" ca="1" si="1"/>
        <v/>
      </c>
      <c r="P23" s="165"/>
      <c r="Q23" s="165"/>
      <c r="R23" s="165"/>
      <c r="S23" s="165"/>
      <c r="T23" s="165"/>
      <c r="U23" s="165"/>
      <c r="V23" s="165"/>
      <c r="W23" s="165"/>
      <c r="X23" s="165"/>
      <c r="Y23" s="165"/>
      <c r="Z23" s="165"/>
    </row>
    <row r="24" spans="2:26">
      <c r="B24" s="97" t="str">
        <f>IF(Calculation!BE29="","",Calculation!BE29)</f>
        <v/>
      </c>
      <c r="C24" s="99" t="str">
        <f t="shared" ca="1" si="1"/>
        <v/>
      </c>
      <c r="D24" s="99" t="str">
        <f t="shared" ca="1" si="1"/>
        <v/>
      </c>
      <c r="E24" s="99" t="str">
        <f t="shared" ca="1" si="1"/>
        <v/>
      </c>
      <c r="F24" s="99" t="str">
        <f t="shared" ca="1" si="1"/>
        <v/>
      </c>
      <c r="G24" s="99" t="str">
        <f t="shared" ca="1" si="1"/>
        <v/>
      </c>
      <c r="H24" s="99" t="str">
        <f t="shared" ca="1" si="1"/>
        <v/>
      </c>
      <c r="I24" s="99" t="str">
        <f t="shared" ca="1" si="1"/>
        <v/>
      </c>
      <c r="J24" s="99" t="str">
        <f t="shared" ca="1" si="1"/>
        <v/>
      </c>
      <c r="K24" s="99" t="str">
        <f t="shared" ca="1" si="1"/>
        <v/>
      </c>
      <c r="L24" s="99" t="str">
        <f t="shared" ca="1" si="1"/>
        <v/>
      </c>
      <c r="P24" s="165"/>
      <c r="Q24" s="165"/>
      <c r="R24" s="165"/>
      <c r="S24" s="165"/>
      <c r="T24" s="165"/>
      <c r="U24" s="165"/>
      <c r="V24" s="165"/>
      <c r="W24" s="165"/>
      <c r="X24" s="165"/>
      <c r="Y24" s="165"/>
      <c r="Z24" s="165"/>
    </row>
    <row r="25" spans="2:26">
      <c r="B25" s="97" t="str">
        <f>IF(Calculation!BE30="","",Calculation!BE30)</f>
        <v/>
      </c>
      <c r="C25" s="99" t="str">
        <f t="shared" ca="1" si="1"/>
        <v/>
      </c>
      <c r="D25" s="99" t="str">
        <f t="shared" ca="1" si="1"/>
        <v/>
      </c>
      <c r="E25" s="99" t="str">
        <f t="shared" ca="1" si="1"/>
        <v/>
      </c>
      <c r="F25" s="99" t="str">
        <f t="shared" ca="1" si="1"/>
        <v/>
      </c>
      <c r="G25" s="99" t="str">
        <f t="shared" ca="1" si="1"/>
        <v/>
      </c>
      <c r="H25" s="99" t="str">
        <f t="shared" ca="1" si="1"/>
        <v/>
      </c>
      <c r="I25" s="99" t="str">
        <f t="shared" ca="1" si="1"/>
        <v/>
      </c>
      <c r="J25" s="99" t="str">
        <f t="shared" ca="1" si="1"/>
        <v/>
      </c>
      <c r="K25" s="99" t="str">
        <f t="shared" ca="1" si="1"/>
        <v/>
      </c>
      <c r="L25" s="99" t="str">
        <f t="shared" ca="1" si="1"/>
        <v/>
      </c>
      <c r="P25" s="165"/>
      <c r="Q25" s="165"/>
      <c r="R25" s="165"/>
      <c r="S25" s="165"/>
      <c r="T25" s="165"/>
      <c r="U25" s="165"/>
      <c r="V25" s="165"/>
      <c r="W25" s="165"/>
      <c r="X25" s="165"/>
      <c r="Y25" s="165"/>
      <c r="Z25" s="165"/>
    </row>
    <row r="26" spans="2:26">
      <c r="B26" s="97" t="str">
        <f>IF(Calculation!BE31="","",Calculation!BE31)</f>
        <v/>
      </c>
      <c r="C26" s="99" t="str">
        <f t="shared" ca="1" si="1"/>
        <v/>
      </c>
      <c r="D26" s="99" t="str">
        <f t="shared" ca="1" si="1"/>
        <v/>
      </c>
      <c r="E26" s="99" t="str">
        <f t="shared" ca="1" si="1"/>
        <v/>
      </c>
      <c r="F26" s="99" t="str">
        <f t="shared" ca="1" si="1"/>
        <v/>
      </c>
      <c r="G26" s="99" t="str">
        <f t="shared" ca="1" si="1"/>
        <v/>
      </c>
      <c r="H26" s="99" t="str">
        <f t="shared" ca="1" si="1"/>
        <v/>
      </c>
      <c r="I26" s="99" t="str">
        <f t="shared" ca="1" si="1"/>
        <v/>
      </c>
      <c r="J26" s="99" t="str">
        <f t="shared" ca="1" si="1"/>
        <v/>
      </c>
      <c r="K26" s="99" t="str">
        <f t="shared" ca="1" si="1"/>
        <v/>
      </c>
      <c r="L26" s="99" t="str">
        <f t="shared" ca="1" si="1"/>
        <v/>
      </c>
      <c r="P26" s="165"/>
      <c r="Q26" s="165"/>
      <c r="R26" s="165"/>
      <c r="S26" s="165"/>
      <c r="T26" s="165"/>
      <c r="U26" s="165"/>
      <c r="V26" s="165"/>
      <c r="W26" s="165"/>
      <c r="X26" s="165"/>
      <c r="Y26" s="165"/>
      <c r="Z26" s="165"/>
    </row>
    <row r="27" spans="2:26">
      <c r="B27" s="97" t="str">
        <f>IF(Calculation!BE32="","",Calculation!BE32)</f>
        <v/>
      </c>
      <c r="C27" s="99" t="str">
        <f t="shared" ca="1" si="1"/>
        <v/>
      </c>
      <c r="D27" s="99" t="str">
        <f t="shared" ca="1" si="1"/>
        <v/>
      </c>
      <c r="E27" s="99" t="str">
        <f t="shared" ca="1" si="1"/>
        <v/>
      </c>
      <c r="F27" s="99" t="str">
        <f t="shared" ca="1" si="1"/>
        <v/>
      </c>
      <c r="G27" s="99" t="str">
        <f t="shared" ca="1" si="1"/>
        <v/>
      </c>
      <c r="H27" s="99" t="str">
        <f t="shared" ca="1" si="1"/>
        <v/>
      </c>
      <c r="I27" s="99" t="str">
        <f t="shared" ca="1" si="1"/>
        <v/>
      </c>
      <c r="J27" s="99" t="str">
        <f t="shared" ca="1" si="1"/>
        <v/>
      </c>
      <c r="K27" s="99" t="str">
        <f t="shared" ca="1" si="1"/>
        <v/>
      </c>
      <c r="L27" s="99" t="str">
        <f t="shared" ca="1" si="1"/>
        <v/>
      </c>
      <c r="P27" s="165"/>
      <c r="Q27" s="165"/>
      <c r="R27" s="165"/>
      <c r="S27" s="165"/>
      <c r="T27" s="165"/>
      <c r="U27" s="165"/>
      <c r="V27" s="165"/>
      <c r="W27" s="165"/>
      <c r="X27" s="165"/>
      <c r="Y27" s="165"/>
      <c r="Z27" s="165"/>
    </row>
    <row r="28" spans="2:26">
      <c r="B28" s="97" t="str">
        <f>IF(Calculation!BE33="","",Calculation!BE33)</f>
        <v/>
      </c>
      <c r="C28" s="99" t="str">
        <f t="shared" ca="1" si="1"/>
        <v/>
      </c>
      <c r="D28" s="99" t="str">
        <f t="shared" ca="1" si="1"/>
        <v/>
      </c>
      <c r="E28" s="99" t="str">
        <f t="shared" ca="1" si="1"/>
        <v/>
      </c>
      <c r="F28" s="99" t="str">
        <f t="shared" ca="1" si="1"/>
        <v/>
      </c>
      <c r="G28" s="99" t="str">
        <f t="shared" ca="1" si="1"/>
        <v/>
      </c>
      <c r="H28" s="99" t="str">
        <f t="shared" ca="1" si="1"/>
        <v/>
      </c>
      <c r="I28" s="99" t="str">
        <f t="shared" ca="1" si="1"/>
        <v/>
      </c>
      <c r="J28" s="99" t="str">
        <f t="shared" ca="1" si="1"/>
        <v/>
      </c>
      <c r="K28" s="99" t="str">
        <f t="shared" ca="1" si="1"/>
        <v/>
      </c>
      <c r="L28" s="99" t="str">
        <f t="shared" ca="1" si="1"/>
        <v/>
      </c>
      <c r="P28" s="165"/>
      <c r="Q28" s="165"/>
      <c r="R28" s="165"/>
      <c r="S28" s="165"/>
      <c r="T28" s="165"/>
      <c r="U28" s="165"/>
      <c r="V28" s="165"/>
      <c r="W28" s="165"/>
      <c r="X28" s="165"/>
      <c r="Y28" s="165"/>
      <c r="Z28" s="165"/>
    </row>
    <row r="29" spans="2:26">
      <c r="B29" s="97" t="str">
        <f>IF(Calculation!BE34="","",Calculation!BE34)</f>
        <v/>
      </c>
      <c r="C29" s="99" t="str">
        <f t="shared" ca="1" si="1"/>
        <v/>
      </c>
      <c r="D29" s="99" t="str">
        <f t="shared" ca="1" si="1"/>
        <v/>
      </c>
      <c r="E29" s="99" t="str">
        <f t="shared" ca="1" si="1"/>
        <v/>
      </c>
      <c r="F29" s="99" t="str">
        <f t="shared" ca="1" si="1"/>
        <v/>
      </c>
      <c r="G29" s="99" t="str">
        <f t="shared" ca="1" si="1"/>
        <v/>
      </c>
      <c r="H29" s="99" t="str">
        <f t="shared" ca="1" si="1"/>
        <v/>
      </c>
      <c r="I29" s="99" t="str">
        <f t="shared" ca="1" si="1"/>
        <v/>
      </c>
      <c r="J29" s="99" t="str">
        <f t="shared" ca="1" si="1"/>
        <v/>
      </c>
      <c r="K29" s="99" t="str">
        <f t="shared" ca="1" si="1"/>
        <v/>
      </c>
      <c r="L29" s="99" t="str">
        <f t="shared" ca="1" si="1"/>
        <v/>
      </c>
      <c r="P29" s="165"/>
      <c r="Q29" s="165"/>
      <c r="R29" s="165"/>
      <c r="S29" s="165"/>
      <c r="T29" s="165"/>
      <c r="U29" s="165"/>
      <c r="V29" s="165"/>
      <c r="W29" s="165"/>
      <c r="X29" s="165"/>
      <c r="Y29" s="165"/>
      <c r="Z29" s="165"/>
    </row>
    <row r="30" spans="2:26">
      <c r="B30" s="97" t="str">
        <f>IF(Calculation!BE35="","",Calculation!BE35)</f>
        <v/>
      </c>
      <c r="C30" s="99" t="str">
        <f t="shared" ca="1" si="1"/>
        <v/>
      </c>
      <c r="D30" s="99" t="str">
        <f t="shared" ca="1" si="1"/>
        <v/>
      </c>
      <c r="E30" s="99" t="str">
        <f t="shared" ca="1" si="1"/>
        <v/>
      </c>
      <c r="F30" s="99" t="str">
        <f t="shared" ca="1" si="1"/>
        <v/>
      </c>
      <c r="G30" s="99" t="str">
        <f t="shared" ca="1" si="1"/>
        <v/>
      </c>
      <c r="H30" s="99" t="str">
        <f t="shared" ca="1" si="1"/>
        <v/>
      </c>
      <c r="I30" s="99" t="str">
        <f t="shared" ca="1" si="1"/>
        <v/>
      </c>
      <c r="J30" s="99" t="str">
        <f t="shared" ca="1" si="1"/>
        <v/>
      </c>
      <c r="K30" s="99" t="str">
        <f t="shared" ca="1" si="1"/>
        <v/>
      </c>
      <c r="L30" s="99" t="str">
        <f t="shared" ca="1" si="1"/>
        <v/>
      </c>
      <c r="P30" s="165"/>
      <c r="Q30" s="165"/>
      <c r="R30" s="165"/>
      <c r="S30" s="165"/>
      <c r="T30" s="165"/>
      <c r="U30" s="165"/>
      <c r="V30" s="165"/>
      <c r="W30" s="165"/>
      <c r="X30" s="165"/>
      <c r="Y30" s="165"/>
      <c r="Z30" s="165"/>
    </row>
    <row r="31" spans="2:26">
      <c r="B31" s="97" t="str">
        <f>IF(Calculation!BE36="","",Calculation!BE36)</f>
        <v/>
      </c>
      <c r="C31" s="99" t="str">
        <f t="shared" ca="1" si="1"/>
        <v/>
      </c>
      <c r="D31" s="99" t="str">
        <f t="shared" ca="1" si="1"/>
        <v/>
      </c>
      <c r="E31" s="99" t="str">
        <f t="shared" ca="1" si="1"/>
        <v/>
      </c>
      <c r="F31" s="99" t="str">
        <f t="shared" ca="1" si="1"/>
        <v/>
      </c>
      <c r="G31" s="99" t="str">
        <f t="shared" ca="1" si="1"/>
        <v/>
      </c>
      <c r="H31" s="99" t="str">
        <f t="shared" ca="1" si="1"/>
        <v/>
      </c>
      <c r="I31" s="99" t="str">
        <f t="shared" ca="1" si="1"/>
        <v/>
      </c>
      <c r="J31" s="99" t="str">
        <f t="shared" ca="1" si="1"/>
        <v/>
      </c>
      <c r="K31" s="99" t="str">
        <f t="shared" ca="1" si="1"/>
        <v/>
      </c>
      <c r="L31" s="99" t="str">
        <f t="shared" ca="1" si="1"/>
        <v/>
      </c>
      <c r="P31" s="165"/>
      <c r="Q31" s="165"/>
      <c r="R31" s="165"/>
      <c r="S31" s="165"/>
      <c r="T31" s="165"/>
      <c r="U31" s="165"/>
      <c r="V31" s="165"/>
      <c r="W31" s="165"/>
      <c r="X31" s="165"/>
      <c r="Y31" s="165"/>
      <c r="Z31" s="165"/>
    </row>
    <row r="32" spans="2:26">
      <c r="B32" s="97" t="str">
        <f>IF(Calculation!BE37="","",Calculation!BE37)</f>
        <v/>
      </c>
      <c r="C32" s="99" t="str">
        <f t="shared" ca="1" si="1"/>
        <v/>
      </c>
      <c r="D32" s="99" t="str">
        <f t="shared" ca="1" si="1"/>
        <v/>
      </c>
      <c r="E32" s="99" t="str">
        <f t="shared" ca="1" si="1"/>
        <v/>
      </c>
      <c r="F32" s="99" t="str">
        <f t="shared" ca="1" si="1"/>
        <v/>
      </c>
      <c r="G32" s="99" t="str">
        <f t="shared" ca="1" si="1"/>
        <v/>
      </c>
      <c r="H32" s="99" t="str">
        <f t="shared" ca="1" si="1"/>
        <v/>
      </c>
      <c r="I32" s="99" t="str">
        <f t="shared" ca="1" si="1"/>
        <v/>
      </c>
      <c r="J32" s="99" t="str">
        <f t="shared" ca="1" si="1"/>
        <v/>
      </c>
      <c r="K32" s="99" t="str">
        <f t="shared" ca="1" si="1"/>
        <v/>
      </c>
      <c r="L32" s="99" t="str">
        <f t="shared" ca="1" si="1"/>
        <v/>
      </c>
      <c r="P32" s="165"/>
      <c r="Q32" s="165"/>
      <c r="R32" s="165"/>
      <c r="S32" s="165"/>
      <c r="T32" s="165"/>
      <c r="U32" s="165"/>
      <c r="V32" s="165"/>
      <c r="W32" s="165"/>
      <c r="X32" s="165"/>
      <c r="Y32" s="165"/>
      <c r="Z32" s="165"/>
    </row>
    <row r="33" spans="2:26">
      <c r="B33" s="97" t="str">
        <f>IF(Calculation!BE38="","",Calculation!BE38)</f>
        <v/>
      </c>
      <c r="C33" s="99" t="str">
        <f t="shared" ca="1" si="1"/>
        <v/>
      </c>
      <c r="D33" s="99" t="str">
        <f t="shared" ca="1" si="1"/>
        <v/>
      </c>
      <c r="E33" s="99" t="str">
        <f t="shared" ca="1" si="1"/>
        <v/>
      </c>
      <c r="F33" s="99" t="str">
        <f t="shared" ca="1" si="1"/>
        <v/>
      </c>
      <c r="G33" s="99" t="str">
        <f t="shared" ca="1" si="1"/>
        <v/>
      </c>
      <c r="H33" s="99" t="str">
        <f t="shared" ca="1" si="1"/>
        <v/>
      </c>
      <c r="I33" s="99" t="str">
        <f t="shared" ca="1" si="1"/>
        <v/>
      </c>
      <c r="J33" s="99" t="str">
        <f t="shared" ca="1" si="1"/>
        <v/>
      </c>
      <c r="K33" s="99" t="str">
        <f t="shared" ca="1" si="1"/>
        <v/>
      </c>
      <c r="L33" s="99" t="str">
        <f t="shared" ca="1" si="1"/>
        <v/>
      </c>
      <c r="P33" s="165"/>
      <c r="Q33" s="165"/>
      <c r="R33" s="165"/>
      <c r="S33" s="165"/>
      <c r="T33" s="165"/>
      <c r="U33" s="165"/>
      <c r="V33" s="165"/>
      <c r="W33" s="165"/>
      <c r="X33" s="165"/>
      <c r="Y33" s="165"/>
      <c r="Z33" s="165"/>
    </row>
    <row r="34" spans="2:26">
      <c r="B34" s="97" t="str">
        <f>IF(Calculation!BE39="","",Calculation!BE39)</f>
        <v/>
      </c>
      <c r="C34" s="99" t="str">
        <f t="shared" ca="1" si="1"/>
        <v/>
      </c>
      <c r="D34" s="99" t="str">
        <f t="shared" ca="1" si="1"/>
        <v/>
      </c>
      <c r="E34" s="99" t="str">
        <f t="shared" ca="1" si="1"/>
        <v/>
      </c>
      <c r="F34" s="99" t="str">
        <f t="shared" ca="1" si="1"/>
        <v/>
      </c>
      <c r="G34" s="99" t="str">
        <f t="shared" ca="1" si="1"/>
        <v/>
      </c>
      <c r="H34" s="99" t="str">
        <f t="shared" ca="1" si="1"/>
        <v/>
      </c>
      <c r="I34" s="99" t="str">
        <f t="shared" ca="1" si="1"/>
        <v/>
      </c>
      <c r="J34" s="99" t="str">
        <f t="shared" ca="1" si="1"/>
        <v/>
      </c>
      <c r="K34" s="99" t="str">
        <f t="shared" ca="1" si="1"/>
        <v/>
      </c>
      <c r="L34" s="99" t="str">
        <f t="shared" ca="1" si="1"/>
        <v/>
      </c>
      <c r="P34" s="165"/>
      <c r="Q34" s="165"/>
      <c r="R34" s="165"/>
      <c r="S34" s="165"/>
      <c r="T34" s="165"/>
      <c r="U34" s="165"/>
      <c r="V34" s="165"/>
      <c r="W34" s="165"/>
      <c r="X34" s="165"/>
      <c r="Y34" s="165"/>
      <c r="Z34" s="165"/>
    </row>
    <row r="35" spans="2:26">
      <c r="B35" s="97" t="str">
        <f>IF(Calculation!BE40="","",Calculation!BE40)</f>
        <v/>
      </c>
      <c r="C35" s="99" t="str">
        <f t="shared" ca="1" si="1"/>
        <v/>
      </c>
      <c r="D35" s="99" t="str">
        <f t="shared" ca="1" si="1"/>
        <v/>
      </c>
      <c r="E35" s="99" t="str">
        <f t="shared" ca="1" si="1"/>
        <v/>
      </c>
      <c r="F35" s="99" t="str">
        <f t="shared" ca="1" si="1"/>
        <v/>
      </c>
      <c r="G35" s="99" t="str">
        <f t="shared" ca="1" si="1"/>
        <v/>
      </c>
      <c r="H35" s="99" t="str">
        <f t="shared" ca="1" si="1"/>
        <v/>
      </c>
      <c r="I35" s="99" t="str">
        <f t="shared" ca="1" si="1"/>
        <v/>
      </c>
      <c r="J35" s="99" t="str">
        <f t="shared" ca="1" si="1"/>
        <v/>
      </c>
      <c r="K35" s="99" t="str">
        <f t="shared" ca="1" si="1"/>
        <v/>
      </c>
      <c r="L35" s="99" t="str">
        <f t="shared" ca="1" si="1"/>
        <v/>
      </c>
      <c r="P35" s="165"/>
      <c r="Q35" s="165"/>
      <c r="R35" s="165"/>
      <c r="S35" s="165"/>
      <c r="T35" s="165"/>
      <c r="U35" s="165"/>
      <c r="V35" s="165"/>
      <c r="W35" s="165"/>
      <c r="X35" s="165"/>
      <c r="Y35" s="165"/>
      <c r="Z35" s="165"/>
    </row>
    <row r="36" spans="2:26">
      <c r="B36" s="97" t="str">
        <f>IF(Calculation!BE41="","",Calculation!BE41)</f>
        <v/>
      </c>
      <c r="C36" s="99" t="str">
        <f t="shared" ca="1" si="1"/>
        <v/>
      </c>
      <c r="D36" s="99" t="str">
        <f t="shared" ca="1" si="1"/>
        <v/>
      </c>
      <c r="E36" s="99" t="str">
        <f t="shared" ca="1" si="1"/>
        <v/>
      </c>
      <c r="F36" s="99" t="str">
        <f t="shared" ca="1" si="1"/>
        <v/>
      </c>
      <c r="G36" s="99" t="str">
        <f t="shared" ca="1" si="1"/>
        <v/>
      </c>
      <c r="H36" s="99" t="str">
        <f t="shared" ca="1" si="1"/>
        <v/>
      </c>
      <c r="I36" s="99" t="str">
        <f t="shared" ca="1" si="1"/>
        <v/>
      </c>
      <c r="J36" s="99" t="str">
        <f t="shared" ca="1" si="1"/>
        <v/>
      </c>
      <c r="K36" s="99" t="str">
        <f t="shared" ca="1" si="1"/>
        <v/>
      </c>
      <c r="L36" s="99" t="str">
        <f t="shared" ca="1" si="1"/>
        <v/>
      </c>
      <c r="P36" s="165"/>
      <c r="Q36" s="165"/>
      <c r="R36" s="165"/>
      <c r="S36" s="165"/>
      <c r="T36" s="165"/>
      <c r="U36" s="165"/>
      <c r="V36" s="165"/>
      <c r="W36" s="165"/>
      <c r="X36" s="165"/>
      <c r="Y36" s="165"/>
      <c r="Z36" s="165"/>
    </row>
    <row r="37" spans="2:26">
      <c r="B37" s="97" t="str">
        <f>IF(Calculation!BE42="","",Calculation!BE42)</f>
        <v/>
      </c>
      <c r="C37" s="99" t="str">
        <f t="shared" ca="1" si="1"/>
        <v/>
      </c>
      <c r="D37" s="99" t="str">
        <f t="shared" ca="1" si="1"/>
        <v/>
      </c>
      <c r="E37" s="99" t="str">
        <f t="shared" ca="1" si="1"/>
        <v/>
      </c>
      <c r="F37" s="99" t="str">
        <f t="shared" ca="1" si="1"/>
        <v/>
      </c>
      <c r="G37" s="99" t="str">
        <f t="shared" ca="1" si="1"/>
        <v/>
      </c>
      <c r="H37" s="99" t="str">
        <f t="shared" ca="1" si="1"/>
        <v/>
      </c>
      <c r="I37" s="99" t="str">
        <f t="shared" ca="1" si="1"/>
        <v/>
      </c>
      <c r="J37" s="99" t="str">
        <f t="shared" ca="1" si="1"/>
        <v/>
      </c>
      <c r="K37" s="99" t="str">
        <f t="shared" ca="1" si="1"/>
        <v/>
      </c>
      <c r="L37" s="99" t="str">
        <f t="shared" ca="1" si="1"/>
        <v/>
      </c>
      <c r="P37" s="165"/>
      <c r="Q37" s="165"/>
      <c r="R37" s="165"/>
      <c r="S37" s="165"/>
      <c r="T37" s="165"/>
      <c r="U37" s="165"/>
      <c r="V37" s="165"/>
      <c r="W37" s="165"/>
      <c r="X37" s="165"/>
      <c r="Y37" s="165"/>
      <c r="Z37" s="165"/>
    </row>
    <row r="38" spans="2:26">
      <c r="B38" s="97" t="str">
        <f>IF(Calculation!BE43="","",Calculation!BE43)</f>
        <v/>
      </c>
      <c r="C38" s="99" t="str">
        <f t="shared" ref="C38:L53" ca="1" si="2">IF($M$4=0,"",VLOOKUP($B38,INDIRECT("$P$1:$Z$"&amp;$M$4),COLUMN()-1,0))</f>
        <v/>
      </c>
      <c r="D38" s="99" t="str">
        <f t="shared" ca="1" si="2"/>
        <v/>
      </c>
      <c r="E38" s="99" t="str">
        <f t="shared" ca="1" si="2"/>
        <v/>
      </c>
      <c r="F38" s="99" t="str">
        <f t="shared" ca="1" si="2"/>
        <v/>
      </c>
      <c r="G38" s="99" t="str">
        <f t="shared" ca="1" si="2"/>
        <v/>
      </c>
      <c r="H38" s="99" t="str">
        <f t="shared" ca="1" si="2"/>
        <v/>
      </c>
      <c r="I38" s="99" t="str">
        <f t="shared" ca="1" si="2"/>
        <v/>
      </c>
      <c r="J38" s="99" t="str">
        <f t="shared" ca="1" si="2"/>
        <v/>
      </c>
      <c r="K38" s="99" t="str">
        <f t="shared" ca="1" si="2"/>
        <v/>
      </c>
      <c r="L38" s="99" t="str">
        <f t="shared" ca="1" si="2"/>
        <v/>
      </c>
      <c r="P38" s="165"/>
      <c r="Q38" s="165"/>
      <c r="R38" s="165"/>
      <c r="S38" s="165"/>
      <c r="T38" s="165"/>
      <c r="U38" s="165"/>
      <c r="V38" s="165"/>
      <c r="W38" s="165"/>
      <c r="X38" s="165"/>
      <c r="Y38" s="165"/>
      <c r="Z38" s="165"/>
    </row>
    <row r="39" spans="2:26">
      <c r="B39" s="97" t="str">
        <f>IF(Calculation!BE44="","",Calculation!BE44)</f>
        <v/>
      </c>
      <c r="C39" s="99" t="str">
        <f t="shared" ca="1" si="2"/>
        <v/>
      </c>
      <c r="D39" s="99" t="str">
        <f t="shared" ca="1" si="2"/>
        <v/>
      </c>
      <c r="E39" s="99" t="str">
        <f t="shared" ca="1" si="2"/>
        <v/>
      </c>
      <c r="F39" s="99" t="str">
        <f t="shared" ca="1" si="2"/>
        <v/>
      </c>
      <c r="G39" s="99" t="str">
        <f t="shared" ca="1" si="2"/>
        <v/>
      </c>
      <c r="H39" s="99" t="str">
        <f t="shared" ca="1" si="2"/>
        <v/>
      </c>
      <c r="I39" s="99" t="str">
        <f t="shared" ca="1" si="2"/>
        <v/>
      </c>
      <c r="J39" s="99" t="str">
        <f t="shared" ca="1" si="2"/>
        <v/>
      </c>
      <c r="K39" s="99" t="str">
        <f t="shared" ca="1" si="2"/>
        <v/>
      </c>
      <c r="L39" s="99" t="str">
        <f t="shared" ca="1" si="2"/>
        <v/>
      </c>
      <c r="P39" s="165"/>
      <c r="Q39" s="165"/>
      <c r="R39" s="165"/>
      <c r="S39" s="165"/>
      <c r="T39" s="165"/>
      <c r="U39" s="165"/>
      <c r="V39" s="165"/>
      <c r="W39" s="165"/>
      <c r="X39" s="165"/>
      <c r="Y39" s="165"/>
      <c r="Z39" s="165"/>
    </row>
    <row r="40" spans="2:26">
      <c r="B40" s="97" t="str">
        <f>IF(Calculation!BE45="","",Calculation!BE45)</f>
        <v/>
      </c>
      <c r="C40" s="99" t="str">
        <f t="shared" ca="1" si="2"/>
        <v/>
      </c>
      <c r="D40" s="99" t="str">
        <f t="shared" ca="1" si="2"/>
        <v/>
      </c>
      <c r="E40" s="99" t="str">
        <f t="shared" ca="1" si="2"/>
        <v/>
      </c>
      <c r="F40" s="99" t="str">
        <f t="shared" ca="1" si="2"/>
        <v/>
      </c>
      <c r="G40" s="99" t="str">
        <f t="shared" ca="1" si="2"/>
        <v/>
      </c>
      <c r="H40" s="99" t="str">
        <f t="shared" ca="1" si="2"/>
        <v/>
      </c>
      <c r="I40" s="99" t="str">
        <f t="shared" ca="1" si="2"/>
        <v/>
      </c>
      <c r="J40" s="99" t="str">
        <f t="shared" ca="1" si="2"/>
        <v/>
      </c>
      <c r="K40" s="99" t="str">
        <f t="shared" ca="1" si="2"/>
        <v/>
      </c>
      <c r="L40" s="99" t="str">
        <f t="shared" ca="1" si="2"/>
        <v/>
      </c>
      <c r="P40" s="165"/>
      <c r="Q40" s="165"/>
      <c r="R40" s="165"/>
      <c r="S40" s="165"/>
      <c r="T40" s="165"/>
      <c r="U40" s="165"/>
      <c r="V40" s="165"/>
      <c r="W40" s="165"/>
      <c r="X40" s="165"/>
      <c r="Y40" s="165"/>
      <c r="Z40" s="165"/>
    </row>
    <row r="41" spans="2:26">
      <c r="B41" s="97" t="str">
        <f>IF(Calculation!BE47="","",Calculation!BE47)</f>
        <v/>
      </c>
      <c r="C41" s="99" t="str">
        <f t="shared" ca="1" si="2"/>
        <v/>
      </c>
      <c r="D41" s="99" t="str">
        <f t="shared" ca="1" si="2"/>
        <v/>
      </c>
      <c r="E41" s="99" t="str">
        <f t="shared" ca="1" si="2"/>
        <v/>
      </c>
      <c r="F41" s="99" t="str">
        <f t="shared" ca="1" si="2"/>
        <v/>
      </c>
      <c r="G41" s="99" t="str">
        <f t="shared" ca="1" si="2"/>
        <v/>
      </c>
      <c r="H41" s="99" t="str">
        <f t="shared" ca="1" si="2"/>
        <v/>
      </c>
      <c r="I41" s="99" t="str">
        <f t="shared" ca="1" si="2"/>
        <v/>
      </c>
      <c r="J41" s="99" t="str">
        <f t="shared" ca="1" si="2"/>
        <v/>
      </c>
      <c r="K41" s="99" t="str">
        <f t="shared" ca="1" si="2"/>
        <v/>
      </c>
      <c r="L41" s="99" t="str">
        <f t="shared" ca="1" si="2"/>
        <v/>
      </c>
      <c r="P41" s="165"/>
      <c r="Q41" s="165"/>
      <c r="R41" s="165"/>
      <c r="S41" s="165"/>
      <c r="T41" s="165"/>
      <c r="U41" s="165"/>
      <c r="V41" s="165"/>
      <c r="W41" s="165"/>
      <c r="X41" s="165"/>
      <c r="Y41" s="165"/>
      <c r="Z41" s="165"/>
    </row>
    <row r="42" spans="2:26">
      <c r="B42" s="97" t="str">
        <f>IF(Calculation!BE48="","",Calculation!BE48)</f>
        <v/>
      </c>
      <c r="C42" s="99" t="str">
        <f t="shared" ca="1" si="2"/>
        <v/>
      </c>
      <c r="D42" s="99" t="str">
        <f t="shared" ca="1" si="2"/>
        <v/>
      </c>
      <c r="E42" s="99" t="str">
        <f t="shared" ca="1" si="2"/>
        <v/>
      </c>
      <c r="F42" s="99" t="str">
        <f t="shared" ca="1" si="2"/>
        <v/>
      </c>
      <c r="G42" s="99" t="str">
        <f t="shared" ca="1" si="2"/>
        <v/>
      </c>
      <c r="H42" s="99" t="str">
        <f t="shared" ca="1" si="2"/>
        <v/>
      </c>
      <c r="I42" s="99" t="str">
        <f t="shared" ca="1" si="2"/>
        <v/>
      </c>
      <c r="J42" s="99" t="str">
        <f t="shared" ca="1" si="2"/>
        <v/>
      </c>
      <c r="K42" s="99" t="str">
        <f t="shared" ca="1" si="2"/>
        <v/>
      </c>
      <c r="L42" s="99" t="str">
        <f t="shared" ca="1" si="2"/>
        <v/>
      </c>
      <c r="P42" s="165"/>
      <c r="Q42" s="165"/>
      <c r="R42" s="165"/>
      <c r="S42" s="165"/>
      <c r="T42" s="165"/>
      <c r="U42" s="165"/>
      <c r="V42" s="165"/>
      <c r="W42" s="165"/>
      <c r="X42" s="165"/>
      <c r="Y42" s="165"/>
      <c r="Z42" s="165"/>
    </row>
    <row r="43" spans="2:26">
      <c r="B43" s="97" t="str">
        <f>IF(Calculation!BE49="","",Calculation!BE49)</f>
        <v/>
      </c>
      <c r="C43" s="99" t="str">
        <f t="shared" ca="1" si="2"/>
        <v/>
      </c>
      <c r="D43" s="99" t="str">
        <f t="shared" ca="1" si="2"/>
        <v/>
      </c>
      <c r="E43" s="99" t="str">
        <f t="shared" ca="1" si="2"/>
        <v/>
      </c>
      <c r="F43" s="99" t="str">
        <f t="shared" ca="1" si="2"/>
        <v/>
      </c>
      <c r="G43" s="99" t="str">
        <f t="shared" ca="1" si="2"/>
        <v/>
      </c>
      <c r="H43" s="99" t="str">
        <f t="shared" ca="1" si="2"/>
        <v/>
      </c>
      <c r="I43" s="99" t="str">
        <f t="shared" ca="1" si="2"/>
        <v/>
      </c>
      <c r="J43" s="99" t="str">
        <f t="shared" ca="1" si="2"/>
        <v/>
      </c>
      <c r="K43" s="99" t="str">
        <f t="shared" ca="1" si="2"/>
        <v/>
      </c>
      <c r="L43" s="99" t="str">
        <f t="shared" ca="1" si="2"/>
        <v/>
      </c>
      <c r="P43" s="165"/>
      <c r="Q43" s="165"/>
      <c r="R43" s="165"/>
      <c r="S43" s="165"/>
      <c r="T43" s="165"/>
      <c r="U43" s="165"/>
      <c r="V43" s="165"/>
      <c r="W43" s="165"/>
      <c r="X43" s="165"/>
      <c r="Y43" s="165"/>
      <c r="Z43" s="165"/>
    </row>
    <row r="44" spans="2:26">
      <c r="B44" s="97" t="str">
        <f>IF(Calculation!BE50="","",Calculation!BE50)</f>
        <v/>
      </c>
      <c r="C44" s="99" t="str">
        <f t="shared" ca="1" si="2"/>
        <v/>
      </c>
      <c r="D44" s="99" t="str">
        <f t="shared" ca="1" si="2"/>
        <v/>
      </c>
      <c r="E44" s="99" t="str">
        <f t="shared" ca="1" si="2"/>
        <v/>
      </c>
      <c r="F44" s="99" t="str">
        <f t="shared" ca="1" si="2"/>
        <v/>
      </c>
      <c r="G44" s="99" t="str">
        <f t="shared" ca="1" si="2"/>
        <v/>
      </c>
      <c r="H44" s="99" t="str">
        <f t="shared" ca="1" si="2"/>
        <v/>
      </c>
      <c r="I44" s="99" t="str">
        <f t="shared" ca="1" si="2"/>
        <v/>
      </c>
      <c r="J44" s="99" t="str">
        <f t="shared" ca="1" si="2"/>
        <v/>
      </c>
      <c r="K44" s="99" t="str">
        <f t="shared" ca="1" si="2"/>
        <v/>
      </c>
      <c r="L44" s="99" t="str">
        <f t="shared" ca="1" si="2"/>
        <v/>
      </c>
      <c r="P44" s="165"/>
      <c r="Q44" s="165"/>
      <c r="R44" s="165"/>
      <c r="S44" s="165"/>
      <c r="T44" s="165"/>
      <c r="U44" s="165"/>
      <c r="V44" s="165"/>
      <c r="W44" s="165"/>
      <c r="X44" s="165"/>
      <c r="Y44" s="165"/>
      <c r="Z44" s="165"/>
    </row>
    <row r="45" spans="2:26">
      <c r="B45" s="97" t="str">
        <f>IF(Calculation!BE51="","",Calculation!BE51)</f>
        <v/>
      </c>
      <c r="C45" s="99" t="str">
        <f t="shared" ca="1" si="2"/>
        <v/>
      </c>
      <c r="D45" s="99" t="str">
        <f t="shared" ca="1" si="2"/>
        <v/>
      </c>
      <c r="E45" s="99" t="str">
        <f t="shared" ca="1" si="2"/>
        <v/>
      </c>
      <c r="F45" s="99" t="str">
        <f t="shared" ca="1" si="2"/>
        <v/>
      </c>
      <c r="G45" s="99" t="str">
        <f t="shared" ca="1" si="2"/>
        <v/>
      </c>
      <c r="H45" s="99" t="str">
        <f t="shared" ca="1" si="2"/>
        <v/>
      </c>
      <c r="I45" s="99" t="str">
        <f t="shared" ca="1" si="2"/>
        <v/>
      </c>
      <c r="J45" s="99" t="str">
        <f t="shared" ca="1" si="2"/>
        <v/>
      </c>
      <c r="K45" s="99" t="str">
        <f t="shared" ca="1" si="2"/>
        <v/>
      </c>
      <c r="L45" s="99" t="str">
        <f t="shared" ca="1" si="2"/>
        <v/>
      </c>
      <c r="P45" s="165"/>
      <c r="Q45" s="165"/>
      <c r="R45" s="165"/>
      <c r="S45" s="165"/>
      <c r="T45" s="165"/>
      <c r="U45" s="165"/>
      <c r="V45" s="165"/>
      <c r="W45" s="165"/>
      <c r="X45" s="165"/>
      <c r="Y45" s="165"/>
      <c r="Z45" s="165"/>
    </row>
    <row r="46" spans="2:26">
      <c r="B46" s="97" t="str">
        <f>IF(Calculation!BE52="","",Calculation!BE52)</f>
        <v/>
      </c>
      <c r="C46" s="99" t="str">
        <f t="shared" ca="1" si="2"/>
        <v/>
      </c>
      <c r="D46" s="99" t="str">
        <f t="shared" ca="1" si="2"/>
        <v/>
      </c>
      <c r="E46" s="99" t="str">
        <f t="shared" ca="1" si="2"/>
        <v/>
      </c>
      <c r="F46" s="99" t="str">
        <f t="shared" ca="1" si="2"/>
        <v/>
      </c>
      <c r="G46" s="99" t="str">
        <f t="shared" ca="1" si="2"/>
        <v/>
      </c>
      <c r="H46" s="99" t="str">
        <f t="shared" ca="1" si="2"/>
        <v/>
      </c>
      <c r="I46" s="99" t="str">
        <f t="shared" ca="1" si="2"/>
        <v/>
      </c>
      <c r="J46" s="99" t="str">
        <f t="shared" ca="1" si="2"/>
        <v/>
      </c>
      <c r="K46" s="99" t="str">
        <f t="shared" ca="1" si="2"/>
        <v/>
      </c>
      <c r="L46" s="99" t="str">
        <f t="shared" ca="1" si="2"/>
        <v/>
      </c>
      <c r="P46" s="165"/>
      <c r="Q46" s="165"/>
      <c r="R46" s="165"/>
      <c r="S46" s="165"/>
      <c r="T46" s="165"/>
      <c r="U46" s="165"/>
      <c r="V46" s="165"/>
      <c r="W46" s="165"/>
      <c r="X46" s="165"/>
      <c r="Y46" s="165"/>
      <c r="Z46" s="165"/>
    </row>
    <row r="47" spans="2:26">
      <c r="B47" s="97" t="str">
        <f>IF(Calculation!BE53="","",Calculation!BE53)</f>
        <v/>
      </c>
      <c r="C47" s="99" t="str">
        <f t="shared" ca="1" si="2"/>
        <v/>
      </c>
      <c r="D47" s="99" t="str">
        <f t="shared" ca="1" si="2"/>
        <v/>
      </c>
      <c r="E47" s="99" t="str">
        <f t="shared" ca="1" si="2"/>
        <v/>
      </c>
      <c r="F47" s="99" t="str">
        <f t="shared" ca="1" si="2"/>
        <v/>
      </c>
      <c r="G47" s="99" t="str">
        <f t="shared" ca="1" si="2"/>
        <v/>
      </c>
      <c r="H47" s="99" t="str">
        <f t="shared" ca="1" si="2"/>
        <v/>
      </c>
      <c r="I47" s="99" t="str">
        <f t="shared" ca="1" si="2"/>
        <v/>
      </c>
      <c r="J47" s="99" t="str">
        <f t="shared" ca="1" si="2"/>
        <v/>
      </c>
      <c r="K47" s="99" t="str">
        <f t="shared" ca="1" si="2"/>
        <v/>
      </c>
      <c r="L47" s="99" t="str">
        <f t="shared" ca="1" si="2"/>
        <v/>
      </c>
      <c r="P47" s="165"/>
      <c r="Q47" s="165"/>
      <c r="R47" s="165"/>
      <c r="S47" s="165"/>
      <c r="T47" s="165"/>
      <c r="U47" s="165"/>
      <c r="V47" s="165"/>
      <c r="W47" s="165"/>
      <c r="X47" s="165"/>
      <c r="Y47" s="165"/>
      <c r="Z47" s="165"/>
    </row>
    <row r="48" spans="2:26">
      <c r="B48" s="97" t="str">
        <f>IF(Calculation!BE54="","",Calculation!BE54)</f>
        <v/>
      </c>
      <c r="C48" s="99" t="str">
        <f t="shared" ca="1" si="2"/>
        <v/>
      </c>
      <c r="D48" s="99" t="str">
        <f t="shared" ca="1" si="2"/>
        <v/>
      </c>
      <c r="E48" s="99" t="str">
        <f t="shared" ca="1" si="2"/>
        <v/>
      </c>
      <c r="F48" s="99" t="str">
        <f t="shared" ca="1" si="2"/>
        <v/>
      </c>
      <c r="G48" s="99" t="str">
        <f t="shared" ca="1" si="2"/>
        <v/>
      </c>
      <c r="H48" s="99" t="str">
        <f t="shared" ca="1" si="2"/>
        <v/>
      </c>
      <c r="I48" s="99" t="str">
        <f t="shared" ca="1" si="2"/>
        <v/>
      </c>
      <c r="J48" s="99" t="str">
        <f t="shared" ca="1" si="2"/>
        <v/>
      </c>
      <c r="K48" s="99" t="str">
        <f t="shared" ca="1" si="2"/>
        <v/>
      </c>
      <c r="L48" s="99" t="str">
        <f t="shared" ca="1" si="2"/>
        <v/>
      </c>
      <c r="P48" s="165"/>
      <c r="Q48" s="165"/>
      <c r="R48" s="165"/>
      <c r="S48" s="165"/>
      <c r="T48" s="165"/>
      <c r="U48" s="165"/>
      <c r="V48" s="165"/>
      <c r="W48" s="165"/>
      <c r="X48" s="165"/>
      <c r="Y48" s="165"/>
      <c r="Z48" s="165"/>
    </row>
    <row r="49" spans="2:26">
      <c r="B49" s="97" t="str">
        <f>IF(Calculation!BE55="","",Calculation!BE55)</f>
        <v/>
      </c>
      <c r="C49" s="99" t="str">
        <f t="shared" ca="1" si="2"/>
        <v/>
      </c>
      <c r="D49" s="99" t="str">
        <f t="shared" ca="1" si="2"/>
        <v/>
      </c>
      <c r="E49" s="99" t="str">
        <f t="shared" ca="1" si="2"/>
        <v/>
      </c>
      <c r="F49" s="99" t="str">
        <f t="shared" ca="1" si="2"/>
        <v/>
      </c>
      <c r="G49" s="99" t="str">
        <f t="shared" ca="1" si="2"/>
        <v/>
      </c>
      <c r="H49" s="99" t="str">
        <f t="shared" ca="1" si="2"/>
        <v/>
      </c>
      <c r="I49" s="99" t="str">
        <f t="shared" ca="1" si="2"/>
        <v/>
      </c>
      <c r="J49" s="99" t="str">
        <f t="shared" ca="1" si="2"/>
        <v/>
      </c>
      <c r="K49" s="99" t="str">
        <f t="shared" ca="1" si="2"/>
        <v/>
      </c>
      <c r="L49" s="99" t="str">
        <f t="shared" ca="1" si="2"/>
        <v/>
      </c>
      <c r="P49" s="165"/>
      <c r="Q49" s="165"/>
      <c r="R49" s="165"/>
      <c r="S49" s="165"/>
      <c r="T49" s="165"/>
      <c r="U49" s="165"/>
      <c r="V49" s="165"/>
      <c r="W49" s="165"/>
      <c r="X49" s="165"/>
      <c r="Y49" s="165"/>
      <c r="Z49" s="165"/>
    </row>
    <row r="50" spans="2:26">
      <c r="B50" s="97" t="str">
        <f>IF(Calculation!BE56="","",Calculation!BE56)</f>
        <v/>
      </c>
      <c r="C50" s="99" t="str">
        <f t="shared" ca="1" si="2"/>
        <v/>
      </c>
      <c r="D50" s="99" t="str">
        <f t="shared" ca="1" si="2"/>
        <v/>
      </c>
      <c r="E50" s="99" t="str">
        <f t="shared" ca="1" si="2"/>
        <v/>
      </c>
      <c r="F50" s="99" t="str">
        <f t="shared" ca="1" si="2"/>
        <v/>
      </c>
      <c r="G50" s="99" t="str">
        <f t="shared" ca="1" si="2"/>
        <v/>
      </c>
      <c r="H50" s="99" t="str">
        <f t="shared" ca="1" si="2"/>
        <v/>
      </c>
      <c r="I50" s="99" t="str">
        <f t="shared" ca="1" si="2"/>
        <v/>
      </c>
      <c r="J50" s="99" t="str">
        <f t="shared" ca="1" si="2"/>
        <v/>
      </c>
      <c r="K50" s="99" t="str">
        <f t="shared" ca="1" si="2"/>
        <v/>
      </c>
      <c r="L50" s="99" t="str">
        <f t="shared" ca="1" si="2"/>
        <v/>
      </c>
      <c r="P50" s="165"/>
      <c r="Q50" s="165"/>
      <c r="R50" s="165"/>
      <c r="S50" s="165"/>
      <c r="T50" s="165"/>
      <c r="U50" s="165"/>
      <c r="V50" s="165"/>
      <c r="W50" s="165"/>
      <c r="X50" s="165"/>
      <c r="Y50" s="165"/>
      <c r="Z50" s="165"/>
    </row>
    <row r="51" spans="2:26">
      <c r="B51" s="97" t="str">
        <f>IF(Calculation!BE57="","",Calculation!BE57)</f>
        <v/>
      </c>
      <c r="C51" s="99" t="str">
        <f t="shared" ca="1" si="2"/>
        <v/>
      </c>
      <c r="D51" s="99" t="str">
        <f t="shared" ca="1" si="2"/>
        <v/>
      </c>
      <c r="E51" s="99" t="str">
        <f t="shared" ca="1" si="2"/>
        <v/>
      </c>
      <c r="F51" s="99" t="str">
        <f t="shared" ca="1" si="2"/>
        <v/>
      </c>
      <c r="G51" s="99" t="str">
        <f t="shared" ca="1" si="2"/>
        <v/>
      </c>
      <c r="H51" s="99" t="str">
        <f t="shared" ca="1" si="2"/>
        <v/>
      </c>
      <c r="I51" s="99" t="str">
        <f t="shared" ca="1" si="2"/>
        <v/>
      </c>
      <c r="J51" s="99" t="str">
        <f t="shared" ca="1" si="2"/>
        <v/>
      </c>
      <c r="K51" s="99" t="str">
        <f t="shared" ca="1" si="2"/>
        <v/>
      </c>
      <c r="L51" s="99" t="str">
        <f t="shared" ca="1" si="2"/>
        <v/>
      </c>
      <c r="P51" s="165"/>
      <c r="Q51" s="165"/>
      <c r="R51" s="165"/>
      <c r="S51" s="165"/>
      <c r="T51" s="165"/>
      <c r="U51" s="165"/>
      <c r="V51" s="165"/>
      <c r="W51" s="165"/>
      <c r="X51" s="165"/>
      <c r="Y51" s="165"/>
      <c r="Z51" s="165"/>
    </row>
    <row r="52" spans="2:26">
      <c r="B52" s="97" t="str">
        <f>IF(Calculation!BE58="","",Calculation!BE58)</f>
        <v/>
      </c>
      <c r="C52" s="99" t="str">
        <f t="shared" ca="1" si="2"/>
        <v/>
      </c>
      <c r="D52" s="99" t="str">
        <f t="shared" ca="1" si="2"/>
        <v/>
      </c>
      <c r="E52" s="99" t="str">
        <f t="shared" ca="1" si="2"/>
        <v/>
      </c>
      <c r="F52" s="99" t="str">
        <f t="shared" ca="1" si="2"/>
        <v/>
      </c>
      <c r="G52" s="99" t="str">
        <f t="shared" ca="1" si="2"/>
        <v/>
      </c>
      <c r="H52" s="99" t="str">
        <f t="shared" ca="1" si="2"/>
        <v/>
      </c>
      <c r="I52" s="99" t="str">
        <f t="shared" ca="1" si="2"/>
        <v/>
      </c>
      <c r="J52" s="99" t="str">
        <f t="shared" ca="1" si="2"/>
        <v/>
      </c>
      <c r="K52" s="99" t="str">
        <f t="shared" ca="1" si="2"/>
        <v/>
      </c>
      <c r="L52" s="99" t="str">
        <f t="shared" ca="1" si="2"/>
        <v/>
      </c>
      <c r="P52" s="165"/>
      <c r="Q52" s="165"/>
      <c r="R52" s="165"/>
      <c r="S52" s="165"/>
      <c r="T52" s="165"/>
      <c r="U52" s="165"/>
      <c r="V52" s="165"/>
      <c r="W52" s="165"/>
      <c r="X52" s="165"/>
      <c r="Y52" s="165"/>
      <c r="Z52" s="165"/>
    </row>
    <row r="53" spans="2:26">
      <c r="B53" s="97" t="str">
        <f>IF(Calculation!BE59="","",Calculation!BE59)</f>
        <v/>
      </c>
      <c r="C53" s="99" t="str">
        <f t="shared" ca="1" si="2"/>
        <v/>
      </c>
      <c r="D53" s="99" t="str">
        <f t="shared" ca="1" si="2"/>
        <v/>
      </c>
      <c r="E53" s="99" t="str">
        <f t="shared" ca="1" si="2"/>
        <v/>
      </c>
      <c r="F53" s="99" t="str">
        <f t="shared" ca="1" si="2"/>
        <v/>
      </c>
      <c r="G53" s="99" t="str">
        <f t="shared" ca="1" si="2"/>
        <v/>
      </c>
      <c r="H53" s="99" t="str">
        <f t="shared" ca="1" si="2"/>
        <v/>
      </c>
      <c r="I53" s="99" t="str">
        <f t="shared" ca="1" si="2"/>
        <v/>
      </c>
      <c r="J53" s="99" t="str">
        <f t="shared" ca="1" si="2"/>
        <v/>
      </c>
      <c r="K53" s="99" t="str">
        <f t="shared" ca="1" si="2"/>
        <v/>
      </c>
      <c r="L53" s="99" t="str">
        <f t="shared" ca="1" si="2"/>
        <v/>
      </c>
      <c r="P53" s="165"/>
      <c r="Q53" s="165"/>
      <c r="R53" s="165"/>
      <c r="S53" s="165"/>
      <c r="T53" s="165"/>
      <c r="U53" s="165"/>
      <c r="V53" s="165"/>
      <c r="W53" s="165"/>
      <c r="X53" s="165"/>
      <c r="Y53" s="165"/>
      <c r="Z53" s="165"/>
    </row>
    <row r="54" spans="2:26">
      <c r="B54" s="97" t="str">
        <f>IF(Calculation!BE60="","",Calculation!BE60)</f>
        <v/>
      </c>
      <c r="C54" s="99" t="str">
        <f t="shared" ref="C54:L55" ca="1" si="3">IF($M$4=0,"",VLOOKUP($B54,INDIRECT("$P$1:$Z$"&amp;$M$4),COLUMN()-1,0))</f>
        <v/>
      </c>
      <c r="D54" s="99" t="str">
        <f t="shared" ca="1" si="3"/>
        <v/>
      </c>
      <c r="E54" s="99" t="str">
        <f t="shared" ca="1" si="3"/>
        <v/>
      </c>
      <c r="F54" s="99" t="str">
        <f t="shared" ca="1" si="3"/>
        <v/>
      </c>
      <c r="G54" s="99" t="str">
        <f t="shared" ca="1" si="3"/>
        <v/>
      </c>
      <c r="H54" s="99" t="str">
        <f t="shared" ca="1" si="3"/>
        <v/>
      </c>
      <c r="I54" s="99" t="str">
        <f t="shared" ca="1" si="3"/>
        <v/>
      </c>
      <c r="J54" s="99" t="str">
        <f t="shared" ca="1" si="3"/>
        <v/>
      </c>
      <c r="K54" s="99" t="str">
        <f t="shared" ca="1" si="3"/>
        <v/>
      </c>
      <c r="L54" s="99" t="str">
        <f t="shared" ca="1" si="3"/>
        <v/>
      </c>
      <c r="P54" s="165"/>
      <c r="Q54" s="165"/>
      <c r="R54" s="165"/>
      <c r="S54" s="165"/>
      <c r="T54" s="165"/>
      <c r="U54" s="165"/>
      <c r="V54" s="165"/>
      <c r="W54" s="165"/>
      <c r="X54" s="165"/>
      <c r="Y54" s="165"/>
      <c r="Z54" s="165"/>
    </row>
    <row r="55" spans="2:26">
      <c r="B55" s="97" t="str">
        <f>IF(Calculation!BE61="","",Calculation!BE61)</f>
        <v/>
      </c>
      <c r="C55" s="99" t="str">
        <f t="shared" ca="1" si="3"/>
        <v/>
      </c>
      <c r="D55" s="99" t="str">
        <f t="shared" ca="1" si="3"/>
        <v/>
      </c>
      <c r="E55" s="99" t="str">
        <f t="shared" ca="1" si="3"/>
        <v/>
      </c>
      <c r="F55" s="99" t="str">
        <f t="shared" ca="1" si="3"/>
        <v/>
      </c>
      <c r="G55" s="99" t="str">
        <f t="shared" ca="1" si="3"/>
        <v/>
      </c>
      <c r="H55" s="99" t="str">
        <f t="shared" ca="1" si="3"/>
        <v/>
      </c>
      <c r="I55" s="99" t="str">
        <f t="shared" ca="1" si="3"/>
        <v/>
      </c>
      <c r="J55" s="99" t="str">
        <f t="shared" ca="1" si="3"/>
        <v/>
      </c>
      <c r="K55" s="99" t="str">
        <f t="shared" ca="1" si="3"/>
        <v/>
      </c>
      <c r="L55" s="99" t="str">
        <f t="shared" ca="1" si="3"/>
        <v/>
      </c>
      <c r="P55" s="165"/>
      <c r="Q55" s="165"/>
      <c r="R55" s="165"/>
      <c r="S55" s="165"/>
      <c r="T55" s="165"/>
      <c r="U55" s="165"/>
      <c r="V55" s="165"/>
      <c r="W55" s="165"/>
      <c r="X55" s="165"/>
      <c r="Y55" s="165"/>
      <c r="Z55" s="165"/>
    </row>
    <row r="56" spans="2:26">
      <c r="P56" s="165"/>
      <c r="Q56" s="165"/>
      <c r="R56" s="165"/>
      <c r="S56" s="165"/>
      <c r="T56" s="165"/>
      <c r="U56" s="165"/>
      <c r="V56" s="165"/>
      <c r="W56" s="165"/>
      <c r="X56" s="165"/>
      <c r="Y56" s="165"/>
      <c r="Z56" s="165"/>
    </row>
    <row r="57" spans="2:26">
      <c r="P57" s="165"/>
      <c r="Q57" s="165"/>
      <c r="R57" s="165"/>
      <c r="S57" s="165"/>
      <c r="T57" s="165"/>
      <c r="U57" s="165"/>
      <c r="V57" s="165"/>
      <c r="W57" s="165"/>
      <c r="X57" s="165"/>
      <c r="Y57" s="165"/>
      <c r="Z57" s="165"/>
    </row>
    <row r="58" spans="2:26">
      <c r="P58" s="165"/>
      <c r="Q58" s="165"/>
      <c r="R58" s="165"/>
      <c r="S58" s="165"/>
      <c r="T58" s="165"/>
      <c r="U58" s="165"/>
      <c r="V58" s="165"/>
      <c r="W58" s="165"/>
      <c r="X58" s="165"/>
      <c r="Y58" s="165"/>
      <c r="Z58" s="165"/>
    </row>
    <row r="59" spans="2:26">
      <c r="P59" s="165"/>
      <c r="Q59" s="165"/>
      <c r="R59" s="165"/>
      <c r="S59" s="165"/>
      <c r="T59" s="165"/>
      <c r="U59" s="165"/>
      <c r="V59" s="165"/>
      <c r="W59" s="165"/>
      <c r="X59" s="165"/>
      <c r="Y59" s="165"/>
      <c r="Z59" s="165"/>
    </row>
    <row r="60" spans="2:26">
      <c r="P60" s="165"/>
      <c r="Q60" s="165"/>
      <c r="R60" s="165"/>
      <c r="S60" s="165"/>
      <c r="T60" s="165"/>
      <c r="U60" s="165"/>
      <c r="V60" s="165"/>
      <c r="W60" s="165"/>
      <c r="X60" s="165"/>
      <c r="Y60" s="165"/>
      <c r="Z60" s="165"/>
    </row>
    <row r="61" spans="2:26">
      <c r="P61" s="165"/>
      <c r="Q61" s="165"/>
      <c r="R61" s="165"/>
      <c r="S61" s="165"/>
      <c r="T61" s="165"/>
      <c r="U61" s="165"/>
      <c r="V61" s="165"/>
      <c r="W61" s="165"/>
      <c r="X61" s="165"/>
      <c r="Y61" s="165"/>
      <c r="Z61" s="165"/>
    </row>
    <row r="62" spans="2:26">
      <c r="P62" s="165"/>
      <c r="Q62" s="165"/>
      <c r="R62" s="165"/>
      <c r="S62" s="165"/>
      <c r="T62" s="165"/>
      <c r="U62" s="165"/>
      <c r="V62" s="165"/>
      <c r="W62" s="165"/>
      <c r="X62" s="165"/>
      <c r="Y62" s="165"/>
      <c r="Z62" s="165"/>
    </row>
    <row r="63" spans="2:26">
      <c r="P63" s="165"/>
      <c r="Q63" s="165"/>
      <c r="R63" s="165"/>
      <c r="S63" s="165"/>
      <c r="T63" s="165"/>
      <c r="U63" s="165"/>
      <c r="V63" s="165"/>
      <c r="W63" s="165"/>
      <c r="X63" s="165"/>
      <c r="Y63" s="165"/>
      <c r="Z63" s="165"/>
    </row>
    <row r="64" spans="2:26">
      <c r="P64" s="165"/>
      <c r="Q64" s="165"/>
      <c r="R64" s="165"/>
      <c r="S64" s="165"/>
      <c r="T64" s="165"/>
      <c r="U64" s="165"/>
      <c r="V64" s="165"/>
      <c r="W64" s="165"/>
      <c r="X64" s="165"/>
      <c r="Y64" s="165"/>
      <c r="Z64" s="165"/>
    </row>
    <row r="65" spans="16:26">
      <c r="P65" s="165"/>
      <c r="Q65" s="165"/>
      <c r="R65" s="165"/>
      <c r="S65" s="165"/>
      <c r="T65" s="165"/>
      <c r="U65" s="165"/>
      <c r="V65" s="165"/>
      <c r="W65" s="165"/>
      <c r="X65" s="165"/>
      <c r="Y65" s="165"/>
      <c r="Z65" s="165"/>
    </row>
    <row r="66" spans="16:26">
      <c r="P66" s="165"/>
      <c r="Q66" s="165"/>
      <c r="R66" s="165"/>
      <c r="S66" s="165"/>
      <c r="T66" s="165"/>
      <c r="U66" s="165"/>
      <c r="V66" s="165"/>
      <c r="W66" s="165"/>
      <c r="X66" s="165"/>
      <c r="Y66" s="165"/>
      <c r="Z66" s="165"/>
    </row>
    <row r="67" spans="16:26">
      <c r="P67" s="165"/>
      <c r="Q67" s="165"/>
      <c r="R67" s="165"/>
      <c r="S67" s="165"/>
      <c r="T67" s="165"/>
      <c r="U67" s="165"/>
      <c r="V67" s="165"/>
      <c r="W67" s="165"/>
      <c r="X67" s="165"/>
      <c r="Y67" s="165"/>
      <c r="Z67" s="165"/>
    </row>
    <row r="68" spans="16:26">
      <c r="P68" s="165"/>
      <c r="Q68" s="165"/>
      <c r="R68" s="165"/>
      <c r="S68" s="165"/>
      <c r="T68" s="165"/>
      <c r="U68" s="165"/>
      <c r="V68" s="165"/>
      <c r="W68" s="165"/>
      <c r="X68" s="165"/>
      <c r="Y68" s="165"/>
      <c r="Z68" s="165"/>
    </row>
    <row r="69" spans="16:26">
      <c r="P69" s="165"/>
      <c r="Q69" s="165"/>
      <c r="R69" s="165"/>
      <c r="S69" s="165"/>
      <c r="T69" s="165"/>
      <c r="U69" s="165"/>
      <c r="V69" s="165"/>
      <c r="W69" s="165"/>
      <c r="X69" s="165"/>
      <c r="Y69" s="165"/>
      <c r="Z69" s="165"/>
    </row>
    <row r="70" spans="16:26">
      <c r="P70" s="165"/>
      <c r="Q70" s="165"/>
      <c r="R70" s="165"/>
      <c r="S70" s="165"/>
      <c r="T70" s="165"/>
      <c r="U70" s="165"/>
      <c r="V70" s="165"/>
      <c r="W70" s="165"/>
      <c r="X70" s="165"/>
      <c r="Y70" s="165"/>
      <c r="Z70" s="165"/>
    </row>
    <row r="71" spans="16:26">
      <c r="P71" s="165"/>
      <c r="Q71" s="165"/>
      <c r="R71" s="165"/>
      <c r="S71" s="165"/>
      <c r="T71" s="165"/>
      <c r="U71" s="165"/>
      <c r="V71" s="165"/>
      <c r="W71" s="165"/>
      <c r="X71" s="165"/>
      <c r="Y71" s="165"/>
      <c r="Z71" s="165"/>
    </row>
    <row r="72" spans="16:26">
      <c r="P72" s="165"/>
      <c r="Q72" s="165"/>
      <c r="R72" s="165"/>
      <c r="S72" s="165"/>
      <c r="T72" s="165"/>
      <c r="U72" s="165"/>
      <c r="V72" s="165"/>
      <c r="W72" s="165"/>
      <c r="X72" s="165"/>
      <c r="Y72" s="165"/>
      <c r="Z72" s="165"/>
    </row>
    <row r="73" spans="16:26">
      <c r="P73" s="165"/>
      <c r="Q73" s="165"/>
      <c r="R73" s="165"/>
      <c r="S73" s="165"/>
      <c r="T73" s="165"/>
      <c r="U73" s="165"/>
      <c r="V73" s="165"/>
      <c r="W73" s="165"/>
      <c r="X73" s="165"/>
      <c r="Y73" s="165"/>
      <c r="Z73" s="165"/>
    </row>
    <row r="74" spans="16:26">
      <c r="P74" s="165"/>
      <c r="Q74" s="165"/>
      <c r="R74" s="165"/>
      <c r="S74" s="165"/>
      <c r="T74" s="165"/>
      <c r="U74" s="165"/>
      <c r="V74" s="165"/>
      <c r="W74" s="165"/>
      <c r="X74" s="165"/>
      <c r="Y74" s="165"/>
      <c r="Z74" s="165"/>
    </row>
    <row r="75" spans="16:26">
      <c r="P75" s="165"/>
      <c r="Q75" s="165"/>
      <c r="R75" s="165"/>
      <c r="S75" s="165"/>
      <c r="T75" s="165"/>
      <c r="U75" s="165"/>
      <c r="V75" s="165"/>
      <c r="W75" s="165"/>
      <c r="X75" s="165"/>
      <c r="Y75" s="165"/>
      <c r="Z75" s="165"/>
    </row>
    <row r="76" spans="16:26">
      <c r="P76" s="165"/>
      <c r="Q76" s="165"/>
      <c r="R76" s="165"/>
      <c r="S76" s="165"/>
      <c r="T76" s="165"/>
      <c r="U76" s="165"/>
      <c r="V76" s="165"/>
      <c r="W76" s="165"/>
      <c r="X76" s="165"/>
      <c r="Y76" s="165"/>
      <c r="Z76" s="165"/>
    </row>
    <row r="77" spans="16:26">
      <c r="P77" s="165"/>
      <c r="Q77" s="165"/>
      <c r="R77" s="165"/>
      <c r="S77" s="165"/>
      <c r="T77" s="165"/>
      <c r="U77" s="165"/>
      <c r="V77" s="165"/>
      <c r="W77" s="165"/>
      <c r="X77" s="165"/>
      <c r="Y77" s="165"/>
      <c r="Z77" s="165"/>
    </row>
    <row r="78" spans="16:26">
      <c r="P78" s="165"/>
      <c r="Q78" s="165"/>
      <c r="R78" s="165"/>
      <c r="S78" s="165"/>
      <c r="T78" s="165"/>
      <c r="U78" s="165"/>
      <c r="V78" s="165"/>
      <c r="W78" s="165"/>
      <c r="X78" s="165"/>
      <c r="Y78" s="165"/>
      <c r="Z78" s="165"/>
    </row>
    <row r="79" spans="16:26">
      <c r="P79" s="165"/>
      <c r="Q79" s="165"/>
      <c r="R79" s="165"/>
      <c r="S79" s="165"/>
      <c r="T79" s="165"/>
      <c r="U79" s="165"/>
      <c r="V79" s="165"/>
      <c r="W79" s="165"/>
      <c r="X79" s="165"/>
      <c r="Y79" s="165"/>
      <c r="Z79" s="165"/>
    </row>
    <row r="80" spans="16:26">
      <c r="P80" s="165"/>
      <c r="Q80" s="165"/>
      <c r="R80" s="165"/>
      <c r="S80" s="165"/>
      <c r="T80" s="165"/>
      <c r="U80" s="165"/>
      <c r="V80" s="165"/>
      <c r="W80" s="165"/>
      <c r="X80" s="165"/>
      <c r="Y80" s="165"/>
      <c r="Z80" s="165"/>
    </row>
    <row r="81" spans="16:26">
      <c r="P81" s="165"/>
      <c r="Q81" s="165"/>
      <c r="R81" s="165"/>
      <c r="S81" s="165"/>
      <c r="T81" s="165"/>
      <c r="U81" s="165"/>
      <c r="V81" s="165"/>
      <c r="W81" s="165"/>
      <c r="X81" s="165"/>
      <c r="Y81" s="165"/>
      <c r="Z81" s="165"/>
    </row>
    <row r="82" spans="16:26">
      <c r="P82" s="165"/>
      <c r="Q82" s="165"/>
      <c r="R82" s="165"/>
      <c r="S82" s="165"/>
      <c r="T82" s="165"/>
      <c r="U82" s="165"/>
      <c r="V82" s="165"/>
      <c r="W82" s="165"/>
      <c r="X82" s="165"/>
      <c r="Y82" s="165"/>
      <c r="Z82" s="165"/>
    </row>
    <row r="83" spans="16:26">
      <c r="P83" s="165"/>
      <c r="Q83" s="165"/>
      <c r="R83" s="165"/>
      <c r="S83" s="165"/>
      <c r="T83" s="165"/>
      <c r="U83" s="165"/>
      <c r="V83" s="165"/>
      <c r="W83" s="165"/>
      <c r="X83" s="165"/>
      <c r="Y83" s="165"/>
      <c r="Z83" s="165"/>
    </row>
    <row r="84" spans="16:26">
      <c r="P84" s="165"/>
      <c r="Q84" s="165"/>
      <c r="R84" s="165"/>
      <c r="S84" s="165"/>
      <c r="T84" s="165"/>
      <c r="U84" s="165"/>
      <c r="V84" s="165"/>
      <c r="W84" s="165"/>
      <c r="X84" s="165"/>
      <c r="Y84" s="165"/>
      <c r="Z84" s="165"/>
    </row>
    <row r="85" spans="16:26">
      <c r="P85" s="165"/>
      <c r="Q85" s="165"/>
      <c r="R85" s="165"/>
      <c r="S85" s="165"/>
      <c r="T85" s="165"/>
      <c r="U85" s="165"/>
      <c r="V85" s="165"/>
      <c r="W85" s="165"/>
      <c r="X85" s="165"/>
      <c r="Y85" s="165"/>
      <c r="Z85" s="165"/>
    </row>
    <row r="86" spans="16:26">
      <c r="P86" s="165"/>
      <c r="Q86" s="165"/>
      <c r="R86" s="165"/>
      <c r="S86" s="165"/>
      <c r="T86" s="165"/>
      <c r="U86" s="165"/>
      <c r="V86" s="165"/>
      <c r="W86" s="165"/>
      <c r="X86" s="165"/>
      <c r="Y86" s="165"/>
      <c r="Z86" s="165"/>
    </row>
    <row r="87" spans="16:26">
      <c r="P87" s="165"/>
      <c r="Q87" s="165"/>
      <c r="R87" s="165"/>
      <c r="S87" s="165"/>
      <c r="T87" s="165"/>
      <c r="U87" s="165"/>
      <c r="V87" s="165"/>
      <c r="W87" s="165"/>
      <c r="X87" s="165"/>
      <c r="Y87" s="165"/>
      <c r="Z87" s="165"/>
    </row>
    <row r="88" spans="16:26">
      <c r="P88" s="165"/>
      <c r="Q88" s="165"/>
      <c r="R88" s="165"/>
      <c r="S88" s="165"/>
      <c r="T88" s="165"/>
      <c r="U88" s="165"/>
      <c r="V88" s="165"/>
      <c r="W88" s="165"/>
      <c r="X88" s="165"/>
      <c r="Y88" s="165"/>
      <c r="Z88" s="165"/>
    </row>
    <row r="89" spans="16:26">
      <c r="P89" s="165"/>
      <c r="Q89" s="165"/>
      <c r="R89" s="165"/>
      <c r="S89" s="165"/>
      <c r="T89" s="165"/>
      <c r="U89" s="165"/>
      <c r="V89" s="165"/>
      <c r="W89" s="165"/>
      <c r="X89" s="165"/>
      <c r="Y89" s="165"/>
      <c r="Z89" s="165"/>
    </row>
    <row r="90" spans="16:26">
      <c r="P90" s="165"/>
      <c r="Q90" s="165"/>
      <c r="R90" s="165"/>
      <c r="S90" s="165"/>
      <c r="T90" s="165"/>
      <c r="U90" s="165"/>
      <c r="V90" s="165"/>
      <c r="W90" s="165"/>
      <c r="X90" s="165"/>
      <c r="Y90" s="165"/>
      <c r="Z90" s="165"/>
    </row>
    <row r="91" spans="16:26">
      <c r="P91" s="165"/>
      <c r="Q91" s="165"/>
      <c r="R91" s="165"/>
      <c r="S91" s="165"/>
      <c r="T91" s="165"/>
      <c r="U91" s="165"/>
      <c r="V91" s="165"/>
      <c r="W91" s="165"/>
      <c r="X91" s="165"/>
      <c r="Y91" s="165"/>
      <c r="Z91" s="165"/>
    </row>
    <row r="92" spans="16:26">
      <c r="P92" s="165"/>
      <c r="Q92" s="165"/>
      <c r="R92" s="165"/>
      <c r="S92" s="165"/>
      <c r="T92" s="165"/>
      <c r="U92" s="165"/>
      <c r="V92" s="165"/>
      <c r="W92" s="165"/>
      <c r="X92" s="165"/>
      <c r="Y92" s="165"/>
      <c r="Z92" s="165"/>
    </row>
    <row r="93" spans="16:26">
      <c r="P93" s="165"/>
      <c r="Q93" s="165"/>
      <c r="R93" s="165"/>
      <c r="S93" s="165"/>
      <c r="T93" s="165"/>
      <c r="U93" s="165"/>
      <c r="V93" s="165"/>
      <c r="W93" s="165"/>
      <c r="X93" s="165"/>
      <c r="Y93" s="165"/>
      <c r="Z93" s="165"/>
    </row>
    <row r="94" spans="16:26">
      <c r="P94" s="165"/>
      <c r="Q94" s="165"/>
      <c r="R94" s="165"/>
      <c r="S94" s="165"/>
      <c r="T94" s="165"/>
      <c r="U94" s="165"/>
      <c r="V94" s="165"/>
      <c r="W94" s="165"/>
      <c r="X94" s="165"/>
      <c r="Y94" s="165"/>
      <c r="Z94" s="165"/>
    </row>
    <row r="95" spans="16:26">
      <c r="P95" s="165"/>
      <c r="Q95" s="165"/>
      <c r="R95" s="165"/>
      <c r="S95" s="165"/>
      <c r="T95" s="165"/>
      <c r="U95" s="165"/>
      <c r="V95" s="165"/>
      <c r="W95" s="165"/>
      <c r="X95" s="165"/>
      <c r="Y95" s="165"/>
      <c r="Z95" s="165"/>
    </row>
    <row r="96" spans="16:26">
      <c r="P96" s="165"/>
      <c r="Q96" s="165"/>
      <c r="R96" s="165"/>
      <c r="S96" s="165"/>
      <c r="T96" s="165"/>
      <c r="U96" s="165"/>
      <c r="V96" s="165"/>
      <c r="W96" s="165"/>
      <c r="X96" s="165"/>
      <c r="Y96" s="165"/>
      <c r="Z96" s="165"/>
    </row>
    <row r="97" spans="16:26">
      <c r="P97" s="165"/>
      <c r="Q97" s="165"/>
      <c r="R97" s="165"/>
      <c r="S97" s="165"/>
      <c r="T97" s="165"/>
      <c r="U97" s="165"/>
      <c r="V97" s="165"/>
      <c r="W97" s="165"/>
      <c r="X97" s="165"/>
      <c r="Y97" s="165"/>
      <c r="Z97" s="165"/>
    </row>
    <row r="98" spans="16:26">
      <c r="P98" s="165"/>
      <c r="Q98" s="165"/>
      <c r="R98" s="165"/>
      <c r="S98" s="165"/>
      <c r="T98" s="165"/>
      <c r="U98" s="165"/>
      <c r="V98" s="165"/>
      <c r="W98" s="165"/>
      <c r="X98" s="165"/>
      <c r="Y98" s="165"/>
      <c r="Z98" s="165"/>
    </row>
    <row r="99" spans="16:26">
      <c r="P99" s="165"/>
      <c r="Q99" s="165"/>
      <c r="R99" s="165"/>
      <c r="S99" s="165"/>
      <c r="T99" s="165"/>
      <c r="U99" s="165"/>
      <c r="V99" s="165"/>
      <c r="W99" s="165"/>
      <c r="X99" s="165"/>
      <c r="Y99" s="165"/>
      <c r="Z99" s="165"/>
    </row>
    <row r="100" spans="16:26">
      <c r="P100" s="165"/>
      <c r="Q100" s="165"/>
      <c r="R100" s="165"/>
      <c r="S100" s="165"/>
      <c r="T100" s="165"/>
      <c r="U100" s="165"/>
      <c r="V100" s="165"/>
      <c r="W100" s="165"/>
      <c r="X100" s="165"/>
      <c r="Y100" s="165"/>
      <c r="Z100" s="165"/>
    </row>
    <row r="101" spans="16:26">
      <c r="P101" s="165"/>
      <c r="Q101" s="165"/>
      <c r="R101" s="165"/>
      <c r="S101" s="165"/>
      <c r="T101" s="165"/>
      <c r="U101" s="165"/>
      <c r="V101" s="165"/>
      <c r="W101" s="165"/>
      <c r="X101" s="165"/>
      <c r="Y101" s="165"/>
      <c r="Z101" s="165"/>
    </row>
    <row r="102" spans="16:26">
      <c r="P102" s="165"/>
      <c r="Q102" s="165"/>
      <c r="R102" s="165"/>
      <c r="S102" s="165"/>
      <c r="T102" s="165"/>
      <c r="U102" s="165"/>
      <c r="V102" s="165"/>
      <c r="W102" s="165"/>
      <c r="X102" s="165"/>
      <c r="Y102" s="165"/>
      <c r="Z102" s="165"/>
    </row>
    <row r="103" spans="16:26">
      <c r="P103" s="165"/>
      <c r="Q103" s="165"/>
      <c r="R103" s="165"/>
      <c r="S103" s="165"/>
      <c r="T103" s="165"/>
      <c r="U103" s="165"/>
      <c r="V103" s="165"/>
      <c r="W103" s="165"/>
      <c r="X103" s="165"/>
      <c r="Y103" s="165"/>
      <c r="Z103" s="165"/>
    </row>
    <row r="104" spans="16:26">
      <c r="P104" s="165"/>
      <c r="Q104" s="165"/>
      <c r="R104" s="165"/>
      <c r="S104" s="165"/>
      <c r="T104" s="165"/>
      <c r="U104" s="165"/>
      <c r="V104" s="165"/>
      <c r="W104" s="165"/>
      <c r="X104" s="165"/>
      <c r="Y104" s="165"/>
      <c r="Z104" s="165"/>
    </row>
    <row r="105" spans="16:26">
      <c r="P105" s="165"/>
      <c r="Q105" s="165"/>
      <c r="R105" s="165"/>
      <c r="S105" s="165"/>
      <c r="T105" s="165"/>
      <c r="U105" s="165"/>
      <c r="V105" s="165"/>
      <c r="W105" s="165"/>
      <c r="X105" s="165"/>
      <c r="Y105" s="165"/>
      <c r="Z105" s="165"/>
    </row>
    <row r="106" spans="16:26">
      <c r="P106" s="165"/>
      <c r="Q106" s="165"/>
      <c r="R106" s="165"/>
      <c r="S106" s="165"/>
      <c r="T106" s="165"/>
      <c r="U106" s="165"/>
      <c r="V106" s="165"/>
      <c r="W106" s="165"/>
      <c r="X106" s="165"/>
      <c r="Y106" s="165"/>
      <c r="Z106" s="165"/>
    </row>
    <row r="107" spans="16:26">
      <c r="P107" s="165"/>
      <c r="Q107" s="165"/>
      <c r="R107" s="165"/>
      <c r="S107" s="165"/>
      <c r="T107" s="165"/>
      <c r="U107" s="165"/>
      <c r="V107" s="165"/>
      <c r="W107" s="165"/>
      <c r="X107" s="165"/>
      <c r="Y107" s="165"/>
      <c r="Z107" s="165"/>
    </row>
    <row r="108" spans="16:26">
      <c r="P108" s="165"/>
      <c r="Q108" s="165"/>
      <c r="R108" s="165"/>
      <c r="S108" s="165"/>
      <c r="T108" s="165"/>
      <c r="U108" s="165"/>
      <c r="V108" s="165"/>
      <c r="W108" s="165"/>
      <c r="X108" s="165"/>
      <c r="Y108" s="165"/>
      <c r="Z108" s="165"/>
    </row>
    <row r="109" spans="16:26">
      <c r="P109" s="165"/>
      <c r="Q109" s="165"/>
      <c r="R109" s="165"/>
      <c r="S109" s="165"/>
      <c r="T109" s="165"/>
      <c r="U109" s="165"/>
      <c r="V109" s="165"/>
      <c r="W109" s="165"/>
      <c r="X109" s="165"/>
      <c r="Y109" s="165"/>
      <c r="Z109" s="165"/>
    </row>
    <row r="110" spans="16:26">
      <c r="P110" s="165"/>
      <c r="Q110" s="165"/>
      <c r="R110" s="165"/>
      <c r="S110" s="165"/>
      <c r="T110" s="165"/>
      <c r="U110" s="165"/>
      <c r="V110" s="165"/>
      <c r="W110" s="165"/>
      <c r="X110" s="165"/>
      <c r="Y110" s="165"/>
      <c r="Z110" s="165"/>
    </row>
    <row r="111" spans="16:26">
      <c r="P111" s="165"/>
      <c r="Q111" s="165"/>
      <c r="R111" s="165"/>
      <c r="S111" s="165"/>
      <c r="T111" s="165"/>
      <c r="U111" s="165"/>
      <c r="V111" s="165"/>
      <c r="W111" s="165"/>
      <c r="X111" s="165"/>
      <c r="Y111" s="165"/>
      <c r="Z111" s="165"/>
    </row>
    <row r="112" spans="16:26">
      <c r="P112" s="165"/>
      <c r="Q112" s="165"/>
      <c r="R112" s="165"/>
      <c r="S112" s="165"/>
      <c r="T112" s="165"/>
      <c r="U112" s="165"/>
      <c r="V112" s="165"/>
      <c r="W112" s="165"/>
      <c r="X112" s="165"/>
      <c r="Y112" s="165"/>
      <c r="Z112" s="165"/>
    </row>
    <row r="113" spans="16:26">
      <c r="P113" s="165"/>
      <c r="Q113" s="165"/>
      <c r="R113" s="165"/>
      <c r="S113" s="165"/>
      <c r="T113" s="165"/>
      <c r="U113" s="165"/>
      <c r="V113" s="165"/>
      <c r="W113" s="165"/>
      <c r="X113" s="165"/>
      <c r="Y113" s="165"/>
      <c r="Z113" s="165"/>
    </row>
    <row r="114" spans="16:26">
      <c r="P114" s="165"/>
      <c r="Q114" s="165"/>
      <c r="R114" s="165"/>
      <c r="S114" s="165"/>
      <c r="T114" s="165"/>
      <c r="U114" s="165"/>
      <c r="V114" s="165"/>
      <c r="W114" s="165"/>
      <c r="X114" s="165"/>
      <c r="Y114" s="165"/>
      <c r="Z114" s="165"/>
    </row>
    <row r="115" spans="16:26">
      <c r="P115" s="165"/>
      <c r="Q115" s="165"/>
      <c r="R115" s="165"/>
      <c r="S115" s="165"/>
      <c r="T115" s="165"/>
      <c r="U115" s="165"/>
      <c r="V115" s="165"/>
      <c r="W115" s="165"/>
      <c r="X115" s="165"/>
      <c r="Y115" s="165"/>
      <c r="Z115" s="165"/>
    </row>
    <row r="116" spans="16:26">
      <c r="P116" s="165"/>
      <c r="Q116" s="165"/>
      <c r="R116" s="165"/>
      <c r="S116" s="165"/>
      <c r="T116" s="165"/>
      <c r="U116" s="165"/>
      <c r="V116" s="165"/>
      <c r="W116" s="165"/>
      <c r="X116" s="165"/>
      <c r="Y116" s="165"/>
      <c r="Z116" s="165"/>
    </row>
    <row r="117" spans="16:26">
      <c r="P117" s="165"/>
      <c r="Q117" s="165"/>
      <c r="R117" s="165"/>
      <c r="S117" s="165"/>
      <c r="T117" s="165"/>
      <c r="U117" s="165"/>
      <c r="V117" s="165"/>
      <c r="W117" s="165"/>
      <c r="X117" s="165"/>
      <c r="Y117" s="165"/>
      <c r="Z117" s="165"/>
    </row>
    <row r="118" spans="16:26">
      <c r="P118" s="165"/>
      <c r="Q118" s="165"/>
      <c r="R118" s="165"/>
      <c r="S118" s="165"/>
      <c r="T118" s="165"/>
      <c r="U118" s="165"/>
      <c r="V118" s="165"/>
      <c r="W118" s="165"/>
      <c r="X118" s="165"/>
      <c r="Y118" s="165"/>
      <c r="Z118" s="165"/>
    </row>
    <row r="119" spans="16:26">
      <c r="P119" s="165"/>
      <c r="Q119" s="165"/>
      <c r="R119" s="165"/>
      <c r="S119" s="165"/>
      <c r="T119" s="165"/>
      <c r="U119" s="165"/>
      <c r="V119" s="165"/>
      <c r="W119" s="165"/>
      <c r="X119" s="165"/>
      <c r="Y119" s="165"/>
      <c r="Z119" s="165"/>
    </row>
    <row r="120" spans="16:26">
      <c r="P120" s="165"/>
      <c r="Q120" s="165"/>
      <c r="R120" s="165"/>
      <c r="S120" s="165"/>
      <c r="T120" s="165"/>
      <c r="U120" s="165"/>
      <c r="V120" s="165"/>
      <c r="W120" s="165"/>
      <c r="X120" s="165"/>
      <c r="Y120" s="165"/>
      <c r="Z120" s="165"/>
    </row>
    <row r="121" spans="16:26">
      <c r="P121" s="165"/>
      <c r="Q121" s="165"/>
      <c r="R121" s="165"/>
      <c r="S121" s="165"/>
      <c r="T121" s="165"/>
      <c r="U121" s="165"/>
      <c r="V121" s="165"/>
      <c r="W121" s="165"/>
      <c r="X121" s="165"/>
      <c r="Y121" s="165"/>
      <c r="Z121" s="165"/>
    </row>
    <row r="122" spans="16:26">
      <c r="P122" s="165"/>
      <c r="Q122" s="165"/>
      <c r="R122" s="165"/>
      <c r="S122" s="165"/>
      <c r="T122" s="165"/>
      <c r="U122" s="165"/>
      <c r="V122" s="165"/>
      <c r="W122" s="165"/>
      <c r="X122" s="165"/>
      <c r="Y122" s="165"/>
      <c r="Z122" s="165"/>
    </row>
    <row r="123" spans="16:26">
      <c r="P123" s="165"/>
      <c r="Q123" s="165"/>
      <c r="R123" s="165"/>
      <c r="S123" s="165"/>
      <c r="T123" s="165"/>
      <c r="U123" s="165"/>
      <c r="V123" s="165"/>
      <c r="W123" s="165"/>
      <c r="X123" s="165"/>
      <c r="Y123" s="165"/>
      <c r="Z123" s="165"/>
    </row>
    <row r="124" spans="16:26">
      <c r="P124" s="165"/>
      <c r="Q124" s="165"/>
      <c r="R124" s="165"/>
      <c r="S124" s="165"/>
      <c r="T124" s="165"/>
      <c r="U124" s="165"/>
      <c r="V124" s="165"/>
      <c r="W124" s="165"/>
      <c r="X124" s="165"/>
      <c r="Y124" s="165"/>
      <c r="Z124" s="165"/>
    </row>
    <row r="125" spans="16:26">
      <c r="P125" s="165"/>
      <c r="Q125" s="165"/>
      <c r="R125" s="165"/>
      <c r="S125" s="165"/>
      <c r="T125" s="165"/>
      <c r="U125" s="165"/>
      <c r="V125" s="165"/>
      <c r="W125" s="165"/>
      <c r="X125" s="165"/>
      <c r="Y125" s="165"/>
      <c r="Z125" s="165"/>
    </row>
    <row r="126" spans="16:26">
      <c r="P126" s="165"/>
      <c r="Q126" s="165"/>
      <c r="R126" s="165"/>
      <c r="S126" s="165"/>
      <c r="T126" s="165"/>
      <c r="U126" s="165"/>
      <c r="V126" s="165"/>
      <c r="W126" s="165"/>
      <c r="X126" s="165"/>
      <c r="Y126" s="165"/>
      <c r="Z126" s="165"/>
    </row>
    <row r="127" spans="16:26">
      <c r="P127" s="165"/>
      <c r="Q127" s="165"/>
      <c r="R127" s="165"/>
      <c r="S127" s="165"/>
      <c r="T127" s="165"/>
      <c r="U127" s="165"/>
      <c r="V127" s="165"/>
      <c r="W127" s="165"/>
      <c r="X127" s="165"/>
      <c r="Y127" s="165"/>
      <c r="Z127" s="165"/>
    </row>
    <row r="128" spans="16:26">
      <c r="P128" s="165"/>
      <c r="Q128" s="165"/>
      <c r="R128" s="165"/>
      <c r="S128" s="165"/>
      <c r="T128" s="165"/>
      <c r="U128" s="165"/>
      <c r="V128" s="165"/>
      <c r="W128" s="165"/>
      <c r="X128" s="165"/>
      <c r="Y128" s="165"/>
      <c r="Z128" s="165"/>
    </row>
    <row r="129" spans="16:26">
      <c r="P129" s="165"/>
      <c r="Q129" s="165"/>
      <c r="R129" s="165"/>
      <c r="S129" s="165"/>
      <c r="T129" s="165"/>
      <c r="U129" s="165"/>
      <c r="V129" s="165"/>
      <c r="W129" s="165"/>
      <c r="X129" s="165"/>
      <c r="Y129" s="165"/>
      <c r="Z129" s="165"/>
    </row>
    <row r="130" spans="16:26">
      <c r="P130" s="165"/>
      <c r="Q130" s="165"/>
      <c r="R130" s="165"/>
      <c r="S130" s="165"/>
      <c r="T130" s="165"/>
      <c r="U130" s="165"/>
      <c r="V130" s="165"/>
      <c r="W130" s="165"/>
      <c r="X130" s="165"/>
      <c r="Y130" s="165"/>
      <c r="Z130" s="165"/>
    </row>
    <row r="131" spans="16:26">
      <c r="P131" s="165"/>
      <c r="Q131" s="165"/>
      <c r="R131" s="165"/>
      <c r="S131" s="165"/>
      <c r="T131" s="165"/>
      <c r="U131" s="165"/>
      <c r="V131" s="165"/>
      <c r="W131" s="165"/>
      <c r="X131" s="165"/>
      <c r="Y131" s="165"/>
      <c r="Z131" s="165"/>
    </row>
    <row r="132" spans="16:26">
      <c r="P132" s="165"/>
      <c r="Q132" s="165"/>
      <c r="R132" s="165"/>
      <c r="S132" s="165"/>
      <c r="T132" s="165"/>
      <c r="U132" s="165"/>
      <c r="V132" s="165"/>
      <c r="W132" s="165"/>
      <c r="X132" s="165"/>
      <c r="Y132" s="165"/>
      <c r="Z132" s="165"/>
    </row>
    <row r="133" spans="16:26">
      <c r="P133" s="165"/>
      <c r="Q133" s="165"/>
      <c r="R133" s="165"/>
      <c r="S133" s="165"/>
      <c r="T133" s="165"/>
      <c r="U133" s="165"/>
      <c r="V133" s="165"/>
      <c r="W133" s="165"/>
      <c r="X133" s="165"/>
      <c r="Y133" s="165"/>
      <c r="Z133" s="165"/>
    </row>
    <row r="134" spans="16:26">
      <c r="P134" s="165"/>
      <c r="Q134" s="165"/>
      <c r="R134" s="165"/>
      <c r="S134" s="165"/>
      <c r="T134" s="165"/>
      <c r="U134" s="165"/>
      <c r="V134" s="165"/>
      <c r="W134" s="165"/>
      <c r="X134" s="165"/>
      <c r="Y134" s="165"/>
      <c r="Z134" s="165"/>
    </row>
    <row r="135" spans="16:26">
      <c r="P135" s="165"/>
      <c r="Q135" s="165"/>
      <c r="R135" s="165"/>
      <c r="S135" s="165"/>
      <c r="T135" s="165"/>
      <c r="U135" s="165"/>
      <c r="V135" s="165"/>
      <c r="W135" s="165"/>
      <c r="X135" s="165"/>
      <c r="Y135" s="165"/>
      <c r="Z135" s="165"/>
    </row>
    <row r="136" spans="16:26">
      <c r="P136" s="165"/>
      <c r="Q136" s="165"/>
      <c r="R136" s="165"/>
      <c r="S136" s="165"/>
      <c r="T136" s="165"/>
      <c r="U136" s="165"/>
      <c r="V136" s="165"/>
      <c r="W136" s="165"/>
      <c r="X136" s="165"/>
      <c r="Y136" s="165"/>
      <c r="Z136" s="165"/>
    </row>
    <row r="137" spans="16:26">
      <c r="P137" s="165"/>
      <c r="Q137" s="165"/>
      <c r="R137" s="165"/>
      <c r="S137" s="165"/>
      <c r="T137" s="165"/>
      <c r="U137" s="165"/>
      <c r="V137" s="165"/>
      <c r="W137" s="165"/>
      <c r="X137" s="165"/>
      <c r="Y137" s="165"/>
      <c r="Z137" s="165"/>
    </row>
    <row r="138" spans="16:26">
      <c r="P138" s="165"/>
      <c r="Q138" s="165"/>
      <c r="R138" s="165"/>
      <c r="S138" s="165"/>
      <c r="T138" s="165"/>
      <c r="U138" s="165"/>
      <c r="V138" s="165"/>
      <c r="W138" s="165"/>
      <c r="X138" s="165"/>
      <c r="Y138" s="165"/>
      <c r="Z138" s="165"/>
    </row>
    <row r="139" spans="16:26">
      <c r="P139" s="165"/>
      <c r="Q139" s="165"/>
      <c r="R139" s="165"/>
      <c r="S139" s="165"/>
      <c r="T139" s="165"/>
      <c r="U139" s="165"/>
      <c r="V139" s="165"/>
      <c r="W139" s="165"/>
      <c r="X139" s="165"/>
      <c r="Y139" s="165"/>
      <c r="Z139" s="165"/>
    </row>
    <row r="140" spans="16:26">
      <c r="P140" s="165"/>
      <c r="Q140" s="165"/>
      <c r="R140" s="165"/>
      <c r="S140" s="165"/>
      <c r="T140" s="165"/>
      <c r="U140" s="165"/>
      <c r="V140" s="165"/>
      <c r="W140" s="165"/>
      <c r="X140" s="165"/>
      <c r="Y140" s="165"/>
      <c r="Z140" s="165"/>
    </row>
    <row r="141" spans="16:26">
      <c r="P141" s="165"/>
      <c r="Q141" s="165"/>
      <c r="R141" s="165"/>
      <c r="S141" s="165"/>
      <c r="T141" s="165"/>
      <c r="U141" s="165"/>
      <c r="V141" s="165"/>
      <c r="W141" s="165"/>
      <c r="X141" s="165"/>
      <c r="Y141" s="165"/>
      <c r="Z141" s="165"/>
    </row>
    <row r="142" spans="16:26">
      <c r="P142" s="165"/>
      <c r="Q142" s="165"/>
      <c r="R142" s="165"/>
      <c r="S142" s="165"/>
      <c r="T142" s="165"/>
      <c r="U142" s="165"/>
      <c r="V142" s="165"/>
      <c r="W142" s="165"/>
      <c r="X142" s="165"/>
      <c r="Y142" s="165"/>
      <c r="Z142" s="165"/>
    </row>
    <row r="143" spans="16:26">
      <c r="P143" s="165"/>
      <c r="Q143" s="165"/>
      <c r="R143" s="165"/>
      <c r="S143" s="165"/>
      <c r="T143" s="165"/>
      <c r="U143" s="165"/>
      <c r="V143" s="165"/>
      <c r="W143" s="165"/>
      <c r="X143" s="165"/>
      <c r="Y143" s="165"/>
      <c r="Z143" s="165"/>
    </row>
    <row r="144" spans="16:26">
      <c r="P144" s="165"/>
      <c r="Q144" s="165"/>
      <c r="R144" s="165"/>
      <c r="S144" s="165"/>
      <c r="T144" s="165"/>
      <c r="U144" s="165"/>
      <c r="V144" s="165"/>
      <c r="W144" s="165"/>
      <c r="X144" s="165"/>
      <c r="Y144" s="165"/>
      <c r="Z144" s="165"/>
    </row>
    <row r="145" spans="16:26">
      <c r="P145" s="165"/>
      <c r="Q145" s="165"/>
      <c r="R145" s="165"/>
      <c r="S145" s="165"/>
      <c r="T145" s="165"/>
      <c r="U145" s="165"/>
      <c r="V145" s="165"/>
      <c r="W145" s="165"/>
      <c r="X145" s="165"/>
      <c r="Y145" s="165"/>
      <c r="Z145" s="165"/>
    </row>
    <row r="146" spans="16:26">
      <c r="P146" s="165"/>
      <c r="Q146" s="165"/>
      <c r="R146" s="165"/>
      <c r="S146" s="165"/>
      <c r="T146" s="165"/>
      <c r="U146" s="165"/>
      <c r="V146" s="165"/>
      <c r="W146" s="165"/>
      <c r="X146" s="165"/>
      <c r="Y146" s="165"/>
      <c r="Z146" s="165"/>
    </row>
    <row r="147" spans="16:26">
      <c r="P147" s="165"/>
      <c r="Q147" s="165"/>
      <c r="R147" s="165"/>
      <c r="S147" s="165"/>
      <c r="T147" s="165"/>
      <c r="U147" s="165"/>
      <c r="V147" s="165"/>
      <c r="W147" s="165"/>
      <c r="X147" s="165"/>
      <c r="Y147" s="165"/>
      <c r="Z147" s="165"/>
    </row>
    <row r="148" spans="16:26">
      <c r="P148" s="165"/>
      <c r="Q148" s="165"/>
      <c r="R148" s="165"/>
      <c r="S148" s="165"/>
      <c r="T148" s="165"/>
      <c r="U148" s="165"/>
      <c r="V148" s="165"/>
      <c r="W148" s="165"/>
      <c r="X148" s="165"/>
      <c r="Y148" s="165"/>
      <c r="Z148" s="165"/>
    </row>
    <row r="149" spans="16:26">
      <c r="P149" s="165"/>
      <c r="Q149" s="165"/>
      <c r="R149" s="165"/>
      <c r="S149" s="165"/>
      <c r="T149" s="165"/>
      <c r="U149" s="165"/>
      <c r="V149" s="165"/>
      <c r="W149" s="165"/>
      <c r="X149" s="165"/>
      <c r="Y149" s="165"/>
      <c r="Z149" s="165"/>
    </row>
    <row r="150" spans="16:26">
      <c r="P150" s="165"/>
      <c r="Q150" s="165"/>
      <c r="R150" s="165"/>
      <c r="S150" s="165"/>
      <c r="T150" s="165"/>
      <c r="U150" s="165"/>
      <c r="V150" s="165"/>
      <c r="W150" s="165"/>
      <c r="X150" s="165"/>
      <c r="Y150" s="165"/>
      <c r="Z150" s="165"/>
    </row>
    <row r="151" spans="16:26">
      <c r="P151" s="165"/>
      <c r="Q151" s="165"/>
      <c r="R151" s="165"/>
      <c r="S151" s="165"/>
      <c r="T151" s="165"/>
      <c r="U151" s="165"/>
      <c r="V151" s="165"/>
      <c r="W151" s="165"/>
      <c r="X151" s="165"/>
      <c r="Y151" s="165"/>
      <c r="Z151" s="165"/>
    </row>
    <row r="152" spans="16:26">
      <c r="P152" s="165"/>
      <c r="Q152" s="165"/>
      <c r="R152" s="165"/>
      <c r="S152" s="165"/>
      <c r="T152" s="165"/>
      <c r="U152" s="165"/>
      <c r="V152" s="165"/>
      <c r="W152" s="165"/>
      <c r="X152" s="165"/>
      <c r="Y152" s="165"/>
      <c r="Z152" s="165"/>
    </row>
    <row r="153" spans="16:26">
      <c r="P153" s="165"/>
      <c r="Q153" s="165"/>
      <c r="R153" s="165"/>
      <c r="S153" s="165"/>
      <c r="T153" s="165"/>
      <c r="U153" s="165"/>
      <c r="V153" s="165"/>
      <c r="W153" s="165"/>
      <c r="X153" s="165"/>
      <c r="Y153" s="165"/>
      <c r="Z153" s="165"/>
    </row>
    <row r="154" spans="16:26">
      <c r="P154" s="165"/>
      <c r="Q154" s="165"/>
      <c r="R154" s="165"/>
      <c r="S154" s="165"/>
      <c r="T154" s="165"/>
      <c r="U154" s="165"/>
      <c r="V154" s="165"/>
      <c r="W154" s="165"/>
      <c r="X154" s="165"/>
      <c r="Y154" s="165"/>
      <c r="Z154" s="165"/>
    </row>
    <row r="155" spans="16:26">
      <c r="P155" s="165"/>
      <c r="Q155" s="165"/>
      <c r="R155" s="165"/>
      <c r="S155" s="165"/>
      <c r="T155" s="165"/>
      <c r="U155" s="165"/>
      <c r="V155" s="165"/>
      <c r="W155" s="165"/>
      <c r="X155" s="165"/>
      <c r="Y155" s="165"/>
      <c r="Z155" s="165"/>
    </row>
    <row r="156" spans="16:26">
      <c r="P156" s="165"/>
      <c r="Q156" s="165"/>
      <c r="R156" s="165"/>
      <c r="S156" s="165"/>
      <c r="T156" s="165"/>
      <c r="U156" s="165"/>
      <c r="V156" s="165"/>
      <c r="W156" s="165"/>
      <c r="X156" s="165"/>
      <c r="Y156" s="165"/>
      <c r="Z156" s="165"/>
    </row>
    <row r="157" spans="16:26">
      <c r="P157" s="165"/>
      <c r="Q157" s="165"/>
      <c r="R157" s="165"/>
      <c r="S157" s="165"/>
      <c r="T157" s="165"/>
      <c r="U157" s="165"/>
      <c r="V157" s="165"/>
      <c r="W157" s="165"/>
      <c r="X157" s="165"/>
      <c r="Y157" s="165"/>
      <c r="Z157" s="165"/>
    </row>
    <row r="158" spans="16:26">
      <c r="P158" s="165"/>
      <c r="Q158" s="165"/>
      <c r="R158" s="165"/>
      <c r="S158" s="165"/>
      <c r="T158" s="165"/>
      <c r="U158" s="165"/>
      <c r="V158" s="165"/>
      <c r="W158" s="165"/>
      <c r="X158" s="165"/>
      <c r="Y158" s="165"/>
      <c r="Z158" s="165"/>
    </row>
    <row r="159" spans="16:26">
      <c r="P159" s="165"/>
      <c r="Q159" s="165"/>
      <c r="R159" s="165"/>
      <c r="S159" s="165"/>
      <c r="T159" s="165"/>
      <c r="U159" s="165"/>
      <c r="V159" s="165"/>
      <c r="W159" s="165"/>
      <c r="X159" s="165"/>
      <c r="Y159" s="165"/>
      <c r="Z159" s="165"/>
    </row>
    <row r="160" spans="16:26">
      <c r="P160" s="165"/>
      <c r="Q160" s="165"/>
      <c r="R160" s="165"/>
      <c r="S160" s="165"/>
      <c r="T160" s="165"/>
      <c r="U160" s="165"/>
      <c r="V160" s="165"/>
      <c r="W160" s="165"/>
      <c r="X160" s="165"/>
      <c r="Y160" s="165"/>
      <c r="Z160" s="165"/>
    </row>
    <row r="161" spans="16:26">
      <c r="P161" s="165"/>
      <c r="Q161" s="165"/>
      <c r="R161" s="165"/>
      <c r="S161" s="165"/>
      <c r="T161" s="165"/>
      <c r="U161" s="165"/>
      <c r="V161" s="165"/>
      <c r="W161" s="165"/>
      <c r="X161" s="165"/>
      <c r="Y161" s="165"/>
      <c r="Z161" s="165"/>
    </row>
    <row r="162" spans="16:26">
      <c r="P162" s="165"/>
      <c r="Q162" s="165"/>
      <c r="R162" s="165"/>
      <c r="S162" s="165"/>
      <c r="T162" s="165"/>
      <c r="U162" s="165"/>
      <c r="V162" s="165"/>
      <c r="W162" s="165"/>
      <c r="X162" s="165"/>
      <c r="Y162" s="165"/>
      <c r="Z162" s="165"/>
    </row>
    <row r="163" spans="16:26">
      <c r="P163" s="165"/>
      <c r="Q163" s="165"/>
      <c r="R163" s="165"/>
      <c r="S163" s="165"/>
      <c r="T163" s="165"/>
      <c r="U163" s="165"/>
      <c r="V163" s="165"/>
      <c r="W163" s="165"/>
      <c r="X163" s="165"/>
      <c r="Y163" s="165"/>
      <c r="Z163" s="165"/>
    </row>
    <row r="164" spans="16:26">
      <c r="P164" s="165"/>
      <c r="Q164" s="165"/>
      <c r="R164" s="165"/>
      <c r="S164" s="165"/>
      <c r="T164" s="165"/>
      <c r="U164" s="165"/>
      <c r="V164" s="165"/>
      <c r="W164" s="165"/>
      <c r="X164" s="165"/>
      <c r="Y164" s="165"/>
      <c r="Z164" s="165"/>
    </row>
    <row r="165" spans="16:26">
      <c r="P165" s="165"/>
      <c r="Q165" s="165"/>
      <c r="R165" s="165"/>
      <c r="S165" s="165"/>
      <c r="T165" s="165"/>
      <c r="U165" s="165"/>
      <c r="V165" s="165"/>
      <c r="W165" s="165"/>
      <c r="X165" s="165"/>
      <c r="Y165" s="165"/>
      <c r="Z165" s="165"/>
    </row>
    <row r="166" spans="16:26">
      <c r="P166" s="165"/>
      <c r="Q166" s="165"/>
      <c r="R166" s="165"/>
      <c r="S166" s="165"/>
      <c r="T166" s="165"/>
      <c r="U166" s="165"/>
      <c r="V166" s="165"/>
      <c r="W166" s="165"/>
      <c r="X166" s="165"/>
      <c r="Y166" s="165"/>
      <c r="Z166" s="165"/>
    </row>
    <row r="167" spans="16:26">
      <c r="P167" s="165"/>
      <c r="Q167" s="165"/>
      <c r="R167" s="165"/>
      <c r="S167" s="165"/>
      <c r="T167" s="165"/>
      <c r="U167" s="165"/>
      <c r="V167" s="165"/>
      <c r="W167" s="165"/>
      <c r="X167" s="165"/>
      <c r="Y167" s="165"/>
      <c r="Z167" s="165"/>
    </row>
    <row r="168" spans="16:26">
      <c r="P168" s="165"/>
      <c r="Q168" s="165"/>
      <c r="R168" s="165"/>
      <c r="S168" s="165"/>
      <c r="T168" s="165"/>
      <c r="U168" s="165"/>
      <c r="V168" s="165"/>
      <c r="W168" s="165"/>
      <c r="X168" s="165"/>
      <c r="Y168" s="165"/>
      <c r="Z168" s="165"/>
    </row>
    <row r="169" spans="16:26">
      <c r="P169" s="165"/>
      <c r="Q169" s="165"/>
      <c r="R169" s="165"/>
      <c r="S169" s="165"/>
      <c r="T169" s="165"/>
      <c r="U169" s="165"/>
      <c r="V169" s="165"/>
      <c r="W169" s="165"/>
      <c r="X169" s="165"/>
      <c r="Y169" s="165"/>
      <c r="Z169" s="165"/>
    </row>
    <row r="170" spans="16:26">
      <c r="P170" s="165"/>
      <c r="Q170" s="165"/>
      <c r="R170" s="165"/>
      <c r="S170" s="165"/>
      <c r="T170" s="165"/>
      <c r="U170" s="165"/>
      <c r="V170" s="165"/>
      <c r="W170" s="165"/>
      <c r="X170" s="165"/>
      <c r="Y170" s="165"/>
      <c r="Z170" s="165"/>
    </row>
    <row r="171" spans="16:26">
      <c r="P171" s="165"/>
      <c r="Q171" s="165"/>
      <c r="R171" s="165"/>
      <c r="S171" s="165"/>
      <c r="T171" s="165"/>
      <c r="U171" s="165"/>
      <c r="V171" s="165"/>
      <c r="W171" s="165"/>
      <c r="X171" s="165"/>
      <c r="Y171" s="165"/>
      <c r="Z171" s="165"/>
    </row>
    <row r="172" spans="16:26">
      <c r="P172" s="165"/>
      <c r="Q172" s="165"/>
      <c r="R172" s="165"/>
      <c r="S172" s="165"/>
      <c r="T172" s="165"/>
      <c r="U172" s="165"/>
      <c r="V172" s="165"/>
      <c r="W172" s="165"/>
      <c r="X172" s="165"/>
      <c r="Y172" s="165"/>
      <c r="Z172" s="165"/>
    </row>
    <row r="173" spans="16:26">
      <c r="P173" s="165"/>
      <c r="Q173" s="165"/>
      <c r="R173" s="165"/>
      <c r="S173" s="165"/>
      <c r="T173" s="165"/>
      <c r="U173" s="165"/>
      <c r="V173" s="165"/>
      <c r="W173" s="165"/>
      <c r="X173" s="165"/>
      <c r="Y173" s="165"/>
      <c r="Z173" s="165"/>
    </row>
    <row r="174" spans="16:26">
      <c r="P174" s="165"/>
      <c r="Q174" s="165"/>
      <c r="R174" s="165"/>
      <c r="S174" s="165"/>
      <c r="T174" s="165"/>
      <c r="U174" s="165"/>
      <c r="V174" s="165"/>
      <c r="W174" s="165"/>
      <c r="X174" s="165"/>
      <c r="Y174" s="165"/>
      <c r="Z174" s="165"/>
    </row>
    <row r="175" spans="16:26">
      <c r="P175" s="165"/>
      <c r="Q175" s="165"/>
      <c r="R175" s="165"/>
      <c r="S175" s="165"/>
      <c r="T175" s="165"/>
      <c r="U175" s="165"/>
      <c r="V175" s="165"/>
      <c r="W175" s="165"/>
      <c r="X175" s="165"/>
      <c r="Y175" s="165"/>
      <c r="Z175" s="165"/>
    </row>
    <row r="176" spans="16:26">
      <c r="P176" s="165"/>
      <c r="Q176" s="165"/>
      <c r="R176" s="165"/>
      <c r="S176" s="165"/>
      <c r="T176" s="165"/>
      <c r="U176" s="165"/>
      <c r="V176" s="165"/>
      <c r="W176" s="165"/>
      <c r="X176" s="165"/>
      <c r="Y176" s="165"/>
      <c r="Z176" s="165"/>
    </row>
    <row r="177" spans="16:26">
      <c r="P177" s="165"/>
      <c r="Q177" s="165"/>
      <c r="R177" s="165"/>
      <c r="S177" s="165"/>
      <c r="T177" s="165"/>
      <c r="U177" s="165"/>
      <c r="V177" s="165"/>
      <c r="W177" s="165"/>
      <c r="X177" s="165"/>
      <c r="Y177" s="165"/>
      <c r="Z177" s="165"/>
    </row>
    <row r="178" spans="16:26">
      <c r="P178" s="165"/>
      <c r="Q178" s="165"/>
      <c r="R178" s="165"/>
      <c r="S178" s="165"/>
      <c r="T178" s="165"/>
      <c r="U178" s="165"/>
      <c r="V178" s="165"/>
      <c r="W178" s="165"/>
      <c r="X178" s="165"/>
      <c r="Y178" s="165"/>
      <c r="Z178" s="165"/>
    </row>
    <row r="179" spans="16:26">
      <c r="P179" s="165"/>
      <c r="Q179" s="165"/>
      <c r="R179" s="165"/>
      <c r="S179" s="165"/>
      <c r="T179" s="165"/>
      <c r="U179" s="165"/>
      <c r="V179" s="165"/>
      <c r="W179" s="165"/>
      <c r="X179" s="165"/>
      <c r="Y179" s="165"/>
      <c r="Z179" s="165"/>
    </row>
    <row r="180" spans="16:26">
      <c r="P180" s="165"/>
      <c r="Q180" s="165"/>
      <c r="R180" s="165"/>
      <c r="S180" s="165"/>
      <c r="T180" s="165"/>
      <c r="U180" s="165"/>
      <c r="V180" s="165"/>
      <c r="W180" s="165"/>
      <c r="X180" s="165"/>
      <c r="Y180" s="165"/>
      <c r="Z180" s="165"/>
    </row>
    <row r="181" spans="16:26">
      <c r="P181" s="165"/>
      <c r="Q181" s="165"/>
      <c r="R181" s="165"/>
      <c r="S181" s="165"/>
      <c r="T181" s="165"/>
      <c r="U181" s="165"/>
      <c r="V181" s="165"/>
      <c r="W181" s="165"/>
      <c r="X181" s="165"/>
      <c r="Y181" s="165"/>
      <c r="Z181" s="165"/>
    </row>
    <row r="182" spans="16:26">
      <c r="P182" s="165"/>
      <c r="Q182" s="165"/>
      <c r="R182" s="165"/>
      <c r="S182" s="165"/>
      <c r="T182" s="165"/>
      <c r="U182" s="165"/>
      <c r="V182" s="165"/>
      <c r="W182" s="165"/>
      <c r="X182" s="165"/>
      <c r="Y182" s="165"/>
      <c r="Z182" s="165"/>
    </row>
    <row r="183" spans="16:26">
      <c r="P183" s="165"/>
      <c r="Q183" s="165"/>
      <c r="R183" s="165"/>
      <c r="S183" s="165"/>
      <c r="T183" s="165"/>
      <c r="U183" s="165"/>
      <c r="V183" s="165"/>
      <c r="W183" s="165"/>
      <c r="X183" s="165"/>
      <c r="Y183" s="165"/>
      <c r="Z183" s="165"/>
    </row>
    <row r="184" spans="16:26">
      <c r="P184" s="165"/>
      <c r="Q184" s="165"/>
      <c r="R184" s="165"/>
      <c r="S184" s="165"/>
      <c r="T184" s="165"/>
      <c r="U184" s="165"/>
      <c r="V184" s="165"/>
      <c r="W184" s="165"/>
      <c r="X184" s="165"/>
      <c r="Y184" s="165"/>
      <c r="Z184" s="165"/>
    </row>
    <row r="185" spans="16:26">
      <c r="P185" s="165"/>
      <c r="Q185" s="165"/>
      <c r="R185" s="165"/>
      <c r="S185" s="165"/>
      <c r="T185" s="165"/>
      <c r="U185" s="165"/>
      <c r="V185" s="165"/>
      <c r="W185" s="165"/>
      <c r="X185" s="165"/>
      <c r="Y185" s="165"/>
      <c r="Z185" s="165"/>
    </row>
    <row r="186" spans="16:26">
      <c r="P186" s="165"/>
      <c r="Q186" s="165"/>
      <c r="R186" s="165"/>
      <c r="S186" s="165"/>
      <c r="T186" s="165"/>
      <c r="U186" s="165"/>
      <c r="V186" s="165"/>
      <c r="W186" s="165"/>
      <c r="X186" s="165"/>
      <c r="Y186" s="165"/>
      <c r="Z186" s="165"/>
    </row>
    <row r="187" spans="16:26">
      <c r="P187" s="165"/>
      <c r="Q187" s="165"/>
      <c r="R187" s="165"/>
      <c r="S187" s="165"/>
      <c r="T187" s="165"/>
      <c r="U187" s="165"/>
      <c r="V187" s="165"/>
      <c r="W187" s="165"/>
      <c r="X187" s="165"/>
      <c r="Y187" s="165"/>
      <c r="Z187" s="165"/>
    </row>
    <row r="188" spans="16:26">
      <c r="P188" s="165"/>
      <c r="Q188" s="165"/>
      <c r="R188" s="165"/>
      <c r="S188" s="165"/>
      <c r="T188" s="165"/>
      <c r="U188" s="165"/>
      <c r="V188" s="165"/>
      <c r="W188" s="165"/>
      <c r="X188" s="165"/>
      <c r="Y188" s="165"/>
      <c r="Z188" s="165"/>
    </row>
    <row r="189" spans="16:26">
      <c r="P189" s="165"/>
      <c r="Q189" s="165"/>
      <c r="R189" s="165"/>
      <c r="S189" s="165"/>
      <c r="T189" s="165"/>
      <c r="U189" s="165"/>
      <c r="V189" s="165"/>
      <c r="W189" s="165"/>
      <c r="X189" s="165"/>
      <c r="Y189" s="165"/>
      <c r="Z189" s="165"/>
    </row>
    <row r="190" spans="16:26">
      <c r="P190" s="165"/>
      <c r="Q190" s="165"/>
      <c r="R190" s="165"/>
      <c r="S190" s="165"/>
      <c r="T190" s="165"/>
      <c r="U190" s="165"/>
      <c r="V190" s="165"/>
      <c r="W190" s="165"/>
      <c r="X190" s="165"/>
      <c r="Y190" s="165"/>
      <c r="Z190" s="165"/>
    </row>
    <row r="191" spans="16:26">
      <c r="P191" s="165"/>
      <c r="Q191" s="165"/>
      <c r="R191" s="165"/>
      <c r="S191" s="165"/>
      <c r="T191" s="165"/>
      <c r="U191" s="165"/>
      <c r="V191" s="165"/>
      <c r="W191" s="165"/>
      <c r="X191" s="165"/>
      <c r="Y191" s="165"/>
      <c r="Z191" s="165"/>
    </row>
    <row r="192" spans="16:26">
      <c r="P192" s="165"/>
      <c r="Q192" s="165"/>
      <c r="R192" s="165"/>
      <c r="S192" s="165"/>
      <c r="T192" s="165"/>
      <c r="U192" s="165"/>
      <c r="V192" s="165"/>
      <c r="W192" s="165"/>
      <c r="X192" s="165"/>
      <c r="Y192" s="165"/>
      <c r="Z192" s="165"/>
    </row>
    <row r="193" spans="16:26">
      <c r="P193" s="165"/>
      <c r="Q193" s="165"/>
      <c r="R193" s="165"/>
      <c r="S193" s="165"/>
      <c r="T193" s="165"/>
      <c r="U193" s="165"/>
      <c r="V193" s="165"/>
      <c r="W193" s="165"/>
      <c r="X193" s="165"/>
      <c r="Y193" s="165"/>
      <c r="Z193" s="165"/>
    </row>
    <row r="194" spans="16:26">
      <c r="P194" s="165"/>
      <c r="Q194" s="165"/>
      <c r="R194" s="165"/>
      <c r="S194" s="165"/>
      <c r="T194" s="165"/>
      <c r="U194" s="165"/>
      <c r="V194" s="165"/>
      <c r="W194" s="165"/>
      <c r="X194" s="165"/>
      <c r="Y194" s="165"/>
      <c r="Z194" s="165"/>
    </row>
    <row r="195" spans="16:26">
      <c r="P195" s="165"/>
      <c r="Q195" s="165"/>
      <c r="R195" s="165"/>
      <c r="S195" s="165"/>
      <c r="T195" s="165"/>
      <c r="U195" s="165"/>
      <c r="V195" s="165"/>
      <c r="W195" s="165"/>
      <c r="X195" s="165"/>
      <c r="Y195" s="165"/>
      <c r="Z195" s="165"/>
    </row>
    <row r="196" spans="16:26">
      <c r="P196" s="165"/>
      <c r="Q196" s="165"/>
      <c r="R196" s="165"/>
      <c r="S196" s="165"/>
      <c r="T196" s="165"/>
      <c r="U196" s="165"/>
      <c r="V196" s="165"/>
      <c r="W196" s="165"/>
      <c r="X196" s="165"/>
      <c r="Y196" s="165"/>
      <c r="Z196" s="165"/>
    </row>
    <row r="197" spans="16:26">
      <c r="P197" s="165"/>
      <c r="Q197" s="165"/>
      <c r="R197" s="165"/>
      <c r="S197" s="165"/>
      <c r="T197" s="165"/>
      <c r="U197" s="165"/>
      <c r="V197" s="165"/>
      <c r="W197" s="165"/>
      <c r="X197" s="165"/>
      <c r="Y197" s="165"/>
      <c r="Z197" s="165"/>
    </row>
    <row r="198" spans="16:26">
      <c r="P198" s="165"/>
      <c r="Q198" s="165"/>
      <c r="R198" s="165"/>
      <c r="S198" s="165"/>
      <c r="T198" s="165"/>
      <c r="U198" s="165"/>
      <c r="V198" s="165"/>
      <c r="W198" s="165"/>
      <c r="X198" s="165"/>
      <c r="Y198" s="165"/>
      <c r="Z198" s="165"/>
    </row>
    <row r="199" spans="16:26">
      <c r="P199" s="165"/>
      <c r="Q199" s="165"/>
      <c r="R199" s="165"/>
      <c r="S199" s="165"/>
      <c r="T199" s="165"/>
      <c r="U199" s="165"/>
      <c r="V199" s="165"/>
      <c r="W199" s="165"/>
      <c r="X199" s="165"/>
      <c r="Y199" s="165"/>
      <c r="Z199" s="165"/>
    </row>
    <row r="200" spans="16:26">
      <c r="P200" s="165"/>
      <c r="Q200" s="165"/>
      <c r="R200" s="165"/>
      <c r="S200" s="165"/>
      <c r="T200" s="165"/>
      <c r="U200" s="165"/>
      <c r="V200" s="165"/>
      <c r="W200" s="165"/>
      <c r="X200" s="165"/>
      <c r="Y200" s="165"/>
      <c r="Z200" s="165"/>
    </row>
    <row r="201" spans="16:26">
      <c r="P201" s="165"/>
      <c r="Q201" s="165"/>
      <c r="R201" s="165"/>
      <c r="S201" s="165"/>
      <c r="T201" s="165"/>
      <c r="U201" s="165"/>
      <c r="V201" s="165"/>
      <c r="W201" s="165"/>
      <c r="X201" s="165"/>
      <c r="Y201" s="165"/>
      <c r="Z201" s="165"/>
    </row>
    <row r="202" spans="16:26">
      <c r="P202" s="165"/>
      <c r="Q202" s="165"/>
      <c r="R202" s="165"/>
      <c r="S202" s="165"/>
      <c r="T202" s="165"/>
      <c r="U202" s="165"/>
      <c r="V202" s="165"/>
      <c r="W202" s="165"/>
      <c r="X202" s="165"/>
      <c r="Y202" s="165"/>
      <c r="Z202" s="165"/>
    </row>
    <row r="203" spans="16:26">
      <c r="P203" s="165"/>
      <c r="Q203" s="165"/>
      <c r="R203" s="165"/>
      <c r="S203" s="165"/>
      <c r="T203" s="165"/>
      <c r="U203" s="165"/>
      <c r="V203" s="165"/>
      <c r="W203" s="165"/>
      <c r="X203" s="165"/>
      <c r="Y203" s="165"/>
      <c r="Z203" s="165"/>
    </row>
    <row r="204" spans="16:26">
      <c r="P204" s="165"/>
      <c r="Q204" s="165"/>
      <c r="R204" s="165"/>
      <c r="S204" s="165"/>
      <c r="T204" s="165"/>
      <c r="U204" s="165"/>
      <c r="V204" s="165"/>
      <c r="W204" s="165"/>
      <c r="X204" s="165"/>
      <c r="Y204" s="165"/>
      <c r="Z204" s="165"/>
    </row>
    <row r="205" spans="16:26">
      <c r="P205" s="165"/>
      <c r="Q205" s="165"/>
      <c r="R205" s="165"/>
      <c r="S205" s="165"/>
      <c r="T205" s="165"/>
      <c r="U205" s="165"/>
      <c r="V205" s="165"/>
      <c r="W205" s="165"/>
      <c r="X205" s="165"/>
      <c r="Y205" s="165"/>
      <c r="Z205" s="165"/>
    </row>
    <row r="206" spans="16:26">
      <c r="P206" s="165"/>
      <c r="Q206" s="165"/>
      <c r="R206" s="165"/>
      <c r="S206" s="165"/>
      <c r="T206" s="165"/>
      <c r="U206" s="165"/>
      <c r="V206" s="165"/>
      <c r="W206" s="165"/>
      <c r="X206" s="165"/>
      <c r="Y206" s="165"/>
      <c r="Z206" s="165"/>
    </row>
    <row r="207" spans="16:26">
      <c r="P207" s="165"/>
      <c r="Q207" s="165"/>
      <c r="R207" s="165"/>
      <c r="S207" s="165"/>
      <c r="T207" s="165"/>
      <c r="U207" s="165"/>
      <c r="V207" s="165"/>
      <c r="W207" s="165"/>
      <c r="X207" s="165"/>
      <c r="Y207" s="165"/>
      <c r="Z207" s="165"/>
    </row>
    <row r="208" spans="16:26">
      <c r="P208" s="165"/>
      <c r="Q208" s="165"/>
      <c r="R208" s="165"/>
      <c r="S208" s="165"/>
      <c r="T208" s="165"/>
      <c r="U208" s="165"/>
      <c r="V208" s="165"/>
      <c r="W208" s="165"/>
      <c r="X208" s="165"/>
      <c r="Y208" s="165"/>
      <c r="Z208" s="165"/>
    </row>
    <row r="209" spans="16:26">
      <c r="P209" s="165"/>
      <c r="Q209" s="165"/>
      <c r="R209" s="165"/>
      <c r="S209" s="165"/>
      <c r="T209" s="165"/>
      <c r="U209" s="165"/>
      <c r="V209" s="165"/>
      <c r="W209" s="165"/>
      <c r="X209" s="165"/>
      <c r="Y209" s="165"/>
      <c r="Z209" s="165"/>
    </row>
    <row r="210" spans="16:26">
      <c r="P210" s="165"/>
      <c r="Q210" s="165"/>
      <c r="R210" s="165"/>
      <c r="S210" s="165"/>
      <c r="T210" s="165"/>
      <c r="U210" s="165"/>
      <c r="V210" s="165"/>
      <c r="W210" s="165"/>
      <c r="X210" s="165"/>
      <c r="Y210" s="165"/>
      <c r="Z210" s="165"/>
    </row>
    <row r="211" spans="16:26">
      <c r="P211" s="165"/>
      <c r="Q211" s="165"/>
      <c r="R211" s="165"/>
      <c r="S211" s="165"/>
      <c r="T211" s="165"/>
      <c r="U211" s="165"/>
      <c r="V211" s="165"/>
      <c r="W211" s="165"/>
      <c r="X211" s="165"/>
      <c r="Y211" s="165"/>
      <c r="Z211" s="165"/>
    </row>
    <row r="212" spans="16:26">
      <c r="P212" s="165"/>
      <c r="Q212" s="165"/>
      <c r="R212" s="165"/>
      <c r="S212" s="165"/>
      <c r="T212" s="165"/>
      <c r="U212" s="165"/>
      <c r="V212" s="165"/>
      <c r="W212" s="165"/>
      <c r="X212" s="165"/>
      <c r="Y212" s="165"/>
      <c r="Z212" s="165"/>
    </row>
    <row r="213" spans="16:26">
      <c r="P213" s="165"/>
      <c r="Q213" s="165"/>
      <c r="R213" s="165"/>
      <c r="S213" s="165"/>
      <c r="T213" s="165"/>
      <c r="U213" s="165"/>
      <c r="V213" s="165"/>
      <c r="W213" s="165"/>
      <c r="X213" s="165"/>
      <c r="Y213" s="165"/>
      <c r="Z213" s="165"/>
    </row>
    <row r="214" spans="16:26">
      <c r="P214" s="165"/>
      <c r="Q214" s="165"/>
      <c r="R214" s="165"/>
      <c r="S214" s="165"/>
      <c r="T214" s="165"/>
      <c r="U214" s="165"/>
      <c r="V214" s="165"/>
      <c r="W214" s="165"/>
      <c r="X214" s="165"/>
      <c r="Y214" s="165"/>
      <c r="Z214" s="165"/>
    </row>
    <row r="215" spans="16:26">
      <c r="P215" s="165"/>
      <c r="Q215" s="165"/>
      <c r="R215" s="165"/>
      <c r="S215" s="165"/>
      <c r="T215" s="165"/>
      <c r="U215" s="165"/>
      <c r="V215" s="165"/>
      <c r="W215" s="165"/>
      <c r="X215" s="165"/>
      <c r="Y215" s="165"/>
      <c r="Z215" s="165"/>
    </row>
    <row r="216" spans="16:26">
      <c r="P216" s="165"/>
      <c r="Q216" s="165"/>
      <c r="R216" s="165"/>
      <c r="S216" s="165"/>
      <c r="T216" s="165"/>
      <c r="U216" s="165"/>
      <c r="V216" s="165"/>
      <c r="W216" s="165"/>
      <c r="X216" s="165"/>
      <c r="Y216" s="165"/>
      <c r="Z216" s="165"/>
    </row>
    <row r="217" spans="16:26">
      <c r="P217" s="165"/>
      <c r="Q217" s="165"/>
      <c r="R217" s="165"/>
      <c r="S217" s="165"/>
      <c r="T217" s="165"/>
      <c r="U217" s="165"/>
      <c r="V217" s="165"/>
      <c r="W217" s="165"/>
      <c r="X217" s="165"/>
      <c r="Y217" s="165"/>
      <c r="Z217" s="165"/>
    </row>
    <row r="218" spans="16:26">
      <c r="P218" s="165"/>
      <c r="Q218" s="165"/>
      <c r="R218" s="165"/>
      <c r="S218" s="165"/>
      <c r="T218" s="165"/>
      <c r="U218" s="165"/>
      <c r="V218" s="165"/>
      <c r="W218" s="165"/>
      <c r="X218" s="165"/>
      <c r="Y218" s="165"/>
      <c r="Z218" s="165"/>
    </row>
    <row r="219" spans="16:26">
      <c r="P219" s="165"/>
      <c r="Q219" s="165"/>
      <c r="R219" s="165"/>
      <c r="S219" s="165"/>
      <c r="T219" s="165"/>
      <c r="U219" s="165"/>
      <c r="V219" s="165"/>
      <c r="W219" s="165"/>
      <c r="X219" s="165"/>
      <c r="Y219" s="165"/>
      <c r="Z219" s="165"/>
    </row>
    <row r="220" spans="16:26">
      <c r="P220" s="165"/>
      <c r="Q220" s="165"/>
      <c r="R220" s="165"/>
      <c r="S220" s="165"/>
      <c r="T220" s="165"/>
      <c r="U220" s="165"/>
      <c r="V220" s="165"/>
      <c r="W220" s="165"/>
      <c r="X220" s="165"/>
      <c r="Y220" s="165"/>
      <c r="Z220" s="165"/>
    </row>
    <row r="221" spans="16:26">
      <c r="P221" s="165"/>
      <c r="Q221" s="165"/>
      <c r="R221" s="165"/>
      <c r="S221" s="165"/>
      <c r="T221" s="165"/>
      <c r="U221" s="165"/>
      <c r="V221" s="165"/>
      <c r="W221" s="165"/>
      <c r="X221" s="165"/>
      <c r="Y221" s="165"/>
      <c r="Z221" s="165"/>
    </row>
    <row r="222" spans="16:26">
      <c r="P222" s="165"/>
      <c r="Q222" s="165"/>
      <c r="R222" s="165"/>
      <c r="S222" s="165"/>
      <c r="T222" s="165"/>
      <c r="U222" s="165"/>
      <c r="V222" s="165"/>
      <c r="W222" s="165"/>
      <c r="X222" s="165"/>
      <c r="Y222" s="165"/>
      <c r="Z222" s="165"/>
    </row>
    <row r="223" spans="16:26">
      <c r="P223" s="165"/>
      <c r="Q223" s="165"/>
      <c r="R223" s="165"/>
      <c r="S223" s="165"/>
      <c r="T223" s="165"/>
      <c r="U223" s="165"/>
      <c r="V223" s="165"/>
      <c r="W223" s="165"/>
      <c r="X223" s="165"/>
      <c r="Y223" s="165"/>
      <c r="Z223" s="165"/>
    </row>
    <row r="224" spans="16:26">
      <c r="P224" s="165"/>
      <c r="Q224" s="165"/>
      <c r="R224" s="165"/>
      <c r="S224" s="165"/>
      <c r="T224" s="165"/>
      <c r="U224" s="165"/>
      <c r="V224" s="165"/>
      <c r="W224" s="165"/>
      <c r="X224" s="165"/>
      <c r="Y224" s="165"/>
      <c r="Z224" s="165"/>
    </row>
    <row r="225" spans="16:26">
      <c r="P225" s="165"/>
      <c r="Q225" s="165"/>
      <c r="R225" s="165"/>
      <c r="S225" s="165"/>
      <c r="T225" s="165"/>
      <c r="U225" s="165"/>
      <c r="V225" s="165"/>
      <c r="W225" s="165"/>
      <c r="X225" s="165"/>
      <c r="Y225" s="165"/>
      <c r="Z225" s="165"/>
    </row>
    <row r="226" spans="16:26">
      <c r="P226" s="165"/>
      <c r="Q226" s="165"/>
      <c r="R226" s="165"/>
      <c r="S226" s="165"/>
      <c r="T226" s="165"/>
      <c r="U226" s="165"/>
      <c r="V226" s="165"/>
      <c r="W226" s="165"/>
      <c r="X226" s="165"/>
      <c r="Y226" s="165"/>
      <c r="Z226" s="165"/>
    </row>
    <row r="227" spans="16:26">
      <c r="P227" s="165"/>
      <c r="Q227" s="165"/>
      <c r="R227" s="165"/>
      <c r="S227" s="165"/>
      <c r="T227" s="165"/>
      <c r="U227" s="165"/>
      <c r="V227" s="165"/>
      <c r="W227" s="165"/>
      <c r="X227" s="165"/>
      <c r="Y227" s="165"/>
      <c r="Z227" s="165"/>
    </row>
    <row r="228" spans="16:26">
      <c r="P228" s="165"/>
      <c r="Q228" s="165"/>
      <c r="R228" s="165"/>
      <c r="S228" s="165"/>
      <c r="T228" s="165"/>
      <c r="U228" s="165"/>
      <c r="V228" s="165"/>
      <c r="W228" s="165"/>
      <c r="X228" s="165"/>
      <c r="Y228" s="165"/>
      <c r="Z228" s="165"/>
    </row>
    <row r="229" spans="16:26">
      <c r="P229" s="165"/>
      <c r="Q229" s="165"/>
      <c r="R229" s="165"/>
      <c r="S229" s="165"/>
      <c r="T229" s="165"/>
      <c r="U229" s="165"/>
      <c r="V229" s="165"/>
      <c r="W229" s="165"/>
      <c r="X229" s="165"/>
      <c r="Y229" s="165"/>
      <c r="Z229" s="165"/>
    </row>
    <row r="230" spans="16:26">
      <c r="P230" s="165"/>
      <c r="Q230" s="165"/>
      <c r="R230" s="165"/>
      <c r="S230" s="165"/>
      <c r="T230" s="165"/>
      <c r="U230" s="165"/>
      <c r="V230" s="165"/>
      <c r="W230" s="165"/>
      <c r="X230" s="165"/>
      <c r="Y230" s="165"/>
      <c r="Z230" s="165"/>
    </row>
    <row r="231" spans="16:26">
      <c r="P231" s="165"/>
      <c r="Q231" s="165"/>
      <c r="R231" s="165"/>
      <c r="S231" s="165"/>
      <c r="T231" s="165"/>
      <c r="U231" s="165"/>
      <c r="V231" s="165"/>
      <c r="W231" s="165"/>
      <c r="X231" s="165"/>
      <c r="Y231" s="165"/>
      <c r="Z231" s="165"/>
    </row>
    <row r="232" spans="16:26">
      <c r="P232" s="165"/>
      <c r="Q232" s="165"/>
      <c r="R232" s="165"/>
      <c r="S232" s="165"/>
      <c r="T232" s="165"/>
      <c r="U232" s="165"/>
      <c r="V232" s="165"/>
      <c r="W232" s="165"/>
      <c r="X232" s="165"/>
      <c r="Y232" s="165"/>
      <c r="Z232" s="165"/>
    </row>
    <row r="233" spans="16:26">
      <c r="P233" s="165"/>
      <c r="Q233" s="165"/>
      <c r="R233" s="165"/>
      <c r="S233" s="165"/>
      <c r="T233" s="165"/>
      <c r="U233" s="165"/>
      <c r="V233" s="165"/>
      <c r="W233" s="165"/>
      <c r="X233" s="165"/>
      <c r="Y233" s="165"/>
      <c r="Z233" s="165"/>
    </row>
    <row r="234" spans="16:26">
      <c r="P234" s="165"/>
      <c r="Q234" s="165"/>
      <c r="R234" s="165"/>
      <c r="S234" s="165"/>
      <c r="T234" s="165"/>
      <c r="U234" s="165"/>
      <c r="V234" s="165"/>
      <c r="W234" s="165"/>
      <c r="X234" s="165"/>
      <c r="Y234" s="165"/>
      <c r="Z234" s="165"/>
    </row>
    <row r="235" spans="16:26">
      <c r="P235" s="165"/>
      <c r="Q235" s="165"/>
      <c r="R235" s="165"/>
      <c r="S235" s="165"/>
      <c r="T235" s="165"/>
      <c r="U235" s="165"/>
      <c r="V235" s="165"/>
      <c r="W235" s="165"/>
      <c r="X235" s="165"/>
      <c r="Y235" s="165"/>
      <c r="Z235" s="165"/>
    </row>
    <row r="236" spans="16:26">
      <c r="P236" s="165"/>
      <c r="Q236" s="165"/>
      <c r="R236" s="165"/>
      <c r="S236" s="165"/>
      <c r="T236" s="165"/>
      <c r="U236" s="165"/>
      <c r="V236" s="165"/>
      <c r="W236" s="165"/>
      <c r="X236" s="165"/>
      <c r="Y236" s="165"/>
      <c r="Z236" s="165"/>
    </row>
    <row r="237" spans="16:26">
      <c r="P237" s="165"/>
      <c r="Q237" s="165"/>
      <c r="R237" s="165"/>
      <c r="S237" s="165"/>
      <c r="T237" s="165"/>
      <c r="U237" s="165"/>
      <c r="V237" s="165"/>
      <c r="W237" s="165"/>
      <c r="X237" s="165"/>
      <c r="Y237" s="165"/>
      <c r="Z237" s="165"/>
    </row>
    <row r="238" spans="16:26">
      <c r="P238" s="165"/>
      <c r="Q238" s="165"/>
      <c r="R238" s="165"/>
      <c r="S238" s="165"/>
      <c r="T238" s="165"/>
      <c r="U238" s="165"/>
      <c r="V238" s="165"/>
      <c r="W238" s="165"/>
      <c r="X238" s="165"/>
      <c r="Y238" s="165"/>
      <c r="Z238" s="165"/>
    </row>
    <row r="239" spans="16:26">
      <c r="P239" s="165"/>
      <c r="Q239" s="165"/>
      <c r="R239" s="165"/>
      <c r="S239" s="165"/>
      <c r="T239" s="165"/>
      <c r="U239" s="165"/>
      <c r="V239" s="165"/>
      <c r="W239" s="165"/>
      <c r="X239" s="165"/>
      <c r="Y239" s="165"/>
      <c r="Z239" s="165"/>
    </row>
    <row r="240" spans="16:26">
      <c r="P240" s="165"/>
      <c r="Q240" s="165"/>
      <c r="R240" s="165"/>
      <c r="S240" s="165"/>
      <c r="T240" s="165"/>
      <c r="U240" s="165"/>
      <c r="V240" s="165"/>
      <c r="W240" s="165"/>
      <c r="X240" s="165"/>
      <c r="Y240" s="165"/>
      <c r="Z240" s="165"/>
    </row>
    <row r="241" spans="16:26">
      <c r="P241" s="165"/>
      <c r="Q241" s="165"/>
      <c r="R241" s="165"/>
      <c r="S241" s="165"/>
      <c r="T241" s="165"/>
      <c r="U241" s="165"/>
      <c r="V241" s="165"/>
      <c r="W241" s="165"/>
      <c r="X241" s="165"/>
      <c r="Y241" s="165"/>
      <c r="Z241" s="165"/>
    </row>
    <row r="242" spans="16:26">
      <c r="P242" s="165"/>
      <c r="Q242" s="165"/>
      <c r="R242" s="165"/>
      <c r="S242" s="165"/>
      <c r="T242" s="165"/>
      <c r="U242" s="165"/>
      <c r="V242" s="165"/>
      <c r="W242" s="165"/>
      <c r="X242" s="165"/>
      <c r="Y242" s="165"/>
      <c r="Z242" s="165"/>
    </row>
    <row r="243" spans="16:26">
      <c r="P243" s="165"/>
      <c r="Q243" s="165"/>
      <c r="R243" s="165"/>
      <c r="S243" s="165"/>
      <c r="T243" s="165"/>
      <c r="U243" s="165"/>
      <c r="V243" s="165"/>
      <c r="W243" s="165"/>
      <c r="X243" s="165"/>
      <c r="Y243" s="165"/>
      <c r="Z243" s="165"/>
    </row>
    <row r="244" spans="16:26">
      <c r="P244" s="165"/>
      <c r="Q244" s="165"/>
      <c r="R244" s="165"/>
      <c r="S244" s="165"/>
      <c r="T244" s="165"/>
      <c r="U244" s="165"/>
      <c r="V244" s="165"/>
      <c r="W244" s="165"/>
      <c r="X244" s="165"/>
      <c r="Y244" s="165"/>
      <c r="Z244" s="165"/>
    </row>
    <row r="245" spans="16:26">
      <c r="P245" s="165"/>
      <c r="Q245" s="165"/>
      <c r="R245" s="165"/>
      <c r="S245" s="165"/>
      <c r="T245" s="165"/>
      <c r="U245" s="165"/>
      <c r="V245" s="165"/>
      <c r="W245" s="165"/>
      <c r="X245" s="165"/>
      <c r="Y245" s="165"/>
      <c r="Z245" s="165"/>
    </row>
    <row r="246" spans="16:26">
      <c r="P246" s="165"/>
      <c r="Q246" s="165"/>
      <c r="R246" s="165"/>
      <c r="S246" s="165"/>
      <c r="T246" s="165"/>
      <c r="U246" s="165"/>
      <c r="V246" s="165"/>
      <c r="W246" s="165"/>
      <c r="X246" s="165"/>
      <c r="Y246" s="165"/>
      <c r="Z246" s="165"/>
    </row>
    <row r="247" spans="16:26">
      <c r="P247" s="165"/>
      <c r="Q247" s="165"/>
      <c r="R247" s="165"/>
      <c r="S247" s="165"/>
      <c r="T247" s="165"/>
      <c r="U247" s="165"/>
      <c r="V247" s="165"/>
      <c r="W247" s="165"/>
      <c r="X247" s="165"/>
      <c r="Y247" s="165"/>
      <c r="Z247" s="165"/>
    </row>
    <row r="248" spans="16:26">
      <c r="P248" s="165"/>
      <c r="Q248" s="165"/>
      <c r="R248" s="165"/>
      <c r="S248" s="165"/>
      <c r="T248" s="165"/>
      <c r="U248" s="165"/>
      <c r="V248" s="165"/>
      <c r="W248" s="165"/>
      <c r="X248" s="165"/>
      <c r="Y248" s="165"/>
      <c r="Z248" s="165"/>
    </row>
    <row r="249" spans="16:26">
      <c r="P249" s="165"/>
      <c r="Q249" s="165"/>
      <c r="R249" s="165"/>
      <c r="S249" s="165"/>
      <c r="T249" s="165"/>
      <c r="U249" s="165"/>
      <c r="V249" s="165"/>
      <c r="W249" s="165"/>
      <c r="X249" s="165"/>
      <c r="Y249" s="165"/>
      <c r="Z249" s="165"/>
    </row>
    <row r="250" spans="16:26">
      <c r="P250" s="165"/>
      <c r="Q250" s="165"/>
      <c r="R250" s="165"/>
      <c r="S250" s="165"/>
      <c r="T250" s="165"/>
      <c r="U250" s="165"/>
      <c r="V250" s="165"/>
      <c r="W250" s="165"/>
      <c r="X250" s="165"/>
      <c r="Y250" s="165"/>
      <c r="Z250" s="165"/>
    </row>
    <row r="251" spans="16:26">
      <c r="P251" s="165"/>
      <c r="Q251" s="165"/>
      <c r="R251" s="165"/>
      <c r="S251" s="165"/>
      <c r="T251" s="165"/>
      <c r="U251" s="165"/>
      <c r="V251" s="165"/>
      <c r="W251" s="165"/>
      <c r="X251" s="165"/>
      <c r="Y251" s="165"/>
      <c r="Z251" s="165"/>
    </row>
    <row r="252" spans="16:26">
      <c r="P252" s="165"/>
      <c r="Q252" s="165"/>
      <c r="R252" s="165"/>
      <c r="S252" s="165"/>
      <c r="T252" s="165"/>
      <c r="U252" s="165"/>
      <c r="V252" s="165"/>
      <c r="W252" s="165"/>
      <c r="X252" s="165"/>
      <c r="Y252" s="165"/>
      <c r="Z252" s="165"/>
    </row>
    <row r="253" spans="16:26">
      <c r="P253" s="165"/>
      <c r="Q253" s="165"/>
      <c r="R253" s="165"/>
      <c r="S253" s="165"/>
      <c r="T253" s="165"/>
      <c r="U253" s="165"/>
      <c r="V253" s="165"/>
      <c r="W253" s="165"/>
      <c r="X253" s="165"/>
      <c r="Y253" s="165"/>
      <c r="Z253" s="165"/>
    </row>
    <row r="254" spans="16:26">
      <c r="P254" s="165"/>
      <c r="Q254" s="165"/>
      <c r="R254" s="165"/>
      <c r="S254" s="165"/>
      <c r="T254" s="165"/>
      <c r="U254" s="165"/>
      <c r="V254" s="165"/>
      <c r="W254" s="165"/>
      <c r="X254" s="165"/>
      <c r="Y254" s="165"/>
      <c r="Z254" s="165"/>
    </row>
    <row r="255" spans="16:26">
      <c r="P255" s="165"/>
      <c r="Q255" s="165"/>
      <c r="R255" s="165"/>
      <c r="S255" s="165"/>
      <c r="T255" s="165"/>
      <c r="U255" s="165"/>
      <c r="V255" s="165"/>
      <c r="W255" s="165"/>
      <c r="X255" s="165"/>
      <c r="Y255" s="165"/>
      <c r="Z255" s="165"/>
    </row>
    <row r="256" spans="16:26">
      <c r="P256" s="165"/>
      <c r="Q256" s="165"/>
      <c r="R256" s="165"/>
      <c r="S256" s="165"/>
      <c r="T256" s="165"/>
      <c r="U256" s="165"/>
      <c r="V256" s="165"/>
      <c r="W256" s="165"/>
      <c r="X256" s="165"/>
      <c r="Y256" s="165"/>
      <c r="Z256" s="165"/>
    </row>
    <row r="257" spans="16:26">
      <c r="P257" s="165"/>
      <c r="Q257" s="165"/>
      <c r="R257" s="165"/>
      <c r="S257" s="165"/>
      <c r="T257" s="165"/>
      <c r="U257" s="165"/>
      <c r="V257" s="165"/>
      <c r="W257" s="165"/>
      <c r="X257" s="165"/>
      <c r="Y257" s="165"/>
      <c r="Z257" s="165"/>
    </row>
    <row r="258" spans="16:26">
      <c r="P258" s="165"/>
      <c r="Q258" s="165"/>
      <c r="R258" s="165"/>
      <c r="S258" s="165"/>
      <c r="T258" s="165"/>
      <c r="U258" s="165"/>
      <c r="V258" s="165"/>
      <c r="W258" s="165"/>
      <c r="X258" s="165"/>
      <c r="Y258" s="165"/>
      <c r="Z258" s="165"/>
    </row>
    <row r="259" spans="16:26">
      <c r="P259" s="165"/>
      <c r="Q259" s="165"/>
      <c r="R259" s="165"/>
      <c r="S259" s="165"/>
      <c r="T259" s="165"/>
      <c r="U259" s="165"/>
      <c r="V259" s="165"/>
      <c r="W259" s="165"/>
      <c r="X259" s="165"/>
      <c r="Y259" s="165"/>
      <c r="Z259" s="165"/>
    </row>
    <row r="260" spans="16:26">
      <c r="P260" s="165"/>
      <c r="Q260" s="165"/>
      <c r="R260" s="165"/>
      <c r="S260" s="165"/>
      <c r="T260" s="165"/>
      <c r="U260" s="165"/>
      <c r="V260" s="165"/>
      <c r="W260" s="165"/>
      <c r="X260" s="165"/>
      <c r="Y260" s="165"/>
      <c r="Z260" s="165"/>
    </row>
    <row r="261" spans="16:26">
      <c r="P261" s="165"/>
      <c r="Q261" s="165"/>
      <c r="R261" s="165"/>
      <c r="S261" s="165"/>
      <c r="T261" s="165"/>
      <c r="U261" s="165"/>
      <c r="V261" s="165"/>
      <c r="W261" s="165"/>
      <c r="X261" s="165"/>
      <c r="Y261" s="165"/>
      <c r="Z261" s="165"/>
    </row>
    <row r="262" spans="16:26">
      <c r="P262" s="165"/>
      <c r="Q262" s="165"/>
      <c r="R262" s="165"/>
      <c r="S262" s="165"/>
      <c r="T262" s="165"/>
      <c r="U262" s="165"/>
      <c r="V262" s="165"/>
      <c r="W262" s="165"/>
      <c r="X262" s="165"/>
      <c r="Y262" s="165"/>
      <c r="Z262" s="165"/>
    </row>
    <row r="263" spans="16:26">
      <c r="P263" s="165"/>
      <c r="Q263" s="165"/>
      <c r="R263" s="165"/>
      <c r="S263" s="165"/>
      <c r="T263" s="165"/>
      <c r="U263" s="165"/>
      <c r="V263" s="165"/>
      <c r="W263" s="165"/>
      <c r="X263" s="165"/>
      <c r="Y263" s="165"/>
      <c r="Z263" s="165"/>
    </row>
    <row r="264" spans="16:26">
      <c r="P264" s="165"/>
      <c r="Q264" s="165"/>
      <c r="R264" s="165"/>
      <c r="S264" s="165"/>
      <c r="T264" s="165"/>
      <c r="U264" s="165"/>
      <c r="V264" s="165"/>
      <c r="W264" s="165"/>
      <c r="X264" s="165"/>
      <c r="Y264" s="165"/>
      <c r="Z264" s="165"/>
    </row>
    <row r="265" spans="16:26">
      <c r="P265" s="165"/>
      <c r="Q265" s="165"/>
      <c r="R265" s="165"/>
      <c r="S265" s="165"/>
      <c r="T265" s="165"/>
      <c r="U265" s="165"/>
      <c r="V265" s="165"/>
      <c r="W265" s="165"/>
      <c r="X265" s="165"/>
      <c r="Y265" s="165"/>
      <c r="Z265" s="165"/>
    </row>
    <row r="266" spans="16:26">
      <c r="P266" s="165"/>
      <c r="Q266" s="165"/>
      <c r="R266" s="165"/>
      <c r="S266" s="165"/>
      <c r="T266" s="165"/>
      <c r="U266" s="165"/>
      <c r="V266" s="165"/>
      <c r="W266" s="165"/>
      <c r="X266" s="165"/>
      <c r="Y266" s="165"/>
      <c r="Z266" s="165"/>
    </row>
    <row r="267" spans="16:26">
      <c r="P267" s="165"/>
      <c r="Q267" s="165"/>
      <c r="R267" s="165"/>
      <c r="S267" s="165"/>
      <c r="T267" s="165"/>
      <c r="U267" s="165"/>
      <c r="V267" s="165"/>
      <c r="W267" s="165"/>
      <c r="X267" s="165"/>
      <c r="Y267" s="165"/>
      <c r="Z267" s="165"/>
    </row>
    <row r="268" spans="16:26">
      <c r="P268" s="165"/>
      <c r="Q268" s="165"/>
      <c r="R268" s="165"/>
      <c r="S268" s="165"/>
      <c r="T268" s="165"/>
      <c r="U268" s="165"/>
      <c r="V268" s="165"/>
      <c r="W268" s="165"/>
      <c r="X268" s="165"/>
      <c r="Y268" s="165"/>
      <c r="Z268" s="165"/>
    </row>
    <row r="269" spans="16:26">
      <c r="P269" s="165"/>
      <c r="Q269" s="165"/>
      <c r="R269" s="165"/>
      <c r="S269" s="165"/>
      <c r="T269" s="165"/>
      <c r="U269" s="165"/>
      <c r="V269" s="165"/>
      <c r="W269" s="165"/>
      <c r="X269" s="165"/>
      <c r="Y269" s="165"/>
      <c r="Z269" s="165"/>
    </row>
    <row r="270" spans="16:26">
      <c r="P270" s="165"/>
      <c r="Q270" s="165"/>
      <c r="R270" s="165"/>
      <c r="S270" s="165"/>
      <c r="T270" s="165"/>
      <c r="U270" s="165"/>
      <c r="V270" s="165"/>
      <c r="W270" s="165"/>
      <c r="X270" s="165"/>
      <c r="Y270" s="165"/>
      <c r="Z270" s="165"/>
    </row>
    <row r="271" spans="16:26">
      <c r="P271" s="165"/>
      <c r="Q271" s="165"/>
      <c r="R271" s="165"/>
      <c r="S271" s="165"/>
      <c r="T271" s="165"/>
      <c r="U271" s="165"/>
      <c r="V271" s="165"/>
      <c r="W271" s="165"/>
      <c r="X271" s="165"/>
      <c r="Y271" s="165"/>
      <c r="Z271" s="165"/>
    </row>
    <row r="272" spans="16:26">
      <c r="P272" s="165"/>
      <c r="Q272" s="165"/>
      <c r="R272" s="165"/>
      <c r="S272" s="165"/>
      <c r="T272" s="165"/>
      <c r="U272" s="165"/>
      <c r="V272" s="165"/>
      <c r="W272" s="165"/>
      <c r="X272" s="165"/>
      <c r="Y272" s="165"/>
      <c r="Z272" s="165"/>
    </row>
    <row r="273" spans="16:26">
      <c r="P273" s="165"/>
      <c r="Q273" s="165"/>
      <c r="R273" s="165"/>
      <c r="S273" s="165"/>
      <c r="T273" s="165"/>
      <c r="U273" s="165"/>
      <c r="V273" s="165"/>
      <c r="W273" s="165"/>
      <c r="X273" s="165"/>
      <c r="Y273" s="165"/>
      <c r="Z273" s="165"/>
    </row>
    <row r="274" spans="16:26">
      <c r="P274" s="165"/>
      <c r="Q274" s="165"/>
      <c r="R274" s="165"/>
      <c r="S274" s="165"/>
      <c r="T274" s="165"/>
      <c r="U274" s="165"/>
      <c r="V274" s="165"/>
      <c r="W274" s="165"/>
      <c r="X274" s="165"/>
      <c r="Y274" s="165"/>
      <c r="Z274" s="165"/>
    </row>
    <row r="275" spans="16:26">
      <c r="P275" s="165"/>
      <c r="Q275" s="165"/>
      <c r="R275" s="165"/>
      <c r="S275" s="165"/>
      <c r="T275" s="165"/>
      <c r="U275" s="165"/>
      <c r="V275" s="165"/>
      <c r="W275" s="165"/>
      <c r="X275" s="165"/>
      <c r="Y275" s="165"/>
      <c r="Z275" s="165"/>
    </row>
    <row r="276" spans="16:26">
      <c r="P276" s="165"/>
      <c r="Q276" s="165"/>
      <c r="R276" s="165"/>
      <c r="S276" s="165"/>
      <c r="T276" s="165"/>
      <c r="U276" s="165"/>
      <c r="V276" s="165"/>
      <c r="W276" s="165"/>
      <c r="X276" s="165"/>
      <c r="Y276" s="165"/>
      <c r="Z276" s="165"/>
    </row>
    <row r="277" spans="16:26">
      <c r="P277" s="165"/>
      <c r="Q277" s="165"/>
      <c r="R277" s="165"/>
      <c r="S277" s="165"/>
      <c r="T277" s="165"/>
      <c r="U277" s="165"/>
      <c r="V277" s="165"/>
      <c r="W277" s="165"/>
      <c r="X277" s="165"/>
      <c r="Y277" s="165"/>
      <c r="Z277" s="165"/>
    </row>
    <row r="278" spans="16:26">
      <c r="P278" s="165"/>
      <c r="Q278" s="165"/>
      <c r="R278" s="165"/>
      <c r="S278" s="165"/>
      <c r="T278" s="165"/>
      <c r="U278" s="165"/>
      <c r="V278" s="165"/>
      <c r="W278" s="165"/>
      <c r="X278" s="165"/>
      <c r="Y278" s="165"/>
      <c r="Z278" s="165"/>
    </row>
    <row r="279" spans="16:26">
      <c r="P279" s="165"/>
      <c r="Q279" s="165"/>
      <c r="R279" s="165"/>
      <c r="S279" s="165"/>
      <c r="T279" s="165"/>
      <c r="U279" s="165"/>
      <c r="V279" s="165"/>
      <c r="W279" s="165"/>
      <c r="X279" s="165"/>
      <c r="Y279" s="165"/>
      <c r="Z279" s="165"/>
    </row>
    <row r="280" spans="16:26">
      <c r="P280" s="165"/>
      <c r="Q280" s="165"/>
      <c r="R280" s="165"/>
      <c r="S280" s="165"/>
      <c r="T280" s="165"/>
      <c r="U280" s="165"/>
      <c r="V280" s="165"/>
      <c r="W280" s="165"/>
      <c r="X280" s="165"/>
      <c r="Y280" s="165"/>
      <c r="Z280" s="165"/>
    </row>
    <row r="281" spans="16:26">
      <c r="P281" s="165"/>
      <c r="Q281" s="165"/>
      <c r="R281" s="165"/>
      <c r="S281" s="165"/>
      <c r="T281" s="165"/>
      <c r="U281" s="165"/>
      <c r="V281" s="165"/>
      <c r="W281" s="165"/>
      <c r="X281" s="165"/>
      <c r="Y281" s="165"/>
      <c r="Z281" s="165"/>
    </row>
    <row r="282" spans="16:26">
      <c r="P282" s="165"/>
      <c r="Q282" s="165"/>
      <c r="R282" s="165"/>
      <c r="S282" s="165"/>
      <c r="T282" s="165"/>
      <c r="U282" s="165"/>
      <c r="V282" s="165"/>
      <c r="W282" s="165"/>
      <c r="X282" s="165"/>
      <c r="Y282" s="165"/>
      <c r="Z282" s="165"/>
    </row>
    <row r="283" spans="16:26">
      <c r="P283" s="165"/>
      <c r="Q283" s="165"/>
      <c r="R283" s="165"/>
      <c r="S283" s="165"/>
      <c r="T283" s="165"/>
      <c r="U283" s="165"/>
      <c r="V283" s="165"/>
      <c r="W283" s="165"/>
      <c r="X283" s="165"/>
      <c r="Y283" s="165"/>
      <c r="Z283" s="165"/>
    </row>
    <row r="284" spans="16:26">
      <c r="P284" s="165"/>
      <c r="Q284" s="165"/>
      <c r="R284" s="165"/>
      <c r="S284" s="165"/>
      <c r="T284" s="165"/>
      <c r="U284" s="165"/>
      <c r="V284" s="165"/>
      <c r="W284" s="165"/>
      <c r="X284" s="165"/>
      <c r="Y284" s="165"/>
      <c r="Z284" s="165"/>
    </row>
    <row r="285" spans="16:26">
      <c r="P285" s="165"/>
      <c r="Q285" s="165"/>
      <c r="R285" s="165"/>
      <c r="S285" s="165"/>
      <c r="T285" s="165"/>
      <c r="U285" s="165"/>
      <c r="V285" s="165"/>
      <c r="W285" s="165"/>
      <c r="X285" s="165"/>
      <c r="Y285" s="165"/>
      <c r="Z285" s="165"/>
    </row>
    <row r="286" spans="16:26">
      <c r="P286" s="165"/>
      <c r="Q286" s="165"/>
      <c r="R286" s="165"/>
      <c r="S286" s="165"/>
      <c r="T286" s="165"/>
      <c r="U286" s="165"/>
      <c r="V286" s="165"/>
      <c r="W286" s="165"/>
      <c r="X286" s="165"/>
      <c r="Y286" s="165"/>
      <c r="Z286" s="165"/>
    </row>
    <row r="287" spans="16:26">
      <c r="P287" s="165"/>
      <c r="Q287" s="165"/>
      <c r="R287" s="165"/>
      <c r="S287" s="165"/>
      <c r="T287" s="165"/>
      <c r="U287" s="165"/>
      <c r="V287" s="165"/>
      <c r="W287" s="165"/>
      <c r="X287" s="165"/>
      <c r="Y287" s="165"/>
      <c r="Z287" s="165"/>
    </row>
    <row r="288" spans="16:26">
      <c r="P288" s="165"/>
      <c r="Q288" s="165"/>
      <c r="R288" s="165"/>
      <c r="S288" s="165"/>
      <c r="T288" s="165"/>
      <c r="U288" s="165"/>
      <c r="V288" s="165"/>
      <c r="W288" s="165"/>
      <c r="X288" s="165"/>
      <c r="Y288" s="165"/>
      <c r="Z288" s="165"/>
    </row>
    <row r="289" spans="16:26">
      <c r="P289" s="165"/>
      <c r="Q289" s="165"/>
      <c r="R289" s="165"/>
      <c r="S289" s="165"/>
      <c r="T289" s="165"/>
      <c r="U289" s="165"/>
      <c r="V289" s="165"/>
      <c r="W289" s="165"/>
      <c r="X289" s="165"/>
      <c r="Y289" s="165"/>
      <c r="Z289" s="165"/>
    </row>
    <row r="290" spans="16:26">
      <c r="P290" s="165"/>
      <c r="Q290" s="165"/>
      <c r="R290" s="165"/>
      <c r="S290" s="165"/>
      <c r="T290" s="165"/>
      <c r="U290" s="165"/>
      <c r="V290" s="165"/>
      <c r="W290" s="165"/>
      <c r="X290" s="165"/>
      <c r="Y290" s="165"/>
      <c r="Z290" s="165"/>
    </row>
    <row r="291" spans="16:26">
      <c r="P291" s="165"/>
      <c r="Q291" s="165"/>
      <c r="R291" s="165"/>
      <c r="S291" s="165"/>
      <c r="T291" s="165"/>
      <c r="U291" s="165"/>
      <c r="V291" s="165"/>
      <c r="W291" s="165"/>
      <c r="X291" s="165"/>
      <c r="Y291" s="165"/>
      <c r="Z291" s="165"/>
    </row>
    <row r="292" spans="16:26">
      <c r="P292" s="165"/>
      <c r="Q292" s="165"/>
      <c r="R292" s="165"/>
      <c r="S292" s="165"/>
      <c r="T292" s="165"/>
      <c r="U292" s="165"/>
      <c r="V292" s="165"/>
      <c r="W292" s="165"/>
      <c r="X292" s="165"/>
      <c r="Y292" s="165"/>
      <c r="Z292" s="165"/>
    </row>
    <row r="293" spans="16:26">
      <c r="P293" s="165"/>
      <c r="Q293" s="165"/>
      <c r="R293" s="165"/>
      <c r="S293" s="165"/>
      <c r="T293" s="165"/>
      <c r="U293" s="165"/>
      <c r="V293" s="165"/>
      <c r="W293" s="165"/>
      <c r="X293" s="165"/>
      <c r="Y293" s="165"/>
      <c r="Z293" s="165"/>
    </row>
    <row r="294" spans="16:26">
      <c r="P294" s="165"/>
      <c r="Q294" s="165"/>
      <c r="R294" s="165"/>
      <c r="S294" s="165"/>
      <c r="T294" s="165"/>
      <c r="U294" s="165"/>
      <c r="V294" s="165"/>
      <c r="W294" s="165"/>
      <c r="X294" s="165"/>
      <c r="Y294" s="165"/>
      <c r="Z294" s="165"/>
    </row>
    <row r="295" spans="16:26">
      <c r="P295" s="165"/>
      <c r="Q295" s="165"/>
      <c r="R295" s="165"/>
      <c r="S295" s="165"/>
      <c r="T295" s="165"/>
      <c r="U295" s="165"/>
      <c r="V295" s="165"/>
      <c r="W295" s="165"/>
      <c r="X295" s="165"/>
      <c r="Y295" s="165"/>
      <c r="Z295" s="165"/>
    </row>
    <row r="296" spans="16:26">
      <c r="P296" s="165"/>
      <c r="Q296" s="165"/>
      <c r="R296" s="165"/>
      <c r="S296" s="165"/>
      <c r="T296" s="165"/>
      <c r="U296" s="165"/>
      <c r="V296" s="165"/>
      <c r="W296" s="165"/>
      <c r="X296" s="165"/>
      <c r="Y296" s="165"/>
      <c r="Z296" s="165"/>
    </row>
    <row r="297" spans="16:26">
      <c r="P297" s="165"/>
      <c r="Q297" s="165"/>
      <c r="R297" s="165"/>
      <c r="S297" s="165"/>
      <c r="T297" s="165"/>
      <c r="U297" s="165"/>
      <c r="V297" s="165"/>
      <c r="W297" s="165"/>
      <c r="X297" s="165"/>
      <c r="Y297" s="165"/>
      <c r="Z297" s="165"/>
    </row>
    <row r="298" spans="16:26">
      <c r="P298" s="165"/>
      <c r="Q298" s="165"/>
      <c r="R298" s="165"/>
      <c r="S298" s="165"/>
      <c r="T298" s="165"/>
      <c r="U298" s="165"/>
      <c r="V298" s="165"/>
      <c r="W298" s="165"/>
      <c r="X298" s="165"/>
      <c r="Y298" s="165"/>
      <c r="Z298" s="165"/>
    </row>
    <row r="299" spans="16:26">
      <c r="P299" s="165"/>
      <c r="Q299" s="165"/>
      <c r="R299" s="165"/>
      <c r="S299" s="165"/>
      <c r="T299" s="165"/>
      <c r="U299" s="165"/>
      <c r="V299" s="165"/>
      <c r="W299" s="165"/>
      <c r="X299" s="165"/>
      <c r="Y299" s="165"/>
      <c r="Z299" s="165"/>
    </row>
    <row r="300" spans="16:26">
      <c r="P300" s="165"/>
      <c r="Q300" s="165"/>
      <c r="R300" s="165"/>
      <c r="S300" s="165"/>
      <c r="T300" s="165"/>
      <c r="U300" s="165"/>
      <c r="V300" s="165"/>
      <c r="W300" s="165"/>
      <c r="X300" s="165"/>
      <c r="Y300" s="165"/>
      <c r="Z300" s="165"/>
    </row>
    <row r="301" spans="16:26">
      <c r="P301" s="165"/>
      <c r="Q301" s="165"/>
      <c r="R301" s="165"/>
      <c r="S301" s="165"/>
      <c r="T301" s="165"/>
      <c r="U301" s="165"/>
      <c r="V301" s="165"/>
      <c r="W301" s="165"/>
      <c r="X301" s="165"/>
      <c r="Y301" s="165"/>
      <c r="Z301" s="165"/>
    </row>
    <row r="302" spans="16:26">
      <c r="P302" s="165"/>
      <c r="Q302" s="165"/>
      <c r="R302" s="165"/>
      <c r="S302" s="165"/>
      <c r="T302" s="165"/>
      <c r="U302" s="165"/>
      <c r="V302" s="165"/>
      <c r="W302" s="165"/>
      <c r="X302" s="165"/>
      <c r="Y302" s="165"/>
      <c r="Z302" s="165"/>
    </row>
    <row r="303" spans="16:26">
      <c r="P303" s="165"/>
      <c r="Q303" s="165"/>
      <c r="R303" s="165"/>
      <c r="S303" s="165"/>
      <c r="T303" s="165"/>
      <c r="U303" s="165"/>
      <c r="V303" s="165"/>
      <c r="W303" s="165"/>
      <c r="X303" s="165"/>
      <c r="Y303" s="165"/>
      <c r="Z303" s="165"/>
    </row>
    <row r="304" spans="16:26">
      <c r="P304" s="165"/>
      <c r="Q304" s="165"/>
      <c r="R304" s="165"/>
      <c r="S304" s="165"/>
      <c r="T304" s="165"/>
      <c r="U304" s="165"/>
      <c r="V304" s="165"/>
      <c r="W304" s="165"/>
      <c r="X304" s="165"/>
      <c r="Y304" s="165"/>
      <c r="Z304" s="165"/>
    </row>
    <row r="305" spans="16:26">
      <c r="P305" s="165"/>
      <c r="Q305" s="165"/>
      <c r="R305" s="165"/>
      <c r="S305" s="165"/>
      <c r="T305" s="165"/>
      <c r="U305" s="165"/>
      <c r="V305" s="165"/>
      <c r="W305" s="165"/>
      <c r="X305" s="165"/>
      <c r="Y305" s="165"/>
      <c r="Z305" s="165"/>
    </row>
    <row r="306" spans="16:26">
      <c r="P306" s="165"/>
      <c r="Q306" s="165"/>
      <c r="R306" s="165"/>
      <c r="S306" s="165"/>
      <c r="T306" s="165"/>
      <c r="U306" s="165"/>
      <c r="V306" s="165"/>
      <c r="W306" s="165"/>
      <c r="X306" s="165"/>
      <c r="Y306" s="165"/>
      <c r="Z306" s="165"/>
    </row>
    <row r="307" spans="16:26">
      <c r="P307" s="165"/>
      <c r="Q307" s="165"/>
      <c r="R307" s="165"/>
      <c r="S307" s="165"/>
      <c r="T307" s="165"/>
      <c r="U307" s="165"/>
      <c r="V307" s="165"/>
      <c r="W307" s="165"/>
      <c r="X307" s="165"/>
      <c r="Y307" s="165"/>
      <c r="Z307" s="165"/>
    </row>
    <row r="308" spans="16:26">
      <c r="P308" s="165"/>
      <c r="Q308" s="165"/>
      <c r="R308" s="165"/>
      <c r="S308" s="165"/>
      <c r="T308" s="165"/>
      <c r="U308" s="165"/>
      <c r="V308" s="165"/>
      <c r="W308" s="165"/>
      <c r="X308" s="165"/>
      <c r="Y308" s="165"/>
      <c r="Z308" s="165"/>
    </row>
    <row r="309" spans="16:26">
      <c r="P309" s="165"/>
      <c r="Q309" s="165"/>
      <c r="R309" s="165"/>
      <c r="S309" s="165"/>
      <c r="T309" s="165"/>
      <c r="U309" s="165"/>
      <c r="V309" s="165"/>
      <c r="W309" s="165"/>
      <c r="X309" s="165"/>
      <c r="Y309" s="165"/>
      <c r="Z309" s="165"/>
    </row>
    <row r="310" spans="16:26">
      <c r="P310" s="165"/>
      <c r="Q310" s="165"/>
      <c r="R310" s="165"/>
      <c r="S310" s="165"/>
      <c r="T310" s="165"/>
      <c r="U310" s="165"/>
      <c r="V310" s="165"/>
      <c r="W310" s="165"/>
      <c r="X310" s="165"/>
      <c r="Y310" s="165"/>
      <c r="Z310" s="165"/>
    </row>
    <row r="311" spans="16:26">
      <c r="P311" s="165"/>
      <c r="Q311" s="165"/>
      <c r="R311" s="165"/>
      <c r="S311" s="165"/>
      <c r="T311" s="165"/>
      <c r="U311" s="165"/>
      <c r="V311" s="165"/>
      <c r="W311" s="165"/>
      <c r="X311" s="165"/>
      <c r="Y311" s="165"/>
      <c r="Z311" s="165"/>
    </row>
    <row r="312" spans="16:26">
      <c r="P312" s="165"/>
      <c r="Q312" s="165"/>
      <c r="R312" s="165"/>
      <c r="S312" s="165"/>
      <c r="T312" s="165"/>
      <c r="U312" s="165"/>
      <c r="V312" s="165"/>
      <c r="W312" s="165"/>
      <c r="X312" s="165"/>
      <c r="Y312" s="165"/>
      <c r="Z312" s="165"/>
    </row>
    <row r="313" spans="16:26">
      <c r="P313" s="165"/>
      <c r="Q313" s="165"/>
      <c r="R313" s="165"/>
      <c r="S313" s="165"/>
      <c r="T313" s="165"/>
      <c r="U313" s="165"/>
      <c r="V313" s="165"/>
      <c r="W313" s="165"/>
      <c r="X313" s="165"/>
      <c r="Y313" s="165"/>
      <c r="Z313" s="165"/>
    </row>
    <row r="314" spans="16:26">
      <c r="P314" s="165"/>
      <c r="Q314" s="165"/>
      <c r="R314" s="165"/>
      <c r="S314" s="165"/>
      <c r="T314" s="165"/>
      <c r="U314" s="165"/>
      <c r="V314" s="165"/>
      <c r="W314" s="165"/>
      <c r="X314" s="165"/>
      <c r="Y314" s="165"/>
      <c r="Z314" s="165"/>
    </row>
    <row r="315" spans="16:26">
      <c r="P315" s="165"/>
      <c r="Q315" s="165"/>
      <c r="R315" s="165"/>
      <c r="S315" s="165"/>
      <c r="T315" s="165"/>
      <c r="U315" s="165"/>
      <c r="V315" s="165"/>
      <c r="W315" s="165"/>
      <c r="X315" s="165"/>
      <c r="Y315" s="165"/>
      <c r="Z315" s="165"/>
    </row>
    <row r="316" spans="16:26">
      <c r="P316" s="165"/>
      <c r="Q316" s="165"/>
      <c r="R316" s="165"/>
      <c r="S316" s="165"/>
      <c r="T316" s="165"/>
      <c r="U316" s="165"/>
      <c r="V316" s="165"/>
      <c r="W316" s="165"/>
      <c r="X316" s="165"/>
      <c r="Y316" s="165"/>
      <c r="Z316" s="165"/>
    </row>
    <row r="317" spans="16:26">
      <c r="P317" s="165"/>
      <c r="Q317" s="165"/>
      <c r="R317" s="165"/>
      <c r="S317" s="165"/>
      <c r="T317" s="165"/>
      <c r="U317" s="165"/>
      <c r="V317" s="165"/>
      <c r="W317" s="165"/>
      <c r="X317" s="165"/>
      <c r="Y317" s="165"/>
      <c r="Z317" s="165"/>
    </row>
    <row r="318" spans="16:26">
      <c r="P318" s="165"/>
      <c r="Q318" s="165"/>
      <c r="R318" s="165"/>
      <c r="S318" s="165"/>
      <c r="T318" s="165"/>
      <c r="U318" s="165"/>
      <c r="V318" s="165"/>
      <c r="W318" s="165"/>
      <c r="X318" s="165"/>
      <c r="Y318" s="165"/>
      <c r="Z318" s="165"/>
    </row>
    <row r="319" spans="16:26">
      <c r="P319" s="165"/>
      <c r="Q319" s="165"/>
      <c r="R319" s="165"/>
      <c r="S319" s="165"/>
      <c r="T319" s="165"/>
      <c r="U319" s="165"/>
      <c r="V319" s="165"/>
      <c r="W319" s="165"/>
      <c r="X319" s="165"/>
      <c r="Y319" s="165"/>
      <c r="Z319" s="165"/>
    </row>
    <row r="320" spans="16:26">
      <c r="P320" s="165"/>
      <c r="Q320" s="165"/>
      <c r="R320" s="165"/>
      <c r="S320" s="165"/>
      <c r="T320" s="165"/>
      <c r="U320" s="165"/>
      <c r="V320" s="165"/>
      <c r="W320" s="165"/>
      <c r="X320" s="165"/>
      <c r="Y320" s="165"/>
      <c r="Z320" s="165"/>
    </row>
    <row r="321" spans="16:26">
      <c r="P321" s="165"/>
      <c r="Q321" s="165"/>
      <c r="R321" s="165"/>
      <c r="S321" s="165"/>
      <c r="T321" s="165"/>
      <c r="U321" s="165"/>
      <c r="V321" s="165"/>
      <c r="W321" s="165"/>
      <c r="X321" s="165"/>
      <c r="Y321" s="165"/>
      <c r="Z321" s="165"/>
    </row>
    <row r="322" spans="16:26">
      <c r="P322" s="165"/>
      <c r="Q322" s="165"/>
      <c r="R322" s="165"/>
      <c r="S322" s="165"/>
      <c r="T322" s="165"/>
      <c r="U322" s="165"/>
      <c r="V322" s="165"/>
      <c r="W322" s="165"/>
      <c r="X322" s="165"/>
      <c r="Y322" s="165"/>
      <c r="Z322" s="165"/>
    </row>
    <row r="323" spans="16:26">
      <c r="P323" s="165"/>
      <c r="Q323" s="165"/>
      <c r="R323" s="165"/>
      <c r="S323" s="165"/>
      <c r="T323" s="165"/>
      <c r="U323" s="165"/>
      <c r="V323" s="165"/>
      <c r="W323" s="165"/>
      <c r="X323" s="165"/>
      <c r="Y323" s="165"/>
      <c r="Z323" s="165"/>
    </row>
    <row r="324" spans="16:26">
      <c r="P324" s="165"/>
      <c r="Q324" s="165"/>
      <c r="R324" s="165"/>
      <c r="S324" s="165"/>
      <c r="T324" s="165"/>
      <c r="U324" s="165"/>
      <c r="V324" s="165"/>
      <c r="W324" s="165"/>
      <c r="X324" s="165"/>
      <c r="Y324" s="165"/>
      <c r="Z324" s="165"/>
    </row>
    <row r="325" spans="16:26">
      <c r="P325" s="165"/>
      <c r="Q325" s="165"/>
      <c r="R325" s="165"/>
      <c r="S325" s="165"/>
      <c r="T325" s="165"/>
      <c r="U325" s="165"/>
      <c r="V325" s="165"/>
      <c r="W325" s="165"/>
      <c r="X325" s="165"/>
      <c r="Y325" s="165"/>
      <c r="Z325" s="165"/>
    </row>
    <row r="326" spans="16:26">
      <c r="P326" s="165"/>
      <c r="Q326" s="165"/>
      <c r="R326" s="165"/>
      <c r="S326" s="165"/>
      <c r="T326" s="165"/>
      <c r="U326" s="165"/>
      <c r="V326" s="165"/>
      <c r="W326" s="165"/>
      <c r="X326" s="165"/>
      <c r="Y326" s="165"/>
      <c r="Z326" s="165"/>
    </row>
    <row r="327" spans="16:26">
      <c r="P327" s="165"/>
      <c r="Q327" s="165"/>
      <c r="R327" s="165"/>
      <c r="S327" s="165"/>
      <c r="T327" s="165"/>
      <c r="U327" s="165"/>
      <c r="V327" s="165"/>
      <c r="W327" s="165"/>
      <c r="X327" s="165"/>
      <c r="Y327" s="165"/>
      <c r="Z327" s="165"/>
    </row>
    <row r="328" spans="16:26">
      <c r="P328" s="165"/>
      <c r="Q328" s="165"/>
      <c r="R328" s="165"/>
      <c r="S328" s="165"/>
      <c r="T328" s="165"/>
      <c r="U328" s="165"/>
      <c r="V328" s="165"/>
      <c r="W328" s="165"/>
      <c r="X328" s="165"/>
      <c r="Y328" s="165"/>
      <c r="Z328" s="165"/>
    </row>
    <row r="329" spans="16:26">
      <c r="P329" s="165"/>
      <c r="Q329" s="165"/>
      <c r="R329" s="165"/>
      <c r="S329" s="165"/>
      <c r="T329" s="165"/>
      <c r="U329" s="165"/>
      <c r="V329" s="165"/>
      <c r="W329" s="165"/>
      <c r="X329" s="165"/>
      <c r="Y329" s="165"/>
      <c r="Z329" s="165"/>
    </row>
    <row r="330" spans="16:26">
      <c r="P330" s="165"/>
      <c r="Q330" s="165"/>
      <c r="R330" s="165"/>
      <c r="S330" s="165"/>
      <c r="T330" s="165"/>
      <c r="U330" s="165"/>
      <c r="V330" s="165"/>
      <c r="W330" s="165"/>
      <c r="X330" s="165"/>
      <c r="Y330" s="165"/>
      <c r="Z330" s="165"/>
    </row>
    <row r="331" spans="16:26">
      <c r="P331" s="165"/>
      <c r="Q331" s="165"/>
      <c r="R331" s="165"/>
      <c r="S331" s="165"/>
      <c r="T331" s="165"/>
      <c r="U331" s="165"/>
      <c r="V331" s="165"/>
      <c r="W331" s="165"/>
      <c r="X331" s="165"/>
      <c r="Y331" s="165"/>
      <c r="Z331" s="165"/>
    </row>
    <row r="332" spans="16:26">
      <c r="P332" s="165"/>
      <c r="Q332" s="165"/>
      <c r="R332" s="165"/>
      <c r="S332" s="165"/>
      <c r="T332" s="165"/>
      <c r="U332" s="165"/>
      <c r="V332" s="165"/>
      <c r="W332" s="165"/>
      <c r="X332" s="165"/>
      <c r="Y332" s="165"/>
      <c r="Z332" s="165"/>
    </row>
    <row r="333" spans="16:26">
      <c r="P333" s="165"/>
      <c r="Q333" s="165"/>
      <c r="R333" s="165"/>
      <c r="S333" s="165"/>
      <c r="T333" s="165"/>
      <c r="U333" s="165"/>
      <c r="V333" s="165"/>
      <c r="W333" s="165"/>
      <c r="X333" s="165"/>
      <c r="Y333" s="165"/>
      <c r="Z333" s="165"/>
    </row>
    <row r="334" spans="16:26">
      <c r="P334" s="165"/>
      <c r="Q334" s="165"/>
      <c r="R334" s="165"/>
      <c r="S334" s="165"/>
      <c r="T334" s="165"/>
      <c r="U334" s="165"/>
      <c r="V334" s="165"/>
      <c r="W334" s="165"/>
      <c r="X334" s="165"/>
      <c r="Y334" s="165"/>
      <c r="Z334" s="165"/>
    </row>
    <row r="335" spans="16:26">
      <c r="P335" s="165"/>
      <c r="Q335" s="165"/>
      <c r="R335" s="165"/>
      <c r="S335" s="165"/>
      <c r="T335" s="165"/>
      <c r="U335" s="165"/>
      <c r="V335" s="165"/>
      <c r="W335" s="165"/>
      <c r="X335" s="165"/>
      <c r="Y335" s="165"/>
      <c r="Z335" s="165"/>
    </row>
    <row r="336" spans="16:26">
      <c r="P336" s="165"/>
      <c r="Q336" s="165"/>
      <c r="R336" s="165"/>
      <c r="S336" s="165"/>
      <c r="T336" s="165"/>
      <c r="U336" s="165"/>
      <c r="V336" s="165"/>
      <c r="W336" s="165"/>
      <c r="X336" s="165"/>
      <c r="Y336" s="165"/>
      <c r="Z336" s="165"/>
    </row>
    <row r="337" spans="16:26">
      <c r="P337" s="165"/>
      <c r="Q337" s="165"/>
      <c r="R337" s="165"/>
      <c r="S337" s="165"/>
      <c r="T337" s="165"/>
      <c r="U337" s="165"/>
      <c r="V337" s="165"/>
      <c r="W337" s="165"/>
      <c r="X337" s="165"/>
      <c r="Y337" s="165"/>
      <c r="Z337" s="165"/>
    </row>
    <row r="338" spans="16:26">
      <c r="P338" s="165"/>
      <c r="Q338" s="165"/>
      <c r="R338" s="165"/>
      <c r="S338" s="165"/>
      <c r="T338" s="165"/>
      <c r="U338" s="165"/>
      <c r="V338" s="165"/>
      <c r="W338" s="165"/>
      <c r="X338" s="165"/>
      <c r="Y338" s="165"/>
      <c r="Z338" s="165"/>
    </row>
    <row r="339" spans="16:26">
      <c r="P339" s="165"/>
      <c r="Q339" s="165"/>
      <c r="R339" s="165"/>
      <c r="S339" s="165"/>
      <c r="T339" s="165"/>
      <c r="U339" s="165"/>
      <c r="V339" s="165"/>
      <c r="W339" s="165"/>
      <c r="X339" s="165"/>
      <c r="Y339" s="165"/>
      <c r="Z339" s="165"/>
    </row>
    <row r="340" spans="16:26">
      <c r="P340" s="165"/>
      <c r="Q340" s="165"/>
      <c r="R340" s="165"/>
      <c r="S340" s="165"/>
      <c r="T340" s="165"/>
      <c r="U340" s="165"/>
      <c r="V340" s="165"/>
      <c r="W340" s="165"/>
      <c r="X340" s="165"/>
      <c r="Y340" s="165"/>
      <c r="Z340" s="165"/>
    </row>
    <row r="341" spans="16:26">
      <c r="P341" s="165"/>
      <c r="Q341" s="165"/>
      <c r="R341" s="165"/>
      <c r="S341" s="165"/>
      <c r="T341" s="165"/>
      <c r="U341" s="165"/>
      <c r="V341" s="165"/>
      <c r="W341" s="165"/>
      <c r="X341" s="165"/>
      <c r="Y341" s="165"/>
      <c r="Z341" s="165"/>
    </row>
    <row r="342" spans="16:26">
      <c r="P342" s="165"/>
      <c r="Q342" s="165"/>
      <c r="R342" s="165"/>
      <c r="S342" s="165"/>
      <c r="T342" s="165"/>
      <c r="U342" s="165"/>
      <c r="V342" s="165"/>
      <c r="W342" s="165"/>
      <c r="X342" s="165"/>
      <c r="Y342" s="165"/>
      <c r="Z342" s="165"/>
    </row>
    <row r="343" spans="16:26">
      <c r="P343" s="165"/>
      <c r="Q343" s="165"/>
      <c r="R343" s="165"/>
      <c r="S343" s="165"/>
      <c r="T343" s="165"/>
      <c r="U343" s="165"/>
      <c r="V343" s="165"/>
      <c r="W343" s="165"/>
      <c r="X343" s="165"/>
      <c r="Y343" s="165"/>
      <c r="Z343" s="165"/>
    </row>
    <row r="344" spans="16:26">
      <c r="P344" s="165"/>
      <c r="Q344" s="165"/>
      <c r="R344" s="165"/>
      <c r="S344" s="165"/>
      <c r="T344" s="165"/>
      <c r="U344" s="165"/>
      <c r="V344" s="165"/>
      <c r="W344" s="165"/>
      <c r="X344" s="165"/>
      <c r="Y344" s="165"/>
      <c r="Z344" s="165"/>
    </row>
    <row r="345" spans="16:26">
      <c r="P345" s="165"/>
      <c r="Q345" s="165"/>
      <c r="R345" s="165"/>
      <c r="S345" s="165"/>
      <c r="T345" s="165"/>
      <c r="U345" s="165"/>
      <c r="V345" s="165"/>
      <c r="W345" s="165"/>
      <c r="X345" s="165"/>
      <c r="Y345" s="165"/>
      <c r="Z345" s="165"/>
    </row>
    <row r="346" spans="16:26">
      <c r="P346" s="165"/>
      <c r="Q346" s="165"/>
      <c r="R346" s="165"/>
      <c r="S346" s="165"/>
      <c r="T346" s="165"/>
      <c r="U346" s="165"/>
      <c r="V346" s="165"/>
      <c r="W346" s="165"/>
      <c r="X346" s="165"/>
      <c r="Y346" s="165"/>
      <c r="Z346" s="165"/>
    </row>
    <row r="347" spans="16:26">
      <c r="P347" s="165"/>
      <c r="Q347" s="165"/>
      <c r="R347" s="165"/>
      <c r="S347" s="165"/>
      <c r="T347" s="165"/>
      <c r="U347" s="165"/>
      <c r="V347" s="165"/>
      <c r="W347" s="165"/>
      <c r="X347" s="165"/>
      <c r="Y347" s="165"/>
      <c r="Z347" s="165"/>
    </row>
    <row r="348" spans="16:26">
      <c r="P348" s="165"/>
      <c r="Q348" s="165"/>
      <c r="R348" s="165"/>
      <c r="S348" s="165"/>
      <c r="T348" s="165"/>
      <c r="U348" s="165"/>
      <c r="V348" s="165"/>
      <c r="W348" s="165"/>
      <c r="X348" s="165"/>
      <c r="Y348" s="165"/>
      <c r="Z348" s="165"/>
    </row>
    <row r="349" spans="16:26">
      <c r="P349" s="165"/>
      <c r="Q349" s="165"/>
      <c r="R349" s="165"/>
      <c r="S349" s="165"/>
      <c r="T349" s="165"/>
      <c r="U349" s="165"/>
      <c r="V349" s="165"/>
      <c r="W349" s="165"/>
      <c r="X349" s="165"/>
      <c r="Y349" s="165"/>
      <c r="Z349" s="165"/>
    </row>
    <row r="350" spans="16:26">
      <c r="P350" s="165"/>
      <c r="Q350" s="165"/>
      <c r="R350" s="165"/>
      <c r="S350" s="165"/>
      <c r="T350" s="165"/>
      <c r="U350" s="165"/>
      <c r="V350" s="165"/>
      <c r="W350" s="165"/>
      <c r="X350" s="165"/>
      <c r="Y350" s="165"/>
      <c r="Z350" s="165"/>
    </row>
    <row r="351" spans="16:26">
      <c r="P351" s="165"/>
      <c r="Q351" s="165"/>
      <c r="R351" s="165"/>
      <c r="S351" s="165"/>
      <c r="T351" s="165"/>
      <c r="U351" s="165"/>
      <c r="V351" s="165"/>
      <c r="W351" s="165"/>
      <c r="X351" s="165"/>
      <c r="Y351" s="165"/>
      <c r="Z351" s="165"/>
    </row>
    <row r="352" spans="16:26">
      <c r="P352" s="165"/>
      <c r="Q352" s="165"/>
      <c r="R352" s="165"/>
      <c r="S352" s="165"/>
      <c r="T352" s="165"/>
      <c r="U352" s="165"/>
      <c r="V352" s="165"/>
      <c r="W352" s="165"/>
      <c r="X352" s="165"/>
      <c r="Y352" s="165"/>
      <c r="Z352" s="165"/>
    </row>
    <row r="353" spans="16:26">
      <c r="P353" s="165"/>
      <c r="Q353" s="165"/>
      <c r="R353" s="165"/>
      <c r="S353" s="165"/>
      <c r="T353" s="165"/>
      <c r="U353" s="165"/>
      <c r="V353" s="165"/>
      <c r="W353" s="165"/>
      <c r="X353" s="165"/>
      <c r="Y353" s="165"/>
      <c r="Z353" s="165"/>
    </row>
    <row r="354" spans="16:26">
      <c r="P354" s="165"/>
      <c r="Q354" s="165"/>
      <c r="R354" s="165"/>
      <c r="S354" s="165"/>
      <c r="T354" s="165"/>
      <c r="U354" s="165"/>
      <c r="V354" s="165"/>
      <c r="W354" s="165"/>
      <c r="X354" s="165"/>
      <c r="Y354" s="165"/>
      <c r="Z354" s="165"/>
    </row>
    <row r="355" spans="16:26">
      <c r="P355" s="165"/>
      <c r="Q355" s="165"/>
      <c r="R355" s="165"/>
      <c r="S355" s="165"/>
      <c r="T355" s="165"/>
      <c r="U355" s="165"/>
      <c r="V355" s="165"/>
      <c r="W355" s="165"/>
      <c r="X355" s="165"/>
      <c r="Y355" s="165"/>
      <c r="Z355" s="165"/>
    </row>
    <row r="356" spans="16:26">
      <c r="P356" s="165"/>
      <c r="Q356" s="165"/>
      <c r="R356" s="165"/>
      <c r="S356" s="165"/>
      <c r="T356" s="165"/>
      <c r="U356" s="165"/>
      <c r="V356" s="165"/>
      <c r="W356" s="165"/>
      <c r="X356" s="165"/>
      <c r="Y356" s="165"/>
      <c r="Z356" s="165"/>
    </row>
    <row r="357" spans="16:26">
      <c r="P357" s="165"/>
      <c r="Q357" s="165"/>
      <c r="R357" s="165"/>
      <c r="S357" s="165"/>
      <c r="T357" s="165"/>
      <c r="U357" s="165"/>
      <c r="V357" s="165"/>
      <c r="W357" s="165"/>
      <c r="X357" s="165"/>
      <c r="Y357" s="165"/>
      <c r="Z357" s="165"/>
    </row>
    <row r="358" spans="16:26">
      <c r="P358" s="165"/>
      <c r="Q358" s="165"/>
      <c r="R358" s="165"/>
      <c r="S358" s="165"/>
      <c r="T358" s="165"/>
      <c r="U358" s="165"/>
      <c r="V358" s="165"/>
      <c r="W358" s="165"/>
      <c r="X358" s="165"/>
      <c r="Y358" s="165"/>
      <c r="Z358" s="165"/>
    </row>
    <row r="359" spans="16:26">
      <c r="P359" s="165"/>
      <c r="Q359" s="165"/>
      <c r="R359" s="165"/>
      <c r="S359" s="165"/>
      <c r="T359" s="165"/>
      <c r="U359" s="165"/>
      <c r="V359" s="165"/>
      <c r="W359" s="165"/>
      <c r="X359" s="165"/>
      <c r="Y359" s="165"/>
      <c r="Z359" s="165"/>
    </row>
    <row r="360" spans="16:26">
      <c r="P360" s="165"/>
      <c r="Q360" s="165"/>
      <c r="R360" s="165"/>
      <c r="S360" s="165"/>
      <c r="T360" s="165"/>
      <c r="U360" s="165"/>
      <c r="V360" s="165"/>
      <c r="W360" s="165"/>
      <c r="X360" s="165"/>
      <c r="Y360" s="165"/>
      <c r="Z360" s="165"/>
    </row>
    <row r="361" spans="16:26">
      <c r="P361" s="165"/>
      <c r="Q361" s="165"/>
      <c r="R361" s="165"/>
      <c r="S361" s="165"/>
      <c r="T361" s="165"/>
      <c r="U361" s="165"/>
      <c r="V361" s="165"/>
      <c r="W361" s="165"/>
      <c r="X361" s="165"/>
      <c r="Y361" s="165"/>
      <c r="Z361" s="165"/>
    </row>
    <row r="362" spans="16:26">
      <c r="P362" s="165"/>
      <c r="Q362" s="165"/>
      <c r="R362" s="165"/>
      <c r="S362" s="165"/>
      <c r="T362" s="165"/>
      <c r="U362" s="165"/>
      <c r="V362" s="165"/>
      <c r="W362" s="165"/>
      <c r="X362" s="165"/>
      <c r="Y362" s="165"/>
      <c r="Z362" s="165"/>
    </row>
    <row r="363" spans="16:26">
      <c r="P363" s="165"/>
      <c r="Q363" s="165"/>
      <c r="R363" s="165"/>
      <c r="S363" s="165"/>
      <c r="T363" s="165"/>
      <c r="U363" s="165"/>
      <c r="V363" s="165"/>
      <c r="W363" s="165"/>
      <c r="X363" s="165"/>
      <c r="Y363" s="165"/>
      <c r="Z363" s="165"/>
    </row>
    <row r="364" spans="16:26">
      <c r="P364" s="165"/>
      <c r="Q364" s="165"/>
      <c r="R364" s="165"/>
      <c r="S364" s="165"/>
      <c r="T364" s="165"/>
      <c r="U364" s="165"/>
      <c r="V364" s="165"/>
      <c r="W364" s="165"/>
      <c r="X364" s="165"/>
      <c r="Y364" s="165"/>
      <c r="Z364" s="165"/>
    </row>
    <row r="365" spans="16:26">
      <c r="P365" s="165"/>
      <c r="Q365" s="165"/>
      <c r="R365" s="165"/>
      <c r="S365" s="165"/>
      <c r="T365" s="165"/>
      <c r="U365" s="165"/>
      <c r="V365" s="165"/>
      <c r="W365" s="165"/>
      <c r="X365" s="165"/>
      <c r="Y365" s="165"/>
      <c r="Z365" s="165"/>
    </row>
    <row r="366" spans="16:26">
      <c r="P366" s="165"/>
      <c r="Q366" s="165"/>
      <c r="R366" s="165"/>
      <c r="S366" s="165"/>
      <c r="T366" s="165"/>
      <c r="U366" s="165"/>
      <c r="V366" s="165"/>
      <c r="W366" s="165"/>
      <c r="X366" s="165"/>
      <c r="Y366" s="165"/>
      <c r="Z366" s="165"/>
    </row>
    <row r="367" spans="16:26">
      <c r="P367" s="165"/>
      <c r="Q367" s="165"/>
      <c r="R367" s="165"/>
      <c r="S367" s="165"/>
      <c r="T367" s="165"/>
      <c r="U367" s="165"/>
      <c r="V367" s="165"/>
      <c r="W367" s="165"/>
      <c r="X367" s="165"/>
      <c r="Y367" s="165"/>
      <c r="Z367" s="165"/>
    </row>
    <row r="368" spans="16:26">
      <c r="P368" s="165"/>
      <c r="Q368" s="165"/>
      <c r="R368" s="165"/>
      <c r="S368" s="165"/>
      <c r="T368" s="165"/>
      <c r="U368" s="165"/>
      <c r="V368" s="165"/>
      <c r="W368" s="165"/>
      <c r="X368" s="165"/>
      <c r="Y368" s="165"/>
      <c r="Z368" s="165"/>
    </row>
    <row r="369" spans="16:26">
      <c r="P369" s="165"/>
      <c r="Q369" s="165"/>
      <c r="R369" s="165"/>
      <c r="S369" s="165"/>
      <c r="T369" s="165"/>
      <c r="U369" s="165"/>
      <c r="V369" s="165"/>
      <c r="W369" s="165"/>
      <c r="X369" s="165"/>
      <c r="Y369" s="165"/>
      <c r="Z369" s="165"/>
    </row>
    <row r="370" spans="16:26">
      <c r="P370" s="165"/>
      <c r="Q370" s="165"/>
      <c r="R370" s="165"/>
      <c r="S370" s="165"/>
      <c r="T370" s="165"/>
      <c r="U370" s="165"/>
      <c r="V370" s="165"/>
      <c r="W370" s="165"/>
      <c r="X370" s="165"/>
      <c r="Y370" s="165"/>
      <c r="Z370" s="165"/>
    </row>
    <row r="371" spans="16:26">
      <c r="P371" s="165"/>
      <c r="Q371" s="165"/>
      <c r="R371" s="165"/>
      <c r="S371" s="165"/>
      <c r="T371" s="165"/>
      <c r="U371" s="165"/>
      <c r="V371" s="165"/>
      <c r="W371" s="165"/>
      <c r="X371" s="165"/>
      <c r="Y371" s="165"/>
      <c r="Z371" s="165"/>
    </row>
    <row r="372" spans="16:26">
      <c r="P372" s="165"/>
      <c r="Q372" s="165"/>
      <c r="R372" s="165"/>
      <c r="S372" s="165"/>
      <c r="T372" s="165"/>
      <c r="U372" s="165"/>
      <c r="V372" s="165"/>
      <c r="W372" s="165"/>
      <c r="X372" s="165"/>
      <c r="Y372" s="165"/>
      <c r="Z372" s="165"/>
    </row>
    <row r="373" spans="16:26">
      <c r="P373" s="165"/>
      <c r="Q373" s="165"/>
      <c r="R373" s="165"/>
      <c r="S373" s="165"/>
      <c r="T373" s="165"/>
      <c r="U373" s="165"/>
      <c r="V373" s="165"/>
      <c r="W373" s="165"/>
      <c r="X373" s="165"/>
      <c r="Y373" s="165"/>
      <c r="Z373" s="165"/>
    </row>
    <row r="374" spans="16:26">
      <c r="P374" s="165"/>
      <c r="Q374" s="165"/>
      <c r="R374" s="165"/>
      <c r="S374" s="165"/>
      <c r="T374" s="165"/>
      <c r="U374" s="165"/>
      <c r="V374" s="165"/>
      <c r="W374" s="165"/>
      <c r="X374" s="165"/>
      <c r="Y374" s="165"/>
      <c r="Z374" s="165"/>
    </row>
    <row r="375" spans="16:26">
      <c r="P375" s="165"/>
      <c r="Q375" s="165"/>
      <c r="R375" s="165"/>
      <c r="S375" s="165"/>
      <c r="T375" s="165"/>
      <c r="U375" s="165"/>
      <c r="V375" s="165"/>
      <c r="W375" s="165"/>
      <c r="X375" s="165"/>
      <c r="Y375" s="165"/>
      <c r="Z375" s="165"/>
    </row>
    <row r="376" spans="16:26">
      <c r="P376" s="165"/>
      <c r="Q376" s="165"/>
      <c r="R376" s="165"/>
      <c r="S376" s="165"/>
      <c r="T376" s="165"/>
      <c r="U376" s="165"/>
      <c r="V376" s="165"/>
      <c r="W376" s="165"/>
      <c r="X376" s="165"/>
      <c r="Y376" s="165"/>
      <c r="Z376" s="165"/>
    </row>
    <row r="377" spans="16:26">
      <c r="P377" s="165"/>
      <c r="Q377" s="165"/>
      <c r="R377" s="165"/>
      <c r="S377" s="165"/>
      <c r="T377" s="165"/>
      <c r="U377" s="165"/>
      <c r="V377" s="165"/>
      <c r="W377" s="165"/>
      <c r="X377" s="165"/>
      <c r="Y377" s="165"/>
      <c r="Z377" s="165"/>
    </row>
    <row r="378" spans="16:26">
      <c r="P378" s="165"/>
      <c r="Q378" s="165"/>
      <c r="R378" s="165"/>
      <c r="S378" s="165"/>
      <c r="T378" s="165"/>
      <c r="U378" s="165"/>
      <c r="V378" s="165"/>
      <c r="W378" s="165"/>
      <c r="X378" s="165"/>
      <c r="Y378" s="165"/>
      <c r="Z378" s="165"/>
    </row>
    <row r="379" spans="16:26">
      <c r="P379" s="165"/>
      <c r="Q379" s="165"/>
      <c r="R379" s="165"/>
      <c r="S379" s="165"/>
      <c r="T379" s="165"/>
      <c r="U379" s="165"/>
      <c r="V379" s="165"/>
      <c r="W379" s="165"/>
      <c r="X379" s="165"/>
      <c r="Y379" s="165"/>
      <c r="Z379" s="165"/>
    </row>
    <row r="380" spans="16:26">
      <c r="P380" s="165"/>
      <c r="Q380" s="165"/>
      <c r="R380" s="165"/>
      <c r="S380" s="165"/>
      <c r="T380" s="165"/>
      <c r="U380" s="165"/>
      <c r="V380" s="165"/>
      <c r="W380" s="165"/>
      <c r="X380" s="165"/>
      <c r="Y380" s="165"/>
      <c r="Z380" s="165"/>
    </row>
    <row r="381" spans="16:26">
      <c r="P381" s="165"/>
      <c r="Q381" s="165"/>
      <c r="R381" s="165"/>
      <c r="S381" s="165"/>
      <c r="T381" s="165"/>
      <c r="U381" s="165"/>
      <c r="V381" s="165"/>
      <c r="W381" s="165"/>
      <c r="X381" s="165"/>
      <c r="Y381" s="165"/>
      <c r="Z381" s="165"/>
    </row>
    <row r="382" spans="16:26">
      <c r="P382" s="165"/>
      <c r="Q382" s="165"/>
      <c r="R382" s="165"/>
      <c r="S382" s="165"/>
      <c r="T382" s="165"/>
      <c r="U382" s="165"/>
      <c r="V382" s="165"/>
      <c r="W382" s="165"/>
      <c r="X382" s="165"/>
      <c r="Y382" s="165"/>
      <c r="Z382" s="165"/>
    </row>
    <row r="383" spans="16:26">
      <c r="P383" s="165"/>
      <c r="Q383" s="165"/>
      <c r="R383" s="165"/>
      <c r="S383" s="165"/>
      <c r="T383" s="165"/>
      <c r="U383" s="165"/>
      <c r="V383" s="165"/>
      <c r="W383" s="165"/>
      <c r="X383" s="165"/>
      <c r="Y383" s="165"/>
      <c r="Z383" s="165"/>
    </row>
    <row r="384" spans="16:26">
      <c r="P384" s="165"/>
      <c r="Q384" s="165"/>
      <c r="R384" s="165"/>
      <c r="S384" s="165"/>
      <c r="T384" s="165"/>
      <c r="U384" s="165"/>
      <c r="V384" s="165"/>
      <c r="W384" s="165"/>
      <c r="X384" s="165"/>
      <c r="Y384" s="165"/>
      <c r="Z384" s="165"/>
    </row>
    <row r="385" spans="16:26">
      <c r="P385" s="165"/>
      <c r="Q385" s="165"/>
      <c r="R385" s="165"/>
      <c r="S385" s="165"/>
      <c r="T385" s="165"/>
      <c r="U385" s="165"/>
      <c r="V385" s="165"/>
      <c r="W385" s="165"/>
      <c r="X385" s="165"/>
      <c r="Y385" s="165"/>
      <c r="Z385" s="165"/>
    </row>
    <row r="386" spans="16:26">
      <c r="P386" s="165"/>
      <c r="Q386" s="165"/>
      <c r="R386" s="165"/>
      <c r="S386" s="165"/>
      <c r="T386" s="165"/>
      <c r="U386" s="165"/>
      <c r="V386" s="165"/>
      <c r="W386" s="165"/>
      <c r="X386" s="165"/>
      <c r="Y386" s="165"/>
      <c r="Z386" s="165"/>
    </row>
    <row r="387" spans="16:26">
      <c r="P387" s="165"/>
      <c r="Q387" s="165"/>
      <c r="R387" s="165"/>
      <c r="S387" s="165"/>
      <c r="T387" s="165"/>
      <c r="U387" s="165"/>
      <c r="V387" s="165"/>
      <c r="W387" s="165"/>
      <c r="X387" s="165"/>
      <c r="Y387" s="165"/>
      <c r="Z387" s="165"/>
    </row>
    <row r="388" spans="16:26">
      <c r="P388" s="165"/>
      <c r="Q388" s="165"/>
      <c r="R388" s="165"/>
      <c r="S388" s="165"/>
      <c r="T388" s="165"/>
      <c r="U388" s="165"/>
      <c r="V388" s="165"/>
      <c r="W388" s="165"/>
      <c r="X388" s="165"/>
      <c r="Y388" s="165"/>
      <c r="Z388" s="165"/>
    </row>
    <row r="389" spans="16:26">
      <c r="P389" s="165"/>
      <c r="Q389" s="165"/>
      <c r="R389" s="165"/>
      <c r="S389" s="165"/>
      <c r="T389" s="165"/>
      <c r="U389" s="165"/>
      <c r="V389" s="165"/>
      <c r="W389" s="165"/>
      <c r="X389" s="165"/>
      <c r="Y389" s="165"/>
      <c r="Z389" s="165"/>
    </row>
    <row r="390" spans="16:26">
      <c r="P390" s="165"/>
      <c r="Q390" s="165"/>
      <c r="R390" s="165"/>
      <c r="S390" s="165"/>
      <c r="T390" s="165"/>
      <c r="U390" s="165"/>
      <c r="V390" s="165"/>
      <c r="W390" s="165"/>
      <c r="X390" s="165"/>
      <c r="Y390" s="165"/>
      <c r="Z390" s="165"/>
    </row>
    <row r="391" spans="16:26">
      <c r="P391" s="165"/>
      <c r="Q391" s="165"/>
      <c r="R391" s="165"/>
      <c r="S391" s="165"/>
      <c r="T391" s="165"/>
      <c r="U391" s="165"/>
      <c r="V391" s="165"/>
      <c r="W391" s="165"/>
      <c r="X391" s="165"/>
      <c r="Y391" s="165"/>
      <c r="Z391" s="165"/>
    </row>
    <row r="392" spans="16:26">
      <c r="P392" s="165"/>
      <c r="Q392" s="165"/>
      <c r="R392" s="165"/>
      <c r="S392" s="165"/>
      <c r="T392" s="165"/>
      <c r="U392" s="165"/>
      <c r="V392" s="165"/>
      <c r="W392" s="165"/>
      <c r="X392" s="165"/>
      <c r="Y392" s="165"/>
      <c r="Z392" s="165"/>
    </row>
    <row r="393" spans="16:26">
      <c r="P393" s="165"/>
      <c r="Q393" s="165"/>
      <c r="R393" s="165"/>
      <c r="S393" s="165"/>
      <c r="T393" s="165"/>
      <c r="U393" s="165"/>
      <c r="V393" s="165"/>
      <c r="W393" s="165"/>
      <c r="X393" s="165"/>
      <c r="Y393" s="165"/>
      <c r="Z393" s="165"/>
    </row>
    <row r="394" spans="16:26">
      <c r="P394" s="165"/>
      <c r="Q394" s="165"/>
      <c r="R394" s="165"/>
      <c r="S394" s="165"/>
      <c r="T394" s="165"/>
      <c r="U394" s="165"/>
      <c r="V394" s="165"/>
      <c r="W394" s="165"/>
      <c r="X394" s="165"/>
      <c r="Y394" s="165"/>
      <c r="Z394" s="165"/>
    </row>
    <row r="395" spans="16:26">
      <c r="P395" s="165"/>
      <c r="Q395" s="165"/>
      <c r="R395" s="165"/>
      <c r="S395" s="165"/>
      <c r="T395" s="165"/>
      <c r="U395" s="165"/>
      <c r="V395" s="165"/>
      <c r="W395" s="165"/>
      <c r="X395" s="165"/>
      <c r="Y395" s="165"/>
      <c r="Z395" s="165"/>
    </row>
    <row r="396" spans="16:26">
      <c r="P396" s="165"/>
      <c r="Q396" s="165"/>
      <c r="R396" s="165"/>
      <c r="S396" s="165"/>
      <c r="T396" s="165"/>
      <c r="U396" s="165"/>
      <c r="V396" s="165"/>
      <c r="W396" s="165"/>
      <c r="X396" s="165"/>
      <c r="Y396" s="165"/>
      <c r="Z396" s="165"/>
    </row>
    <row r="397" spans="16:26">
      <c r="P397" s="165"/>
      <c r="Q397" s="165"/>
      <c r="R397" s="165"/>
      <c r="S397" s="165"/>
      <c r="T397" s="165"/>
      <c r="U397" s="165"/>
      <c r="V397" s="165"/>
      <c r="W397" s="165"/>
      <c r="X397" s="165"/>
      <c r="Y397" s="165"/>
      <c r="Z397" s="165"/>
    </row>
    <row r="398" spans="16:26">
      <c r="P398" s="165"/>
      <c r="Q398" s="165"/>
      <c r="R398" s="165"/>
      <c r="S398" s="165"/>
      <c r="T398" s="165"/>
      <c r="U398" s="165"/>
      <c r="V398" s="165"/>
      <c r="W398" s="165"/>
      <c r="X398" s="165"/>
      <c r="Y398" s="165"/>
      <c r="Z398" s="165"/>
    </row>
    <row r="399" spans="16:26">
      <c r="P399" s="165"/>
      <c r="Q399" s="165"/>
      <c r="R399" s="165"/>
      <c r="S399" s="165"/>
      <c r="T399" s="165"/>
      <c r="U399" s="165"/>
      <c r="V399" s="165"/>
      <c r="W399" s="165"/>
      <c r="X399" s="165"/>
      <c r="Y399" s="165"/>
      <c r="Z399" s="165"/>
    </row>
    <row r="400" spans="16:26">
      <c r="P400" s="165"/>
      <c r="Q400" s="165"/>
      <c r="R400" s="165"/>
      <c r="S400" s="165"/>
      <c r="T400" s="165"/>
      <c r="U400" s="165"/>
      <c r="V400" s="165"/>
      <c r="W400" s="165"/>
      <c r="X400" s="165"/>
      <c r="Y400" s="165"/>
      <c r="Z400" s="165"/>
    </row>
    <row r="401" spans="16:26">
      <c r="P401" s="165"/>
      <c r="Q401" s="165"/>
      <c r="R401" s="165"/>
      <c r="S401" s="165"/>
      <c r="T401" s="165"/>
      <c r="U401" s="165"/>
      <c r="V401" s="165"/>
      <c r="W401" s="165"/>
      <c r="X401" s="165"/>
      <c r="Y401" s="165"/>
      <c r="Z401" s="165"/>
    </row>
    <row r="402" spans="16:26">
      <c r="P402" s="165"/>
      <c r="Q402" s="165"/>
      <c r="R402" s="165"/>
      <c r="S402" s="165"/>
      <c r="T402" s="165"/>
      <c r="U402" s="165"/>
      <c r="V402" s="165"/>
      <c r="W402" s="165"/>
      <c r="X402" s="165"/>
      <c r="Y402" s="165"/>
      <c r="Z402" s="165"/>
    </row>
    <row r="403" spans="16:26">
      <c r="P403" s="165"/>
      <c r="Q403" s="165"/>
      <c r="R403" s="165"/>
      <c r="S403" s="165"/>
      <c r="T403" s="165"/>
      <c r="U403" s="165"/>
      <c r="V403" s="165"/>
      <c r="W403" s="165"/>
      <c r="X403" s="165"/>
      <c r="Y403" s="165"/>
      <c r="Z403" s="165"/>
    </row>
    <row r="404" spans="16:26">
      <c r="P404" s="165"/>
      <c r="Q404" s="165"/>
      <c r="R404" s="165"/>
      <c r="S404" s="165"/>
      <c r="T404" s="165"/>
      <c r="U404" s="165"/>
      <c r="V404" s="165"/>
      <c r="W404" s="165"/>
      <c r="X404" s="165"/>
      <c r="Y404" s="165"/>
      <c r="Z404" s="165"/>
    </row>
    <row r="405" spans="16:26">
      <c r="P405" s="165"/>
      <c r="Q405" s="165"/>
      <c r="R405" s="165"/>
      <c r="S405" s="165"/>
      <c r="T405" s="165"/>
      <c r="U405" s="165"/>
      <c r="V405" s="165"/>
      <c r="W405" s="165"/>
      <c r="X405" s="165"/>
      <c r="Y405" s="165"/>
      <c r="Z405" s="165"/>
    </row>
    <row r="406" spans="16:26">
      <c r="P406" s="165"/>
      <c r="Q406" s="165"/>
      <c r="R406" s="165"/>
      <c r="S406" s="165"/>
      <c r="T406" s="165"/>
      <c r="U406" s="165"/>
      <c r="V406" s="165"/>
      <c r="W406" s="165"/>
      <c r="X406" s="165"/>
      <c r="Y406" s="165"/>
      <c r="Z406" s="165"/>
    </row>
    <row r="407" spans="16:26">
      <c r="P407" s="165"/>
      <c r="Q407" s="165"/>
      <c r="R407" s="165"/>
      <c r="S407" s="165"/>
      <c r="T407" s="165"/>
      <c r="U407" s="165"/>
      <c r="V407" s="165"/>
      <c r="W407" s="165"/>
      <c r="X407" s="165"/>
      <c r="Y407" s="165"/>
      <c r="Z407" s="165"/>
    </row>
    <row r="408" spans="16:26">
      <c r="P408" s="165"/>
      <c r="Q408" s="165"/>
      <c r="R408" s="165"/>
      <c r="S408" s="165"/>
      <c r="T408" s="165"/>
      <c r="U408" s="165"/>
      <c r="V408" s="165"/>
      <c r="W408" s="165"/>
      <c r="X408" s="165"/>
      <c r="Y408" s="165"/>
      <c r="Z408" s="165"/>
    </row>
    <row r="409" spans="16:26">
      <c r="P409" s="165"/>
      <c r="Q409" s="165"/>
      <c r="R409" s="165"/>
      <c r="S409" s="165"/>
      <c r="T409" s="165"/>
      <c r="U409" s="165"/>
      <c r="V409" s="165"/>
      <c r="W409" s="165"/>
      <c r="X409" s="165"/>
      <c r="Y409" s="165"/>
      <c r="Z409" s="165"/>
    </row>
    <row r="410" spans="16:26">
      <c r="P410" s="165"/>
      <c r="Q410" s="165"/>
      <c r="R410" s="165"/>
      <c r="S410" s="165"/>
      <c r="T410" s="165"/>
      <c r="U410" s="165"/>
      <c r="V410" s="165"/>
      <c r="W410" s="165"/>
      <c r="X410" s="165"/>
      <c r="Y410" s="165"/>
      <c r="Z410" s="165"/>
    </row>
    <row r="411" spans="16:26">
      <c r="P411" s="165"/>
      <c r="Q411" s="165"/>
      <c r="R411" s="165"/>
      <c r="S411" s="165"/>
      <c r="T411" s="165"/>
      <c r="U411" s="165"/>
      <c r="V411" s="165"/>
      <c r="W411" s="165"/>
      <c r="X411" s="165"/>
      <c r="Y411" s="165"/>
      <c r="Z411" s="165"/>
    </row>
    <row r="412" spans="16:26">
      <c r="P412" s="165"/>
      <c r="Q412" s="165"/>
      <c r="R412" s="165"/>
      <c r="S412" s="165"/>
      <c r="T412" s="165"/>
      <c r="U412" s="165"/>
      <c r="V412" s="165"/>
      <c r="W412" s="165"/>
      <c r="X412" s="165"/>
      <c r="Y412" s="165"/>
      <c r="Z412" s="165"/>
    </row>
    <row r="413" spans="16:26">
      <c r="P413" s="165"/>
      <c r="Q413" s="165"/>
      <c r="R413" s="165"/>
      <c r="S413" s="165"/>
      <c r="T413" s="165"/>
      <c r="U413" s="165"/>
      <c r="V413" s="165"/>
      <c r="W413" s="165"/>
      <c r="X413" s="165"/>
      <c r="Y413" s="165"/>
      <c r="Z413" s="165"/>
    </row>
    <row r="414" spans="16:26">
      <c r="P414" s="165"/>
      <c r="Q414" s="165"/>
      <c r="R414" s="165"/>
      <c r="S414" s="165"/>
      <c r="T414" s="165"/>
      <c r="U414" s="165"/>
      <c r="V414" s="165"/>
      <c r="W414" s="165"/>
      <c r="X414" s="165"/>
      <c r="Y414" s="165"/>
      <c r="Z414" s="165"/>
    </row>
    <row r="415" spans="16:26">
      <c r="P415" s="165"/>
      <c r="Q415" s="165"/>
      <c r="R415" s="165"/>
      <c r="S415" s="165"/>
      <c r="T415" s="165"/>
      <c r="U415" s="165"/>
      <c r="V415" s="165"/>
      <c r="W415" s="165"/>
      <c r="X415" s="165"/>
      <c r="Y415" s="165"/>
      <c r="Z415" s="165"/>
    </row>
    <row r="416" spans="16:26">
      <c r="P416" s="165"/>
      <c r="Q416" s="165"/>
      <c r="R416" s="165"/>
      <c r="S416" s="165"/>
      <c r="T416" s="165"/>
      <c r="U416" s="165"/>
      <c r="V416" s="165"/>
      <c r="W416" s="165"/>
      <c r="X416" s="165"/>
      <c r="Y416" s="165"/>
      <c r="Z416" s="165"/>
    </row>
    <row r="417" spans="16:26">
      <c r="P417" s="165"/>
      <c r="Q417" s="165"/>
      <c r="R417" s="165"/>
      <c r="S417" s="165"/>
      <c r="T417" s="165"/>
      <c r="U417" s="165"/>
      <c r="V417" s="165"/>
      <c r="W417" s="165"/>
      <c r="X417" s="165"/>
      <c r="Y417" s="165"/>
      <c r="Z417" s="165"/>
    </row>
    <row r="418" spans="16:26">
      <c r="P418" s="165"/>
      <c r="Q418" s="165"/>
      <c r="R418" s="165"/>
      <c r="S418" s="165"/>
      <c r="T418" s="165"/>
      <c r="U418" s="165"/>
      <c r="V418" s="165"/>
      <c r="W418" s="165"/>
      <c r="X418" s="165"/>
      <c r="Y418" s="165"/>
      <c r="Z418" s="165"/>
    </row>
    <row r="419" spans="16:26">
      <c r="P419" s="165"/>
      <c r="Q419" s="165"/>
      <c r="R419" s="165"/>
      <c r="S419" s="165"/>
      <c r="T419" s="165"/>
      <c r="U419" s="165"/>
      <c r="V419" s="165"/>
      <c r="W419" s="165"/>
      <c r="X419" s="165"/>
      <c r="Y419" s="165"/>
      <c r="Z419" s="165"/>
    </row>
    <row r="420" spans="16:26">
      <c r="P420" s="165"/>
      <c r="Q420" s="165"/>
      <c r="R420" s="165"/>
      <c r="S420" s="165"/>
      <c r="T420" s="165"/>
      <c r="U420" s="165"/>
      <c r="V420" s="165"/>
      <c r="W420" s="165"/>
      <c r="X420" s="165"/>
      <c r="Y420" s="165"/>
      <c r="Z420" s="165"/>
    </row>
    <row r="421" spans="16:26">
      <c r="P421" s="165"/>
      <c r="Q421" s="165"/>
      <c r="R421" s="165"/>
      <c r="S421" s="165"/>
      <c r="T421" s="165"/>
      <c r="U421" s="165"/>
      <c r="V421" s="165"/>
      <c r="W421" s="165"/>
      <c r="X421" s="165"/>
      <c r="Y421" s="165"/>
      <c r="Z421" s="165"/>
    </row>
    <row r="422" spans="16:26">
      <c r="P422" s="165"/>
      <c r="Q422" s="165"/>
      <c r="R422" s="165"/>
      <c r="S422" s="165"/>
      <c r="T422" s="165"/>
      <c r="U422" s="165"/>
      <c r="V422" s="165"/>
      <c r="W422" s="165"/>
      <c r="X422" s="165"/>
      <c r="Y422" s="165"/>
      <c r="Z422" s="165"/>
    </row>
    <row r="423" spans="16:26">
      <c r="P423" s="165"/>
      <c r="Q423" s="165"/>
      <c r="R423" s="165"/>
      <c r="S423" s="165"/>
      <c r="T423" s="165"/>
      <c r="U423" s="165"/>
      <c r="V423" s="165"/>
      <c r="W423" s="165"/>
      <c r="X423" s="165"/>
      <c r="Y423" s="165"/>
      <c r="Z423" s="165"/>
    </row>
    <row r="424" spans="16:26">
      <c r="P424" s="165"/>
      <c r="Q424" s="165"/>
      <c r="R424" s="165"/>
      <c r="S424" s="165"/>
      <c r="T424" s="165"/>
      <c r="U424" s="165"/>
      <c r="V424" s="165"/>
      <c r="W424" s="165"/>
      <c r="X424" s="165"/>
      <c r="Y424" s="165"/>
      <c r="Z424" s="165"/>
    </row>
    <row r="425" spans="16:26">
      <c r="P425" s="165"/>
      <c r="Q425" s="165"/>
      <c r="R425" s="165"/>
      <c r="S425" s="165"/>
      <c r="T425" s="165"/>
      <c r="U425" s="165"/>
      <c r="V425" s="165"/>
      <c r="W425" s="165"/>
      <c r="X425" s="165"/>
      <c r="Y425" s="165"/>
      <c r="Z425" s="165"/>
    </row>
    <row r="426" spans="16:26">
      <c r="P426" s="165"/>
      <c r="Q426" s="165"/>
      <c r="R426" s="165"/>
      <c r="S426" s="165"/>
      <c r="T426" s="165"/>
      <c r="U426" s="165"/>
      <c r="V426" s="165"/>
      <c r="W426" s="165"/>
      <c r="X426" s="165"/>
      <c r="Y426" s="165"/>
      <c r="Z426" s="165"/>
    </row>
    <row r="427" spans="16:26">
      <c r="P427" s="165"/>
      <c r="Q427" s="165"/>
      <c r="R427" s="165"/>
      <c r="S427" s="165"/>
      <c r="T427" s="165"/>
      <c r="U427" s="165"/>
      <c r="V427" s="165"/>
      <c r="W427" s="165"/>
      <c r="X427" s="165"/>
      <c r="Y427" s="165"/>
      <c r="Z427" s="165"/>
    </row>
    <row r="428" spans="16:26">
      <c r="P428" s="165"/>
      <c r="Q428" s="165"/>
      <c r="R428" s="165"/>
      <c r="S428" s="165"/>
      <c r="T428" s="165"/>
      <c r="U428" s="165"/>
      <c r="V428" s="165"/>
      <c r="W428" s="165"/>
      <c r="X428" s="165"/>
      <c r="Y428" s="165"/>
      <c r="Z428" s="165"/>
    </row>
    <row r="429" spans="16:26">
      <c r="P429" s="165"/>
      <c r="Q429" s="165"/>
      <c r="R429" s="165"/>
      <c r="S429" s="165"/>
      <c r="T429" s="165"/>
      <c r="U429" s="165"/>
      <c r="V429" s="165"/>
      <c r="W429" s="165"/>
      <c r="X429" s="165"/>
      <c r="Y429" s="165"/>
      <c r="Z429" s="165"/>
    </row>
    <row r="430" spans="16:26">
      <c r="P430" s="165"/>
      <c r="Q430" s="165"/>
      <c r="R430" s="165"/>
      <c r="S430" s="165"/>
      <c r="T430" s="165"/>
      <c r="U430" s="165"/>
      <c r="V430" s="165"/>
      <c r="W430" s="165"/>
      <c r="X430" s="165"/>
      <c r="Y430" s="165"/>
      <c r="Z430" s="165"/>
    </row>
    <row r="431" spans="16:26">
      <c r="P431" s="165"/>
      <c r="Q431" s="165"/>
      <c r="R431" s="165"/>
      <c r="S431" s="165"/>
      <c r="T431" s="165"/>
      <c r="U431" s="165"/>
      <c r="V431" s="165"/>
      <c r="W431" s="165"/>
      <c r="X431" s="165"/>
      <c r="Y431" s="165"/>
      <c r="Z431" s="165"/>
    </row>
    <row r="432" spans="16:26">
      <c r="P432" s="165"/>
      <c r="Q432" s="165"/>
      <c r="R432" s="165"/>
      <c r="S432" s="165"/>
      <c r="T432" s="165"/>
      <c r="U432" s="165"/>
      <c r="V432" s="165"/>
      <c r="W432" s="165"/>
      <c r="X432" s="165"/>
      <c r="Y432" s="165"/>
      <c r="Z432" s="165"/>
    </row>
    <row r="433" spans="16:26">
      <c r="P433" s="165"/>
      <c r="Q433" s="165"/>
      <c r="R433" s="165"/>
      <c r="S433" s="165"/>
      <c r="T433" s="165"/>
      <c r="U433" s="165"/>
      <c r="V433" s="165"/>
      <c r="W433" s="165"/>
      <c r="X433" s="165"/>
      <c r="Y433" s="165"/>
      <c r="Z433" s="165"/>
    </row>
    <row r="434" spans="16:26">
      <c r="P434" s="165"/>
      <c r="Q434" s="165"/>
      <c r="R434" s="165"/>
      <c r="S434" s="165"/>
      <c r="T434" s="165"/>
      <c r="U434" s="165"/>
      <c r="V434" s="165"/>
      <c r="W434" s="165"/>
      <c r="X434" s="165"/>
      <c r="Y434" s="165"/>
      <c r="Z434" s="165"/>
    </row>
    <row r="435" spans="16:26">
      <c r="P435" s="165"/>
      <c r="Q435" s="165"/>
      <c r="R435" s="165"/>
      <c r="S435" s="165"/>
      <c r="T435" s="165"/>
      <c r="U435" s="165"/>
      <c r="V435" s="165"/>
      <c r="W435" s="165"/>
      <c r="X435" s="165"/>
      <c r="Y435" s="165"/>
      <c r="Z435" s="165"/>
    </row>
    <row r="436" spans="16:26">
      <c r="P436" s="165"/>
      <c r="Q436" s="165"/>
      <c r="R436" s="165"/>
      <c r="S436" s="165"/>
      <c r="T436" s="165"/>
      <c r="U436" s="165"/>
      <c r="V436" s="165"/>
      <c r="W436" s="165"/>
      <c r="X436" s="165"/>
      <c r="Y436" s="165"/>
      <c r="Z436" s="165"/>
    </row>
    <row r="437" spans="16:26">
      <c r="P437" s="165"/>
      <c r="Q437" s="165"/>
      <c r="R437" s="165"/>
      <c r="S437" s="165"/>
      <c r="T437" s="165"/>
      <c r="U437" s="165"/>
      <c r="V437" s="165"/>
      <c r="W437" s="165"/>
      <c r="X437" s="165"/>
      <c r="Y437" s="165"/>
      <c r="Z437" s="165"/>
    </row>
    <row r="438" spans="16:26">
      <c r="P438" s="165"/>
      <c r="Q438" s="165"/>
      <c r="R438" s="165"/>
      <c r="S438" s="165"/>
      <c r="T438" s="165"/>
      <c r="U438" s="165"/>
      <c r="V438" s="165"/>
      <c r="W438" s="165"/>
      <c r="X438" s="165"/>
      <c r="Y438" s="165"/>
      <c r="Z438" s="165"/>
    </row>
    <row r="439" spans="16:26">
      <c r="P439" s="165"/>
      <c r="Q439" s="165"/>
      <c r="R439" s="165"/>
      <c r="S439" s="165"/>
      <c r="T439" s="165"/>
      <c r="U439" s="165"/>
      <c r="V439" s="165"/>
      <c r="W439" s="165"/>
      <c r="X439" s="165"/>
      <c r="Y439" s="165"/>
      <c r="Z439" s="165"/>
    </row>
    <row r="440" spans="16:26">
      <c r="P440" s="165"/>
      <c r="Q440" s="165"/>
      <c r="R440" s="165"/>
      <c r="S440" s="165"/>
      <c r="T440" s="165"/>
      <c r="U440" s="165"/>
      <c r="V440" s="165"/>
      <c r="W440" s="165"/>
      <c r="X440" s="165"/>
      <c r="Y440" s="165"/>
      <c r="Z440" s="165"/>
    </row>
    <row r="441" spans="16:26">
      <c r="P441" s="165"/>
      <c r="Q441" s="165"/>
      <c r="R441" s="165"/>
      <c r="S441" s="165"/>
      <c r="T441" s="165"/>
      <c r="U441" s="165"/>
      <c r="V441" s="165"/>
      <c r="W441" s="165"/>
      <c r="X441" s="165"/>
      <c r="Y441" s="165"/>
      <c r="Z441" s="165"/>
    </row>
    <row r="442" spans="16:26">
      <c r="P442" s="165"/>
      <c r="Q442" s="165"/>
      <c r="R442" s="165"/>
      <c r="S442" s="165"/>
      <c r="T442" s="165"/>
      <c r="U442" s="165"/>
      <c r="V442" s="165"/>
      <c r="W442" s="165"/>
      <c r="X442" s="165"/>
      <c r="Y442" s="165"/>
      <c r="Z442" s="165"/>
    </row>
    <row r="443" spans="16:26">
      <c r="P443" s="165"/>
      <c r="Q443" s="165"/>
      <c r="R443" s="165"/>
      <c r="S443" s="165"/>
      <c r="T443" s="165"/>
      <c r="U443" s="165"/>
      <c r="V443" s="165"/>
      <c r="W443" s="165"/>
      <c r="X443" s="165"/>
      <c r="Y443" s="165"/>
      <c r="Z443" s="165"/>
    </row>
    <row r="444" spans="16:26">
      <c r="P444" s="165"/>
      <c r="Q444" s="165"/>
      <c r="R444" s="165"/>
      <c r="S444" s="165"/>
      <c r="T444" s="165"/>
      <c r="U444" s="165"/>
      <c r="V444" s="165"/>
      <c r="W444" s="165"/>
      <c r="X444" s="165"/>
      <c r="Y444" s="165"/>
      <c r="Z444" s="165"/>
    </row>
    <row r="445" spans="16:26">
      <c r="P445" s="165"/>
      <c r="Q445" s="165"/>
      <c r="R445" s="165"/>
      <c r="S445" s="165"/>
      <c r="T445" s="165"/>
      <c r="U445" s="165"/>
      <c r="V445" s="165"/>
      <c r="W445" s="165"/>
      <c r="X445" s="165"/>
      <c r="Y445" s="165"/>
      <c r="Z445" s="165"/>
    </row>
    <row r="446" spans="16:26">
      <c r="P446" s="165"/>
      <c r="Q446" s="165"/>
      <c r="R446" s="165"/>
      <c r="S446" s="165"/>
      <c r="T446" s="165"/>
      <c r="U446" s="165"/>
      <c r="V446" s="165"/>
      <c r="W446" s="165"/>
      <c r="X446" s="165"/>
      <c r="Y446" s="165"/>
      <c r="Z446" s="165"/>
    </row>
    <row r="447" spans="16:26">
      <c r="P447" s="165"/>
      <c r="Q447" s="165"/>
      <c r="R447" s="165"/>
      <c r="S447" s="165"/>
      <c r="T447" s="165"/>
      <c r="U447" s="165"/>
      <c r="V447" s="165"/>
      <c r="W447" s="165"/>
      <c r="X447" s="165"/>
      <c r="Y447" s="165"/>
      <c r="Z447" s="165"/>
    </row>
    <row r="448" spans="16:26">
      <c r="P448" s="165"/>
      <c r="Q448" s="165"/>
      <c r="R448" s="165"/>
      <c r="S448" s="165"/>
      <c r="T448" s="165"/>
      <c r="U448" s="165"/>
      <c r="V448" s="165"/>
      <c r="W448" s="165"/>
      <c r="X448" s="165"/>
      <c r="Y448" s="165"/>
      <c r="Z448" s="165"/>
    </row>
    <row r="449" spans="16:26">
      <c r="P449" s="165"/>
      <c r="Q449" s="165"/>
      <c r="R449" s="165"/>
      <c r="S449" s="165"/>
      <c r="T449" s="165"/>
      <c r="U449" s="165"/>
      <c r="V449" s="165"/>
      <c r="W449" s="165"/>
      <c r="X449" s="165"/>
      <c r="Y449" s="165"/>
      <c r="Z449" s="165"/>
    </row>
    <row r="450" spans="16:26">
      <c r="P450" s="165"/>
      <c r="Q450" s="165"/>
      <c r="R450" s="165"/>
      <c r="S450" s="165"/>
      <c r="T450" s="165"/>
      <c r="U450" s="165"/>
      <c r="V450" s="165"/>
      <c r="W450" s="165"/>
      <c r="X450" s="165"/>
      <c r="Y450" s="165"/>
      <c r="Z450" s="165"/>
    </row>
    <row r="451" spans="16:26">
      <c r="P451" s="165"/>
      <c r="Q451" s="165"/>
      <c r="R451" s="165"/>
      <c r="S451" s="165"/>
      <c r="T451" s="165"/>
      <c r="U451" s="165"/>
      <c r="V451" s="165"/>
      <c r="W451" s="165"/>
      <c r="X451" s="165"/>
      <c r="Y451" s="165"/>
      <c r="Z451" s="165"/>
    </row>
    <row r="452" spans="16:26">
      <c r="P452" s="165"/>
      <c r="Q452" s="165"/>
      <c r="R452" s="165"/>
      <c r="S452" s="165"/>
      <c r="T452" s="165"/>
      <c r="U452" s="165"/>
      <c r="V452" s="165"/>
      <c r="W452" s="165"/>
      <c r="X452" s="165"/>
      <c r="Y452" s="165"/>
      <c r="Z452" s="165"/>
    </row>
    <row r="453" spans="16:26">
      <c r="P453" s="165"/>
      <c r="Q453" s="165"/>
      <c r="R453" s="165"/>
      <c r="S453" s="165"/>
      <c r="T453" s="165"/>
      <c r="U453" s="165"/>
      <c r="V453" s="165"/>
      <c r="W453" s="165"/>
      <c r="X453" s="165"/>
      <c r="Y453" s="165"/>
      <c r="Z453" s="165"/>
    </row>
    <row r="454" spans="16:26">
      <c r="P454" s="165"/>
      <c r="Q454" s="165"/>
      <c r="R454" s="165"/>
      <c r="S454" s="165"/>
      <c r="T454" s="165"/>
      <c r="U454" s="165"/>
      <c r="V454" s="165"/>
      <c r="W454" s="165"/>
      <c r="X454" s="165"/>
      <c r="Y454" s="165"/>
      <c r="Z454" s="165"/>
    </row>
    <row r="455" spans="16:26">
      <c r="P455" s="165"/>
      <c r="Q455" s="165"/>
      <c r="R455" s="165"/>
      <c r="S455" s="165"/>
      <c r="T455" s="165"/>
      <c r="U455" s="165"/>
      <c r="V455" s="165"/>
      <c r="W455" s="165"/>
      <c r="X455" s="165"/>
      <c r="Y455" s="165"/>
      <c r="Z455" s="165"/>
    </row>
    <row r="456" spans="16:26">
      <c r="P456" s="165"/>
      <c r="Q456" s="165"/>
      <c r="R456" s="165"/>
      <c r="S456" s="165"/>
      <c r="T456" s="165"/>
      <c r="U456" s="165"/>
      <c r="V456" s="165"/>
      <c r="W456" s="165"/>
      <c r="X456" s="165"/>
      <c r="Y456" s="165"/>
      <c r="Z456" s="165"/>
    </row>
    <row r="457" spans="16:26">
      <c r="P457" s="165"/>
      <c r="Q457" s="165"/>
      <c r="R457" s="165"/>
      <c r="S457" s="165"/>
      <c r="T457" s="165"/>
      <c r="U457" s="165"/>
      <c r="V457" s="165"/>
      <c r="W457" s="165"/>
      <c r="X457" s="165"/>
      <c r="Y457" s="165"/>
      <c r="Z457" s="165"/>
    </row>
    <row r="458" spans="16:26">
      <c r="P458" s="165"/>
      <c r="Q458" s="165"/>
      <c r="R458" s="165"/>
      <c r="S458" s="165"/>
      <c r="T458" s="165"/>
      <c r="U458" s="165"/>
      <c r="V458" s="165"/>
      <c r="W458" s="165"/>
      <c r="X458" s="165"/>
      <c r="Y458" s="165"/>
      <c r="Z458" s="165"/>
    </row>
    <row r="459" spans="16:26">
      <c r="P459" s="165"/>
      <c r="Q459" s="165"/>
      <c r="R459" s="165"/>
      <c r="S459" s="165"/>
      <c r="T459" s="165"/>
      <c r="U459" s="165"/>
      <c r="V459" s="165"/>
      <c r="W459" s="165"/>
      <c r="X459" s="165"/>
      <c r="Y459" s="165"/>
      <c r="Z459" s="165"/>
    </row>
    <row r="460" spans="16:26">
      <c r="P460" s="165"/>
      <c r="Q460" s="165"/>
      <c r="R460" s="165"/>
      <c r="S460" s="165"/>
      <c r="T460" s="165"/>
      <c r="U460" s="165"/>
      <c r="V460" s="165"/>
      <c r="W460" s="165"/>
      <c r="X460" s="165"/>
      <c r="Y460" s="165"/>
      <c r="Z460" s="165"/>
    </row>
    <row r="461" spans="16:26">
      <c r="P461" s="165"/>
      <c r="Q461" s="165"/>
      <c r="R461" s="165"/>
      <c r="S461" s="165"/>
      <c r="T461" s="165"/>
      <c r="U461" s="165"/>
      <c r="V461" s="165"/>
      <c r="W461" s="165"/>
      <c r="X461" s="165"/>
      <c r="Y461" s="165"/>
      <c r="Z461" s="165"/>
    </row>
    <row r="462" spans="16:26">
      <c r="P462" s="165"/>
      <c r="Q462" s="165"/>
      <c r="R462" s="165"/>
      <c r="S462" s="165"/>
      <c r="T462" s="165"/>
      <c r="U462" s="165"/>
      <c r="V462" s="165"/>
      <c r="W462" s="165"/>
      <c r="X462" s="165"/>
      <c r="Y462" s="165"/>
      <c r="Z462" s="165"/>
    </row>
    <row r="463" spans="16:26">
      <c r="P463" s="165"/>
      <c r="Q463" s="165"/>
      <c r="R463" s="165"/>
      <c r="S463" s="165"/>
      <c r="T463" s="165"/>
      <c r="U463" s="165"/>
      <c r="V463" s="165"/>
      <c r="W463" s="165"/>
      <c r="X463" s="165"/>
      <c r="Y463" s="165"/>
      <c r="Z463" s="165"/>
    </row>
    <row r="464" spans="16:26">
      <c r="P464" s="165"/>
      <c r="Q464" s="165"/>
      <c r="R464" s="165"/>
      <c r="S464" s="165"/>
      <c r="T464" s="165"/>
      <c r="U464" s="165"/>
      <c r="V464" s="165"/>
      <c r="W464" s="165"/>
      <c r="X464" s="165"/>
      <c r="Y464" s="165"/>
      <c r="Z464" s="165"/>
    </row>
    <row r="465" spans="16:26">
      <c r="P465" s="165"/>
      <c r="Q465" s="165"/>
      <c r="R465" s="165"/>
      <c r="S465" s="165"/>
      <c r="T465" s="165"/>
      <c r="U465" s="165"/>
      <c r="V465" s="165"/>
      <c r="W465" s="165"/>
      <c r="X465" s="165"/>
      <c r="Y465" s="165"/>
      <c r="Z465" s="165"/>
    </row>
    <row r="466" spans="16:26">
      <c r="P466" s="165"/>
      <c r="Q466" s="165"/>
      <c r="R466" s="165"/>
      <c r="S466" s="165"/>
      <c r="T466" s="165"/>
      <c r="U466" s="165"/>
      <c r="V466" s="165"/>
      <c r="W466" s="165"/>
      <c r="X466" s="165"/>
      <c r="Y466" s="165"/>
      <c r="Z466" s="165"/>
    </row>
    <row r="467" spans="16:26">
      <c r="P467" s="165"/>
      <c r="Q467" s="165"/>
      <c r="R467" s="165"/>
      <c r="S467" s="165"/>
      <c r="T467" s="165"/>
      <c r="U467" s="165"/>
      <c r="V467" s="165"/>
      <c r="W467" s="165"/>
      <c r="X467" s="165"/>
      <c r="Y467" s="165"/>
      <c r="Z467" s="165"/>
    </row>
    <row r="468" spans="16:26">
      <c r="P468" s="165"/>
      <c r="Q468" s="165"/>
      <c r="R468" s="165"/>
      <c r="S468" s="165"/>
      <c r="T468" s="165"/>
      <c r="U468" s="165"/>
      <c r="V468" s="165"/>
      <c r="W468" s="165"/>
      <c r="X468" s="165"/>
      <c r="Y468" s="165"/>
      <c r="Z468" s="165"/>
    </row>
    <row r="469" spans="16:26">
      <c r="P469" s="165"/>
      <c r="Q469" s="165"/>
      <c r="R469" s="165"/>
      <c r="S469" s="165"/>
      <c r="T469" s="165"/>
      <c r="U469" s="165"/>
      <c r="V469" s="165"/>
      <c r="W469" s="165"/>
      <c r="X469" s="165"/>
      <c r="Y469" s="165"/>
      <c r="Z469" s="165"/>
    </row>
    <row r="470" spans="16:26">
      <c r="P470" s="165"/>
      <c r="Q470" s="165"/>
      <c r="R470" s="165"/>
      <c r="S470" s="165"/>
      <c r="T470" s="165"/>
      <c r="U470" s="165"/>
      <c r="V470" s="165"/>
      <c r="W470" s="165"/>
      <c r="X470" s="165"/>
      <c r="Y470" s="165"/>
      <c r="Z470" s="165"/>
    </row>
    <row r="471" spans="16:26">
      <c r="P471" s="165"/>
      <c r="Q471" s="165"/>
      <c r="R471" s="165"/>
      <c r="S471" s="165"/>
      <c r="T471" s="165"/>
      <c r="U471" s="165"/>
      <c r="V471" s="165"/>
      <c r="W471" s="165"/>
      <c r="X471" s="165"/>
      <c r="Y471" s="165"/>
      <c r="Z471" s="165"/>
    </row>
    <row r="472" spans="16:26">
      <c r="P472" s="165"/>
      <c r="Q472" s="165"/>
      <c r="R472" s="165"/>
      <c r="S472" s="165"/>
      <c r="T472" s="165"/>
      <c r="U472" s="165"/>
      <c r="V472" s="165"/>
      <c r="W472" s="165"/>
      <c r="X472" s="165"/>
      <c r="Y472" s="165"/>
      <c r="Z472" s="165"/>
    </row>
    <row r="473" spans="16:26">
      <c r="P473" s="165"/>
      <c r="Q473" s="165"/>
      <c r="R473" s="165"/>
      <c r="S473" s="165"/>
      <c r="T473" s="165"/>
      <c r="U473" s="165"/>
      <c r="V473" s="165"/>
      <c r="W473" s="165"/>
      <c r="X473" s="165"/>
      <c r="Y473" s="165"/>
      <c r="Z473" s="165"/>
    </row>
    <row r="474" spans="16:26">
      <c r="P474" s="165"/>
      <c r="Q474" s="165"/>
      <c r="R474" s="165"/>
      <c r="S474" s="165"/>
      <c r="T474" s="165"/>
      <c r="U474" s="165"/>
      <c r="V474" s="165"/>
      <c r="W474" s="165"/>
      <c r="X474" s="165"/>
      <c r="Y474" s="165"/>
      <c r="Z474" s="165"/>
    </row>
    <row r="475" spans="16:26">
      <c r="P475" s="165"/>
      <c r="Q475" s="165"/>
      <c r="R475" s="165"/>
      <c r="S475" s="165"/>
      <c r="T475" s="165"/>
      <c r="U475" s="165"/>
      <c r="V475" s="165"/>
      <c r="W475" s="165"/>
      <c r="X475" s="165"/>
      <c r="Y475" s="165"/>
      <c r="Z475" s="165"/>
    </row>
    <row r="476" spans="16:26">
      <c r="P476" s="165"/>
      <c r="Q476" s="165"/>
      <c r="R476" s="165"/>
      <c r="S476" s="165"/>
      <c r="T476" s="165"/>
      <c r="U476" s="165"/>
      <c r="V476" s="165"/>
      <c r="W476" s="165"/>
      <c r="X476" s="165"/>
      <c r="Y476" s="165"/>
      <c r="Z476" s="165"/>
    </row>
    <row r="477" spans="16:26">
      <c r="P477" s="165"/>
      <c r="Q477" s="165"/>
      <c r="R477" s="165"/>
      <c r="S477" s="165"/>
      <c r="T477" s="165"/>
      <c r="U477" s="165"/>
      <c r="V477" s="165"/>
      <c r="W477" s="165"/>
      <c r="X477" s="165"/>
      <c r="Y477" s="165"/>
      <c r="Z477" s="165"/>
    </row>
    <row r="478" spans="16:26">
      <c r="P478" s="165"/>
      <c r="Q478" s="165"/>
      <c r="R478" s="165"/>
      <c r="S478" s="165"/>
      <c r="T478" s="165"/>
      <c r="U478" s="165"/>
      <c r="V478" s="165"/>
      <c r="W478" s="165"/>
      <c r="X478" s="165"/>
      <c r="Y478" s="165"/>
      <c r="Z478" s="165"/>
    </row>
    <row r="479" spans="16:26">
      <c r="P479" s="165"/>
      <c r="Q479" s="165"/>
      <c r="R479" s="165"/>
      <c r="S479" s="165"/>
      <c r="T479" s="165"/>
      <c r="U479" s="165"/>
      <c r="V479" s="165"/>
      <c r="W479" s="165"/>
      <c r="X479" s="165"/>
      <c r="Y479" s="165"/>
      <c r="Z479" s="165"/>
    </row>
    <row r="480" spans="16:26">
      <c r="P480" s="165"/>
      <c r="Q480" s="165"/>
      <c r="R480" s="165"/>
      <c r="S480" s="165"/>
      <c r="T480" s="165"/>
      <c r="U480" s="165"/>
      <c r="V480" s="165"/>
      <c r="W480" s="165"/>
      <c r="X480" s="165"/>
      <c r="Y480" s="165"/>
      <c r="Z480" s="165"/>
    </row>
    <row r="481" spans="16:26">
      <c r="P481" s="165"/>
      <c r="Q481" s="165"/>
      <c r="R481" s="165"/>
      <c r="S481" s="165"/>
      <c r="T481" s="165"/>
      <c r="U481" s="165"/>
      <c r="V481" s="165"/>
      <c r="W481" s="165"/>
      <c r="X481" s="165"/>
      <c r="Y481" s="165"/>
      <c r="Z481" s="165"/>
    </row>
    <row r="482" spans="16:26">
      <c r="P482" s="165"/>
      <c r="Q482" s="165"/>
      <c r="R482" s="165"/>
      <c r="S482" s="165"/>
      <c r="T482" s="165"/>
      <c r="U482" s="165"/>
      <c r="V482" s="165"/>
      <c r="W482" s="165"/>
      <c r="X482" s="165"/>
      <c r="Y482" s="165"/>
      <c r="Z482" s="165"/>
    </row>
    <row r="483" spans="16:26">
      <c r="P483" s="165"/>
      <c r="Q483" s="165"/>
      <c r="R483" s="165"/>
      <c r="S483" s="165"/>
      <c r="T483" s="165"/>
      <c r="U483" s="165"/>
      <c r="V483" s="165"/>
      <c r="W483" s="165"/>
      <c r="X483" s="165"/>
      <c r="Y483" s="165"/>
      <c r="Z483" s="165"/>
    </row>
    <row r="484" spans="16:26">
      <c r="P484" s="165"/>
      <c r="Q484" s="165"/>
      <c r="R484" s="165"/>
      <c r="S484" s="165"/>
      <c r="T484" s="165"/>
      <c r="U484" s="165"/>
      <c r="V484" s="165"/>
      <c r="W484" s="165"/>
      <c r="X484" s="165"/>
      <c r="Y484" s="165"/>
      <c r="Z484" s="165"/>
    </row>
    <row r="485" spans="16:26">
      <c r="P485" s="165"/>
      <c r="Q485" s="165"/>
      <c r="R485" s="165"/>
      <c r="S485" s="165"/>
      <c r="T485" s="165"/>
      <c r="U485" s="165"/>
      <c r="V485" s="165"/>
      <c r="W485" s="165"/>
      <c r="X485" s="165"/>
      <c r="Y485" s="165"/>
      <c r="Z485" s="165"/>
    </row>
    <row r="486" spans="16:26">
      <c r="P486" s="165"/>
      <c r="Q486" s="165"/>
      <c r="R486" s="165"/>
      <c r="S486" s="165"/>
      <c r="T486" s="165"/>
      <c r="U486" s="165"/>
      <c r="V486" s="165"/>
      <c r="W486" s="165"/>
      <c r="X486" s="165"/>
      <c r="Y486" s="165"/>
      <c r="Z486" s="165"/>
    </row>
    <row r="487" spans="16:26">
      <c r="P487" s="165"/>
      <c r="Q487" s="165"/>
      <c r="R487" s="165"/>
      <c r="S487" s="165"/>
      <c r="T487" s="165"/>
      <c r="U487" s="165"/>
      <c r="V487" s="165"/>
      <c r="W487" s="165"/>
      <c r="X487" s="165"/>
      <c r="Y487" s="165"/>
      <c r="Z487" s="165"/>
    </row>
    <row r="488" spans="16:26">
      <c r="P488" s="165"/>
      <c r="Q488" s="165"/>
      <c r="R488" s="165"/>
      <c r="S488" s="165"/>
      <c r="T488" s="165"/>
      <c r="U488" s="165"/>
      <c r="V488" s="165"/>
      <c r="W488" s="165"/>
      <c r="X488" s="165"/>
      <c r="Y488" s="165"/>
      <c r="Z488" s="165"/>
    </row>
    <row r="489" spans="16:26">
      <c r="P489" s="165"/>
      <c r="Q489" s="165"/>
      <c r="R489" s="165"/>
      <c r="S489" s="165"/>
      <c r="T489" s="165"/>
      <c r="U489" s="165"/>
      <c r="V489" s="165"/>
      <c r="W489" s="165"/>
      <c r="X489" s="165"/>
      <c r="Y489" s="165"/>
      <c r="Z489" s="165"/>
    </row>
    <row r="490" spans="16:26">
      <c r="P490" s="165"/>
      <c r="Q490" s="165"/>
      <c r="R490" s="165"/>
      <c r="S490" s="165"/>
      <c r="T490" s="165"/>
      <c r="U490" s="165"/>
      <c r="V490" s="165"/>
      <c r="W490" s="165"/>
      <c r="X490" s="165"/>
      <c r="Y490" s="165"/>
      <c r="Z490" s="165"/>
    </row>
    <row r="491" spans="16:26">
      <c r="P491" s="165"/>
      <c r="Q491" s="165"/>
      <c r="R491" s="165"/>
      <c r="S491" s="165"/>
      <c r="T491" s="165"/>
      <c r="U491" s="165"/>
      <c r="V491" s="165"/>
      <c r="W491" s="165"/>
      <c r="X491" s="165"/>
      <c r="Y491" s="165"/>
      <c r="Z491" s="165"/>
    </row>
    <row r="492" spans="16:26">
      <c r="P492" s="165"/>
      <c r="Q492" s="165"/>
      <c r="R492" s="165"/>
      <c r="S492" s="165"/>
      <c r="T492" s="165"/>
      <c r="U492" s="165"/>
      <c r="V492" s="165"/>
      <c r="W492" s="165"/>
      <c r="X492" s="165"/>
      <c r="Y492" s="165"/>
      <c r="Z492" s="165"/>
    </row>
    <row r="493" spans="16:26">
      <c r="P493" s="165"/>
      <c r="Q493" s="165"/>
      <c r="R493" s="165"/>
      <c r="S493" s="165"/>
      <c r="T493" s="165"/>
      <c r="U493" s="165"/>
      <c r="V493" s="165"/>
      <c r="W493" s="165"/>
      <c r="X493" s="165"/>
      <c r="Y493" s="165"/>
      <c r="Z493" s="165"/>
    </row>
    <row r="494" spans="16:26">
      <c r="P494" s="165"/>
      <c r="Q494" s="165"/>
      <c r="R494" s="165"/>
      <c r="S494" s="165"/>
      <c r="T494" s="165"/>
      <c r="U494" s="165"/>
      <c r="V494" s="165"/>
      <c r="W494" s="165"/>
      <c r="X494" s="165"/>
      <c r="Y494" s="165"/>
      <c r="Z494" s="165"/>
    </row>
    <row r="495" spans="16:26">
      <c r="P495" s="165"/>
      <c r="Q495" s="165"/>
      <c r="R495" s="165"/>
      <c r="S495" s="165"/>
      <c r="T495" s="165"/>
      <c r="U495" s="165"/>
      <c r="V495" s="165"/>
      <c r="W495" s="165"/>
      <c r="X495" s="165"/>
      <c r="Y495" s="165"/>
      <c r="Z495" s="165"/>
    </row>
    <row r="496" spans="16:26">
      <c r="P496" s="165"/>
      <c r="Q496" s="165"/>
      <c r="R496" s="165"/>
      <c r="S496" s="165"/>
      <c r="T496" s="165"/>
      <c r="U496" s="165"/>
      <c r="V496" s="165"/>
      <c r="W496" s="165"/>
      <c r="X496" s="165"/>
      <c r="Y496" s="165"/>
      <c r="Z496" s="165"/>
    </row>
    <row r="497" spans="16:26">
      <c r="P497" s="165"/>
      <c r="Q497" s="165"/>
      <c r="R497" s="165"/>
      <c r="S497" s="165"/>
      <c r="T497" s="165"/>
      <c r="U497" s="165"/>
      <c r="V497" s="165"/>
      <c r="W497" s="165"/>
      <c r="X497" s="165"/>
      <c r="Y497" s="165"/>
      <c r="Z497" s="165"/>
    </row>
    <row r="498" spans="16:26">
      <c r="P498" s="165"/>
      <c r="Q498" s="165"/>
      <c r="R498" s="165"/>
      <c r="S498" s="165"/>
      <c r="T498" s="165"/>
      <c r="U498" s="165"/>
      <c r="V498" s="165"/>
      <c r="W498" s="165"/>
      <c r="X498" s="165"/>
      <c r="Y498" s="165"/>
      <c r="Z498" s="165"/>
    </row>
    <row r="499" spans="16:26">
      <c r="P499" s="165"/>
      <c r="Q499" s="165"/>
      <c r="R499" s="165"/>
      <c r="S499" s="165"/>
      <c r="T499" s="165"/>
      <c r="U499" s="165"/>
      <c r="V499" s="165"/>
      <c r="W499" s="165"/>
      <c r="X499" s="165"/>
      <c r="Y499" s="165"/>
      <c r="Z499" s="165"/>
    </row>
    <row r="500" spans="16:26">
      <c r="P500" s="165"/>
      <c r="Q500" s="165"/>
      <c r="R500" s="165"/>
      <c r="S500" s="165"/>
      <c r="T500" s="165"/>
      <c r="U500" s="165"/>
      <c r="V500" s="165"/>
      <c r="W500" s="165"/>
      <c r="X500" s="165"/>
      <c r="Y500" s="165"/>
      <c r="Z500" s="165"/>
    </row>
    <row r="501" spans="16:26">
      <c r="P501" s="165"/>
      <c r="Q501" s="165"/>
      <c r="R501" s="165"/>
      <c r="S501" s="165"/>
      <c r="T501" s="165"/>
      <c r="U501" s="165"/>
      <c r="V501" s="165"/>
      <c r="W501" s="165"/>
      <c r="X501" s="165"/>
      <c r="Y501" s="165"/>
      <c r="Z501" s="165"/>
    </row>
    <row r="502" spans="16:26">
      <c r="P502" s="165"/>
      <c r="Q502" s="165"/>
      <c r="R502" s="165"/>
      <c r="S502" s="165"/>
      <c r="T502" s="165"/>
      <c r="U502" s="165"/>
      <c r="V502" s="165"/>
      <c r="W502" s="165"/>
      <c r="X502" s="165"/>
      <c r="Y502" s="165"/>
      <c r="Z502" s="165"/>
    </row>
    <row r="503" spans="16:26">
      <c r="P503" s="165"/>
      <c r="Q503" s="165"/>
      <c r="R503" s="165"/>
      <c r="S503" s="165"/>
      <c r="T503" s="165"/>
      <c r="U503" s="165"/>
      <c r="V503" s="165"/>
      <c r="W503" s="165"/>
      <c r="X503" s="165"/>
      <c r="Y503" s="165"/>
      <c r="Z503" s="165"/>
    </row>
    <row r="504" spans="16:26">
      <c r="P504" s="165"/>
      <c r="Q504" s="165"/>
      <c r="R504" s="165"/>
      <c r="S504" s="165"/>
      <c r="T504" s="165"/>
      <c r="U504" s="165"/>
      <c r="V504" s="165"/>
      <c r="W504" s="165"/>
      <c r="X504" s="165"/>
      <c r="Y504" s="165"/>
      <c r="Z504" s="165"/>
    </row>
    <row r="505" spans="16:26">
      <c r="P505" s="165"/>
      <c r="Q505" s="165"/>
      <c r="R505" s="165"/>
      <c r="S505" s="165"/>
      <c r="T505" s="165"/>
      <c r="U505" s="165"/>
      <c r="V505" s="165"/>
      <c r="W505" s="165"/>
      <c r="X505" s="165"/>
      <c r="Y505" s="165"/>
      <c r="Z505" s="165"/>
    </row>
    <row r="506" spans="16:26">
      <c r="P506" s="165"/>
      <c r="Q506" s="165"/>
      <c r="R506" s="165"/>
      <c r="S506" s="165"/>
      <c r="T506" s="165"/>
      <c r="U506" s="165"/>
      <c r="V506" s="165"/>
      <c r="W506" s="165"/>
      <c r="X506" s="165"/>
      <c r="Y506" s="165"/>
      <c r="Z506" s="165"/>
    </row>
    <row r="507" spans="16:26">
      <c r="P507" s="165"/>
      <c r="Q507" s="165"/>
      <c r="R507" s="165"/>
      <c r="S507" s="165"/>
      <c r="T507" s="165"/>
      <c r="U507" s="165"/>
      <c r="V507" s="165"/>
      <c r="W507" s="165"/>
      <c r="X507" s="165"/>
      <c r="Y507" s="165"/>
      <c r="Z507" s="165"/>
    </row>
    <row r="508" spans="16:26">
      <c r="P508" s="165"/>
      <c r="Q508" s="165"/>
      <c r="R508" s="165"/>
      <c r="S508" s="165"/>
      <c r="T508" s="165"/>
      <c r="U508" s="165"/>
      <c r="V508" s="165"/>
      <c r="W508" s="165"/>
      <c r="X508" s="165"/>
      <c r="Y508" s="165"/>
      <c r="Z508" s="165"/>
    </row>
    <row r="509" spans="16:26">
      <c r="P509" s="165"/>
      <c r="Q509" s="165"/>
      <c r="R509" s="165"/>
      <c r="S509" s="165"/>
      <c r="T509" s="165"/>
      <c r="U509" s="165"/>
      <c r="V509" s="165"/>
      <c r="W509" s="165"/>
      <c r="X509" s="165"/>
      <c r="Y509" s="165"/>
      <c r="Z509" s="165"/>
    </row>
    <row r="510" spans="16:26">
      <c r="P510" s="165"/>
      <c r="Q510" s="165"/>
      <c r="R510" s="165"/>
      <c r="S510" s="165"/>
      <c r="T510" s="165"/>
      <c r="U510" s="165"/>
      <c r="V510" s="165"/>
      <c r="W510" s="165"/>
      <c r="X510" s="165"/>
      <c r="Y510" s="165"/>
      <c r="Z510" s="165"/>
    </row>
    <row r="511" spans="16:26">
      <c r="P511" s="165"/>
      <c r="Q511" s="165"/>
      <c r="R511" s="165"/>
      <c r="S511" s="165"/>
      <c r="T511" s="165"/>
      <c r="U511" s="165"/>
      <c r="V511" s="165"/>
      <c r="W511" s="165"/>
      <c r="X511" s="165"/>
      <c r="Y511" s="165"/>
      <c r="Z511" s="165"/>
    </row>
    <row r="512" spans="16:26">
      <c r="P512" s="165"/>
      <c r="Q512" s="165"/>
      <c r="R512" s="165"/>
      <c r="S512" s="165"/>
      <c r="T512" s="165"/>
      <c r="U512" s="165"/>
      <c r="V512" s="165"/>
      <c r="W512" s="165"/>
      <c r="X512" s="165"/>
      <c r="Y512" s="165"/>
      <c r="Z512" s="165"/>
    </row>
    <row r="513" spans="16:26">
      <c r="P513" s="165"/>
      <c r="Q513" s="165"/>
      <c r="R513" s="165"/>
      <c r="S513" s="165"/>
      <c r="T513" s="165"/>
      <c r="U513" s="165"/>
      <c r="V513" s="165"/>
      <c r="W513" s="165"/>
      <c r="X513" s="165"/>
      <c r="Y513" s="165"/>
      <c r="Z513" s="165"/>
    </row>
    <row r="514" spans="16:26">
      <c r="P514" s="165"/>
      <c r="Q514" s="165"/>
      <c r="R514" s="165"/>
      <c r="S514" s="165"/>
      <c r="T514" s="165"/>
      <c r="U514" s="165"/>
      <c r="V514" s="165"/>
      <c r="W514" s="165"/>
      <c r="X514" s="165"/>
      <c r="Y514" s="165"/>
      <c r="Z514" s="165"/>
    </row>
    <row r="515" spans="16:26">
      <c r="P515" s="165"/>
      <c r="Q515" s="165"/>
      <c r="R515" s="165"/>
      <c r="S515" s="165"/>
      <c r="T515" s="165"/>
      <c r="U515" s="165"/>
      <c r="V515" s="165"/>
      <c r="W515" s="165"/>
      <c r="X515" s="165"/>
      <c r="Y515" s="165"/>
      <c r="Z515" s="165"/>
    </row>
    <row r="516" spans="16:26">
      <c r="P516" s="165"/>
      <c r="Q516" s="165"/>
      <c r="R516" s="165"/>
      <c r="S516" s="165"/>
      <c r="T516" s="165"/>
      <c r="U516" s="165"/>
      <c r="V516" s="165"/>
      <c r="W516" s="165"/>
      <c r="X516" s="165"/>
      <c r="Y516" s="165"/>
      <c r="Z516" s="165"/>
    </row>
    <row r="517" spans="16:26">
      <c r="P517" s="165"/>
      <c r="Q517" s="165"/>
      <c r="R517" s="165"/>
      <c r="S517" s="165"/>
      <c r="T517" s="165"/>
      <c r="U517" s="165"/>
      <c r="V517" s="165"/>
      <c r="W517" s="165"/>
      <c r="X517" s="165"/>
      <c r="Y517" s="165"/>
      <c r="Z517" s="165"/>
    </row>
    <row r="518" spans="16:26">
      <c r="P518" s="165"/>
      <c r="Q518" s="165"/>
      <c r="R518" s="165"/>
      <c r="S518" s="165"/>
      <c r="T518" s="165"/>
      <c r="U518" s="165"/>
      <c r="V518" s="165"/>
      <c r="W518" s="165"/>
      <c r="X518" s="165"/>
      <c r="Y518" s="165"/>
      <c r="Z518" s="165"/>
    </row>
    <row r="519" spans="16:26">
      <c r="P519" s="165"/>
      <c r="Q519" s="165"/>
      <c r="R519" s="165"/>
      <c r="S519" s="165"/>
      <c r="T519" s="165"/>
      <c r="U519" s="165"/>
      <c r="V519" s="165"/>
      <c r="W519" s="165"/>
      <c r="X519" s="165"/>
      <c r="Y519" s="165"/>
      <c r="Z519" s="165"/>
    </row>
    <row r="520" spans="16:26">
      <c r="P520" s="165"/>
      <c r="Q520" s="165"/>
      <c r="R520" s="165"/>
      <c r="S520" s="165"/>
      <c r="T520" s="165"/>
      <c r="U520" s="165"/>
      <c r="V520" s="165"/>
      <c r="W520" s="165"/>
      <c r="X520" s="165"/>
      <c r="Y520" s="165"/>
      <c r="Z520" s="165"/>
    </row>
    <row r="521" spans="16:26">
      <c r="P521" s="165"/>
      <c r="Q521" s="165"/>
      <c r="R521" s="165"/>
      <c r="S521" s="165"/>
      <c r="T521" s="165"/>
      <c r="U521" s="165"/>
      <c r="V521" s="165"/>
      <c r="W521" s="165"/>
      <c r="X521" s="165"/>
      <c r="Y521" s="165"/>
      <c r="Z521" s="165"/>
    </row>
    <row r="522" spans="16:26">
      <c r="P522" s="165"/>
      <c r="Q522" s="165"/>
      <c r="R522" s="165"/>
      <c r="S522" s="165"/>
      <c r="T522" s="165"/>
      <c r="U522" s="165"/>
      <c r="V522" s="165"/>
      <c r="W522" s="165"/>
      <c r="X522" s="165"/>
      <c r="Y522" s="165"/>
      <c r="Z522" s="165"/>
    </row>
    <row r="523" spans="16:26">
      <c r="P523" s="165"/>
      <c r="Q523" s="165"/>
      <c r="R523" s="165"/>
      <c r="S523" s="165"/>
      <c r="T523" s="165"/>
      <c r="U523" s="165"/>
      <c r="V523" s="165"/>
      <c r="W523" s="165"/>
      <c r="X523" s="165"/>
      <c r="Y523" s="165"/>
      <c r="Z523" s="165"/>
    </row>
    <row r="524" spans="16:26">
      <c r="P524" s="165"/>
      <c r="Q524" s="165"/>
      <c r="R524" s="165"/>
      <c r="S524" s="165"/>
      <c r="T524" s="165"/>
      <c r="U524" s="165"/>
      <c r="V524" s="165"/>
      <c r="W524" s="165"/>
      <c r="X524" s="165"/>
      <c r="Y524" s="165"/>
      <c r="Z524" s="165"/>
    </row>
    <row r="525" spans="16:26">
      <c r="P525" s="165"/>
      <c r="Q525" s="165"/>
      <c r="R525" s="165"/>
      <c r="S525" s="165"/>
      <c r="T525" s="165"/>
      <c r="U525" s="165"/>
      <c r="V525" s="165"/>
      <c r="W525" s="165"/>
      <c r="X525" s="165"/>
      <c r="Y525" s="165"/>
      <c r="Z525" s="165"/>
    </row>
    <row r="526" spans="16:26">
      <c r="P526" s="165"/>
      <c r="Q526" s="165"/>
      <c r="R526" s="165"/>
      <c r="S526" s="165"/>
      <c r="T526" s="165"/>
      <c r="U526" s="165"/>
      <c r="V526" s="165"/>
      <c r="W526" s="165"/>
      <c r="X526" s="165"/>
      <c r="Y526" s="165"/>
      <c r="Z526" s="165"/>
    </row>
    <row r="527" spans="16:26">
      <c r="P527" s="165"/>
      <c r="Q527" s="165"/>
      <c r="R527" s="165"/>
      <c r="S527" s="165"/>
      <c r="T527" s="165"/>
      <c r="U527" s="165"/>
      <c r="V527" s="165"/>
      <c r="W527" s="165"/>
      <c r="X527" s="165"/>
      <c r="Y527" s="165"/>
      <c r="Z527" s="165"/>
    </row>
    <row r="528" spans="16:26">
      <c r="P528" s="165"/>
      <c r="Q528" s="165"/>
      <c r="R528" s="165"/>
      <c r="S528" s="165"/>
      <c r="T528" s="165"/>
      <c r="U528" s="165"/>
      <c r="V528" s="165"/>
      <c r="W528" s="165"/>
      <c r="X528" s="165"/>
      <c r="Y528" s="165"/>
      <c r="Z528" s="165"/>
    </row>
    <row r="529" spans="16:26">
      <c r="P529" s="165"/>
      <c r="Q529" s="165"/>
      <c r="R529" s="165"/>
      <c r="S529" s="165"/>
      <c r="T529" s="165"/>
      <c r="U529" s="165"/>
      <c r="V529" s="165"/>
      <c r="W529" s="165"/>
      <c r="X529" s="165"/>
      <c r="Y529" s="165"/>
      <c r="Z529" s="165"/>
    </row>
    <row r="530" spans="16:26">
      <c r="P530" s="165"/>
      <c r="Q530" s="165"/>
      <c r="R530" s="165"/>
      <c r="S530" s="165"/>
      <c r="T530" s="165"/>
      <c r="U530" s="165"/>
      <c r="V530" s="165"/>
      <c r="W530" s="165"/>
      <c r="X530" s="165"/>
      <c r="Y530" s="165"/>
      <c r="Z530" s="165"/>
    </row>
    <row r="531" spans="16:26">
      <c r="P531" s="165"/>
      <c r="Q531" s="165"/>
      <c r="R531" s="165"/>
      <c r="S531" s="165"/>
      <c r="T531" s="165"/>
      <c r="U531" s="165"/>
      <c r="V531" s="165"/>
      <c r="W531" s="165"/>
      <c r="X531" s="165"/>
      <c r="Y531" s="165"/>
      <c r="Z531" s="165"/>
    </row>
    <row r="532" spans="16:26">
      <c r="P532" s="165"/>
      <c r="Q532" s="165"/>
      <c r="R532" s="165"/>
      <c r="S532" s="165"/>
      <c r="T532" s="165"/>
      <c r="U532" s="165"/>
      <c r="V532" s="165"/>
      <c r="W532" s="165"/>
      <c r="X532" s="165"/>
      <c r="Y532" s="165"/>
      <c r="Z532" s="165"/>
    </row>
    <row r="533" spans="16:26">
      <c r="P533" s="165"/>
      <c r="Q533" s="165"/>
      <c r="R533" s="165"/>
      <c r="S533" s="165"/>
      <c r="T533" s="165"/>
      <c r="U533" s="165"/>
      <c r="V533" s="165"/>
      <c r="W533" s="165"/>
      <c r="X533" s="165"/>
      <c r="Y533" s="165"/>
      <c r="Z533" s="165"/>
    </row>
    <row r="534" spans="16:26">
      <c r="P534" s="165"/>
      <c r="Q534" s="165"/>
      <c r="R534" s="165"/>
      <c r="S534" s="165"/>
      <c r="T534" s="165"/>
      <c r="U534" s="165"/>
      <c r="V534" s="165"/>
      <c r="W534" s="165"/>
      <c r="X534" s="165"/>
      <c r="Y534" s="165"/>
      <c r="Z534" s="165"/>
    </row>
    <row r="535" spans="16:26">
      <c r="P535" s="165"/>
      <c r="Q535" s="165"/>
      <c r="R535" s="165"/>
      <c r="S535" s="165"/>
      <c r="T535" s="165"/>
      <c r="U535" s="165"/>
      <c r="V535" s="165"/>
      <c r="W535" s="165"/>
      <c r="X535" s="165"/>
      <c r="Y535" s="165"/>
      <c r="Z535" s="165"/>
    </row>
    <row r="536" spans="16:26">
      <c r="P536" s="165"/>
      <c r="Q536" s="165"/>
      <c r="R536" s="165"/>
      <c r="S536" s="165"/>
      <c r="T536" s="165"/>
      <c r="U536" s="165"/>
      <c r="V536" s="165"/>
      <c r="W536" s="165"/>
      <c r="X536" s="165"/>
      <c r="Y536" s="165"/>
      <c r="Z536" s="165"/>
    </row>
    <row r="537" spans="16:26">
      <c r="P537" s="165"/>
      <c r="Q537" s="165"/>
      <c r="R537" s="165"/>
      <c r="S537" s="165"/>
      <c r="T537" s="165"/>
      <c r="U537" s="165"/>
      <c r="V537" s="165"/>
      <c r="W537" s="165"/>
      <c r="X537" s="165"/>
      <c r="Y537" s="165"/>
      <c r="Z537" s="165"/>
    </row>
    <row r="538" spans="16:26">
      <c r="P538" s="165"/>
      <c r="Q538" s="165"/>
      <c r="R538" s="165"/>
      <c r="S538" s="165"/>
      <c r="T538" s="165"/>
      <c r="U538" s="165"/>
      <c r="V538" s="165"/>
      <c r="W538" s="165"/>
      <c r="X538" s="165"/>
      <c r="Y538" s="165"/>
      <c r="Z538" s="165"/>
    </row>
    <row r="539" spans="16:26">
      <c r="P539" s="165"/>
      <c r="Q539" s="165"/>
      <c r="R539" s="165"/>
      <c r="S539" s="165"/>
      <c r="T539" s="165"/>
      <c r="U539" s="165"/>
      <c r="V539" s="165"/>
      <c r="W539" s="165"/>
      <c r="X539" s="165"/>
      <c r="Y539" s="165"/>
      <c r="Z539" s="165"/>
    </row>
    <row r="540" spans="16:26">
      <c r="P540" s="165"/>
      <c r="Q540" s="165"/>
      <c r="R540" s="165"/>
      <c r="S540" s="165"/>
      <c r="T540" s="165"/>
      <c r="U540" s="165"/>
      <c r="V540" s="165"/>
      <c r="W540" s="165"/>
      <c r="X540" s="165"/>
      <c r="Y540" s="165"/>
      <c r="Z540" s="165"/>
    </row>
    <row r="541" spans="16:26">
      <c r="P541" s="165"/>
      <c r="Q541" s="165"/>
      <c r="R541" s="165"/>
      <c r="S541" s="165"/>
      <c r="T541" s="165"/>
      <c r="U541" s="165"/>
      <c r="V541" s="165"/>
      <c r="W541" s="165"/>
      <c r="X541" s="165"/>
      <c r="Y541" s="165"/>
      <c r="Z541" s="165"/>
    </row>
    <row r="542" spans="16:26">
      <c r="P542" s="165"/>
      <c r="Q542" s="165"/>
      <c r="R542" s="165"/>
      <c r="S542" s="165"/>
      <c r="T542" s="165"/>
      <c r="U542" s="165"/>
      <c r="V542" s="165"/>
      <c r="W542" s="165"/>
      <c r="X542" s="165"/>
      <c r="Y542" s="165"/>
      <c r="Z542" s="165"/>
    </row>
    <row r="543" spans="16:26">
      <c r="P543" s="165"/>
      <c r="Q543" s="165"/>
      <c r="R543" s="165"/>
      <c r="S543" s="165"/>
      <c r="T543" s="165"/>
      <c r="U543" s="165"/>
      <c r="V543" s="165"/>
      <c r="W543" s="165"/>
      <c r="X543" s="165"/>
      <c r="Y543" s="165"/>
      <c r="Z543" s="165"/>
    </row>
    <row r="544" spans="16:26">
      <c r="P544" s="165"/>
      <c r="Q544" s="165"/>
      <c r="R544" s="165"/>
      <c r="S544" s="165"/>
      <c r="T544" s="165"/>
      <c r="U544" s="165"/>
      <c r="V544" s="165"/>
      <c r="W544" s="165"/>
      <c r="X544" s="165"/>
      <c r="Y544" s="165"/>
      <c r="Z544" s="165"/>
    </row>
    <row r="545" spans="16:26">
      <c r="P545" s="165"/>
      <c r="Q545" s="165"/>
      <c r="R545" s="165"/>
      <c r="S545" s="165"/>
      <c r="T545" s="165"/>
      <c r="U545" s="165"/>
      <c r="V545" s="165"/>
      <c r="W545" s="165"/>
      <c r="X545" s="165"/>
      <c r="Y545" s="165"/>
      <c r="Z545" s="165"/>
    </row>
    <row r="546" spans="16:26">
      <c r="P546" s="165"/>
      <c r="Q546" s="165"/>
      <c r="R546" s="165"/>
      <c r="S546" s="165"/>
      <c r="T546" s="165"/>
      <c r="U546" s="165"/>
      <c r="V546" s="165"/>
      <c r="W546" s="165"/>
      <c r="X546" s="165"/>
      <c r="Y546" s="165"/>
      <c r="Z546" s="165"/>
    </row>
    <row r="547" spans="16:26">
      <c r="P547" s="165"/>
      <c r="Q547" s="165"/>
      <c r="R547" s="165"/>
      <c r="S547" s="165"/>
      <c r="T547" s="165"/>
      <c r="U547" s="165"/>
      <c r="V547" s="165"/>
      <c r="W547" s="165"/>
      <c r="X547" s="165"/>
      <c r="Y547" s="165"/>
      <c r="Z547" s="165"/>
    </row>
    <row r="548" spans="16:26">
      <c r="P548" s="165"/>
      <c r="Q548" s="165"/>
      <c r="R548" s="165"/>
      <c r="S548" s="165"/>
      <c r="T548" s="165"/>
      <c r="U548" s="165"/>
      <c r="V548" s="165"/>
      <c r="W548" s="165"/>
      <c r="X548" s="165"/>
      <c r="Y548" s="165"/>
      <c r="Z548" s="165"/>
    </row>
    <row r="549" spans="16:26">
      <c r="P549" s="165"/>
      <c r="Q549" s="165"/>
      <c r="R549" s="165"/>
      <c r="S549" s="165"/>
      <c r="T549" s="165"/>
      <c r="U549" s="165"/>
      <c r="V549" s="165"/>
      <c r="W549" s="165"/>
      <c r="X549" s="165"/>
      <c r="Y549" s="165"/>
      <c r="Z549" s="165"/>
    </row>
    <row r="550" spans="16:26">
      <c r="P550" s="165"/>
      <c r="Q550" s="165"/>
      <c r="R550" s="165"/>
      <c r="S550" s="165"/>
      <c r="T550" s="165"/>
      <c r="U550" s="165"/>
      <c r="V550" s="165"/>
      <c r="W550" s="165"/>
      <c r="X550" s="165"/>
      <c r="Y550" s="165"/>
      <c r="Z550" s="165"/>
    </row>
    <row r="551" spans="16:26">
      <c r="P551" s="165"/>
      <c r="Q551" s="165"/>
      <c r="R551" s="165"/>
      <c r="S551" s="165"/>
      <c r="T551" s="165"/>
      <c r="U551" s="165"/>
      <c r="V551" s="165"/>
      <c r="W551" s="165"/>
      <c r="X551" s="165"/>
      <c r="Y551" s="165"/>
      <c r="Z551" s="165"/>
    </row>
    <row r="552" spans="16:26">
      <c r="P552" s="165"/>
      <c r="Q552" s="165"/>
      <c r="R552" s="165"/>
      <c r="S552" s="165"/>
      <c r="T552" s="165"/>
      <c r="U552" s="165"/>
      <c r="V552" s="165"/>
      <c r="W552" s="165"/>
      <c r="X552" s="165"/>
      <c r="Y552" s="165"/>
      <c r="Z552" s="165"/>
    </row>
    <row r="553" spans="16:26">
      <c r="P553" s="165"/>
      <c r="Q553" s="165"/>
      <c r="R553" s="165"/>
      <c r="S553" s="165"/>
      <c r="T553" s="165"/>
      <c r="U553" s="165"/>
      <c r="V553" s="165"/>
      <c r="W553" s="165"/>
      <c r="X553" s="165"/>
      <c r="Y553" s="165"/>
      <c r="Z553" s="165"/>
    </row>
    <row r="554" spans="16:26">
      <c r="P554" s="165"/>
      <c r="Q554" s="165"/>
      <c r="R554" s="165"/>
      <c r="S554" s="165"/>
      <c r="T554" s="165"/>
      <c r="U554" s="165"/>
      <c r="V554" s="165"/>
      <c r="W554" s="165"/>
      <c r="X554" s="165"/>
      <c r="Y554" s="165"/>
      <c r="Z554" s="165"/>
    </row>
    <row r="555" spans="16:26">
      <c r="P555" s="165"/>
      <c r="Q555" s="165"/>
      <c r="R555" s="165"/>
      <c r="S555" s="165"/>
      <c r="T555" s="165"/>
      <c r="U555" s="165"/>
      <c r="V555" s="165"/>
      <c r="W555" s="165"/>
      <c r="X555" s="165"/>
      <c r="Y555" s="165"/>
      <c r="Z555" s="165"/>
    </row>
    <row r="556" spans="16:26">
      <c r="P556" s="165"/>
      <c r="Q556" s="165"/>
      <c r="R556" s="165"/>
      <c r="S556" s="165"/>
      <c r="T556" s="165"/>
      <c r="U556" s="165"/>
      <c r="V556" s="165"/>
      <c r="W556" s="165"/>
      <c r="X556" s="165"/>
      <c r="Y556" s="165"/>
      <c r="Z556" s="165"/>
    </row>
    <row r="557" spans="16:26">
      <c r="P557" s="165"/>
      <c r="Q557" s="165"/>
      <c r="R557" s="165"/>
      <c r="S557" s="165"/>
      <c r="T557" s="165"/>
      <c r="U557" s="165"/>
      <c r="V557" s="165"/>
      <c r="W557" s="165"/>
      <c r="X557" s="165"/>
      <c r="Y557" s="165"/>
      <c r="Z557" s="165"/>
    </row>
    <row r="558" spans="16:26">
      <c r="P558" s="165"/>
      <c r="Q558" s="165"/>
      <c r="R558" s="165"/>
      <c r="S558" s="165"/>
      <c r="T558" s="165"/>
      <c r="U558" s="165"/>
      <c r="V558" s="165"/>
      <c r="W558" s="165"/>
      <c r="X558" s="165"/>
      <c r="Y558" s="165"/>
      <c r="Z558" s="165"/>
    </row>
    <row r="559" spans="16:26">
      <c r="P559" s="165"/>
      <c r="Q559" s="165"/>
      <c r="R559" s="165"/>
      <c r="S559" s="165"/>
      <c r="T559" s="165"/>
      <c r="U559" s="165"/>
      <c r="V559" s="165"/>
      <c r="W559" s="165"/>
      <c r="X559" s="165"/>
      <c r="Y559" s="165"/>
      <c r="Z559" s="165"/>
    </row>
    <row r="560" spans="16:26">
      <c r="P560" s="165"/>
      <c r="Q560" s="165"/>
      <c r="R560" s="165"/>
      <c r="S560" s="165"/>
      <c r="T560" s="165"/>
      <c r="U560" s="165"/>
      <c r="V560" s="165"/>
      <c r="W560" s="165"/>
      <c r="X560" s="165"/>
      <c r="Y560" s="165"/>
      <c r="Z560" s="165"/>
    </row>
    <row r="561" spans="16:26">
      <c r="P561" s="165"/>
      <c r="Q561" s="165"/>
      <c r="R561" s="165"/>
      <c r="S561" s="165"/>
      <c r="T561" s="165"/>
      <c r="U561" s="165"/>
      <c r="V561" s="165"/>
      <c r="W561" s="165"/>
      <c r="X561" s="165"/>
      <c r="Y561" s="165"/>
      <c r="Z561" s="165"/>
    </row>
    <row r="562" spans="16:26">
      <c r="P562" s="165"/>
      <c r="Q562" s="165"/>
      <c r="R562" s="165"/>
      <c r="S562" s="165"/>
      <c r="T562" s="165"/>
      <c r="U562" s="165"/>
      <c r="V562" s="165"/>
      <c r="W562" s="165"/>
      <c r="X562" s="165"/>
      <c r="Y562" s="165"/>
      <c r="Z562" s="165"/>
    </row>
    <row r="563" spans="16:26">
      <c r="P563" s="165"/>
      <c r="Q563" s="165"/>
      <c r="R563" s="165"/>
      <c r="S563" s="165"/>
      <c r="T563" s="165"/>
      <c r="U563" s="165"/>
      <c r="V563" s="165"/>
      <c r="W563" s="165"/>
      <c r="X563" s="165"/>
      <c r="Y563" s="165"/>
      <c r="Z563" s="165"/>
    </row>
    <row r="564" spans="16:26">
      <c r="P564" s="165"/>
      <c r="Q564" s="165"/>
      <c r="R564" s="165"/>
      <c r="S564" s="165"/>
      <c r="T564" s="165"/>
      <c r="U564" s="165"/>
      <c r="V564" s="165"/>
      <c r="W564" s="165"/>
      <c r="X564" s="165"/>
      <c r="Y564" s="165"/>
      <c r="Z564" s="165"/>
    </row>
    <row r="565" spans="16:26">
      <c r="P565" s="165"/>
      <c r="Q565" s="165"/>
      <c r="R565" s="165"/>
      <c r="S565" s="165"/>
      <c r="T565" s="165"/>
      <c r="U565" s="165"/>
      <c r="V565" s="165"/>
      <c r="W565" s="165"/>
      <c r="X565" s="165"/>
      <c r="Y565" s="165"/>
      <c r="Z565" s="165"/>
    </row>
    <row r="566" spans="16:26">
      <c r="P566" s="165"/>
      <c r="Q566" s="165"/>
      <c r="R566" s="165"/>
      <c r="S566" s="165"/>
      <c r="T566" s="165"/>
      <c r="U566" s="165"/>
      <c r="V566" s="165"/>
      <c r="W566" s="165"/>
      <c r="X566" s="165"/>
      <c r="Y566" s="165"/>
      <c r="Z566" s="165"/>
    </row>
    <row r="567" spans="16:26">
      <c r="P567" s="165"/>
      <c r="Q567" s="165"/>
      <c r="R567" s="165"/>
      <c r="S567" s="165"/>
      <c r="T567" s="165"/>
      <c r="U567" s="165"/>
      <c r="V567" s="165"/>
      <c r="W567" s="165"/>
      <c r="X567" s="165"/>
      <c r="Y567" s="165"/>
      <c r="Z567" s="165"/>
    </row>
    <row r="568" spans="16:26">
      <c r="P568" s="165"/>
      <c r="Q568" s="165"/>
      <c r="R568" s="165"/>
      <c r="S568" s="165"/>
      <c r="T568" s="165"/>
      <c r="U568" s="165"/>
      <c r="V568" s="165"/>
      <c r="W568" s="165"/>
      <c r="X568" s="165"/>
      <c r="Y568" s="165"/>
      <c r="Z568" s="165"/>
    </row>
    <row r="569" spans="16:26">
      <c r="P569" s="165"/>
      <c r="Q569" s="165"/>
      <c r="R569" s="165"/>
      <c r="S569" s="165"/>
      <c r="T569" s="165"/>
      <c r="U569" s="165"/>
      <c r="V569" s="165"/>
      <c r="W569" s="165"/>
      <c r="X569" s="165"/>
      <c r="Y569" s="165"/>
      <c r="Z569" s="165"/>
    </row>
    <row r="570" spans="16:26">
      <c r="P570" s="165"/>
      <c r="Q570" s="165"/>
      <c r="R570" s="165"/>
      <c r="S570" s="165"/>
      <c r="T570" s="165"/>
      <c r="U570" s="165"/>
      <c r="V570" s="165"/>
      <c r="W570" s="165"/>
      <c r="X570" s="165"/>
      <c r="Y570" s="165"/>
      <c r="Z570" s="165"/>
    </row>
    <row r="571" spans="16:26">
      <c r="P571" s="165"/>
      <c r="Q571" s="165"/>
      <c r="R571" s="165"/>
      <c r="S571" s="165"/>
      <c r="T571" s="165"/>
      <c r="U571" s="165"/>
      <c r="V571" s="165"/>
      <c r="W571" s="165"/>
      <c r="X571" s="165"/>
      <c r="Y571" s="165"/>
      <c r="Z571" s="165"/>
    </row>
    <row r="572" spans="16:26">
      <c r="P572" s="165"/>
      <c r="Q572" s="165"/>
      <c r="R572" s="165"/>
      <c r="S572" s="165"/>
      <c r="T572" s="165"/>
      <c r="U572" s="165"/>
      <c r="V572" s="165"/>
      <c r="W572" s="165"/>
      <c r="X572" s="165"/>
      <c r="Y572" s="165"/>
      <c r="Z572" s="165"/>
    </row>
    <row r="573" spans="16:26">
      <c r="P573" s="165"/>
      <c r="Q573" s="165"/>
      <c r="R573" s="165"/>
      <c r="S573" s="165"/>
      <c r="T573" s="165"/>
      <c r="U573" s="165"/>
      <c r="V573" s="165"/>
      <c r="W573" s="165"/>
      <c r="X573" s="165"/>
      <c r="Y573" s="165"/>
      <c r="Z573" s="165"/>
    </row>
    <row r="574" spans="16:26">
      <c r="P574" s="165"/>
      <c r="Q574" s="165"/>
      <c r="R574" s="165"/>
      <c r="S574" s="165"/>
      <c r="T574" s="165"/>
      <c r="U574" s="165"/>
      <c r="V574" s="165"/>
      <c r="W574" s="165"/>
      <c r="X574" s="165"/>
      <c r="Y574" s="165"/>
      <c r="Z574" s="165"/>
    </row>
    <row r="575" spans="16:26">
      <c r="P575" s="165"/>
      <c r="Q575" s="165"/>
      <c r="R575" s="165"/>
      <c r="S575" s="165"/>
      <c r="T575" s="165"/>
      <c r="U575" s="165"/>
      <c r="V575" s="165"/>
      <c r="W575" s="165"/>
      <c r="X575" s="165"/>
      <c r="Y575" s="165"/>
      <c r="Z575" s="165"/>
    </row>
    <row r="576" spans="16:26">
      <c r="P576" s="165"/>
      <c r="Q576" s="165"/>
      <c r="R576" s="165"/>
      <c r="S576" s="165"/>
      <c r="T576" s="165"/>
      <c r="U576" s="165"/>
      <c r="V576" s="165"/>
      <c r="W576" s="165"/>
      <c r="X576" s="165"/>
      <c r="Y576" s="165"/>
      <c r="Z576" s="165"/>
    </row>
    <row r="577" spans="16:26">
      <c r="P577" s="165"/>
      <c r="Q577" s="165"/>
      <c r="R577" s="165"/>
      <c r="S577" s="165"/>
      <c r="T577" s="165"/>
      <c r="U577" s="165"/>
      <c r="V577" s="165"/>
      <c r="W577" s="165"/>
      <c r="X577" s="165"/>
      <c r="Y577" s="165"/>
      <c r="Z577" s="165"/>
    </row>
    <row r="578" spans="16:26">
      <c r="P578" s="165"/>
      <c r="Q578" s="165"/>
      <c r="R578" s="165"/>
      <c r="S578" s="165"/>
      <c r="T578" s="165"/>
      <c r="U578" s="165"/>
      <c r="V578" s="165"/>
      <c r="W578" s="165"/>
      <c r="X578" s="165"/>
      <c r="Y578" s="165"/>
      <c r="Z578" s="165"/>
    </row>
    <row r="579" spans="16:26">
      <c r="P579" s="165"/>
      <c r="Q579" s="165"/>
      <c r="R579" s="165"/>
      <c r="S579" s="165"/>
      <c r="T579" s="165"/>
      <c r="U579" s="165"/>
      <c r="V579" s="165"/>
      <c r="W579" s="165"/>
      <c r="X579" s="165"/>
      <c r="Y579" s="165"/>
      <c r="Z579" s="165"/>
    </row>
    <row r="580" spans="16:26">
      <c r="P580" s="165"/>
      <c r="Q580" s="165"/>
      <c r="R580" s="165"/>
      <c r="S580" s="165"/>
      <c r="T580" s="165"/>
      <c r="U580" s="165"/>
      <c r="V580" s="165"/>
      <c r="W580" s="165"/>
      <c r="X580" s="165"/>
      <c r="Y580" s="165"/>
      <c r="Z580" s="165"/>
    </row>
    <row r="581" spans="16:26">
      <c r="P581" s="165"/>
      <c r="Q581" s="165"/>
      <c r="R581" s="165"/>
      <c r="S581" s="165"/>
      <c r="T581" s="165"/>
      <c r="U581" s="165"/>
      <c r="V581" s="165"/>
      <c r="W581" s="165"/>
      <c r="X581" s="165"/>
      <c r="Y581" s="165"/>
      <c r="Z581" s="165"/>
    </row>
    <row r="582" spans="16:26">
      <c r="P582" s="165"/>
      <c r="Q582" s="165"/>
      <c r="R582" s="165"/>
      <c r="S582" s="165"/>
      <c r="T582" s="165"/>
      <c r="U582" s="165"/>
      <c r="V582" s="165"/>
      <c r="W582" s="165"/>
      <c r="X582" s="165"/>
      <c r="Y582" s="165"/>
      <c r="Z582" s="165"/>
    </row>
    <row r="583" spans="16:26">
      <c r="P583" s="165"/>
      <c r="Q583" s="165"/>
      <c r="R583" s="165"/>
      <c r="S583" s="165"/>
      <c r="T583" s="165"/>
      <c r="U583" s="165"/>
      <c r="V583" s="165"/>
      <c r="W583" s="165"/>
      <c r="X583" s="165"/>
      <c r="Y583" s="165"/>
      <c r="Z583" s="165"/>
    </row>
    <row r="584" spans="16:26">
      <c r="P584" s="165"/>
      <c r="Q584" s="165"/>
      <c r="R584" s="165"/>
      <c r="S584" s="165"/>
      <c r="T584" s="165"/>
      <c r="U584" s="165"/>
      <c r="V584" s="165"/>
      <c r="W584" s="165"/>
      <c r="X584" s="165"/>
      <c r="Y584" s="165"/>
      <c r="Z584" s="165"/>
    </row>
    <row r="585" spans="16:26">
      <c r="P585" s="165"/>
      <c r="Q585" s="165"/>
      <c r="R585" s="165"/>
      <c r="S585" s="165"/>
      <c r="T585" s="165"/>
      <c r="U585" s="165"/>
      <c r="V585" s="165"/>
      <c r="W585" s="165"/>
      <c r="X585" s="165"/>
      <c r="Y585" s="165"/>
      <c r="Z585" s="165"/>
    </row>
    <row r="586" spans="16:26">
      <c r="P586" s="165"/>
      <c r="Q586" s="165"/>
      <c r="R586" s="165"/>
      <c r="S586" s="165"/>
      <c r="T586" s="165"/>
      <c r="U586" s="165"/>
      <c r="V586" s="165"/>
      <c r="W586" s="165"/>
      <c r="X586" s="165"/>
      <c r="Y586" s="165"/>
      <c r="Z586" s="165"/>
    </row>
    <row r="587" spans="16:26">
      <c r="P587" s="165"/>
      <c r="Q587" s="165"/>
      <c r="R587" s="165"/>
      <c r="S587" s="165"/>
      <c r="T587" s="165"/>
      <c r="U587" s="165"/>
      <c r="V587" s="165"/>
      <c r="W587" s="165"/>
      <c r="X587" s="165"/>
      <c r="Y587" s="165"/>
      <c r="Z587" s="165"/>
    </row>
    <row r="588" spans="16:26">
      <c r="P588" s="165"/>
      <c r="Q588" s="165"/>
      <c r="R588" s="165"/>
      <c r="S588" s="165"/>
      <c r="T588" s="165"/>
      <c r="U588" s="165"/>
      <c r="V588" s="165"/>
      <c r="W588" s="165"/>
      <c r="X588" s="165"/>
      <c r="Y588" s="165"/>
      <c r="Z588" s="165"/>
    </row>
    <row r="589" spans="16:26">
      <c r="P589" s="165"/>
      <c r="Q589" s="165"/>
      <c r="R589" s="165"/>
      <c r="S589" s="165"/>
      <c r="T589" s="165"/>
      <c r="U589" s="165"/>
      <c r="V589" s="165"/>
      <c r="W589" s="165"/>
      <c r="X589" s="165"/>
      <c r="Y589" s="165"/>
      <c r="Z589" s="165"/>
    </row>
    <row r="590" spans="16:26">
      <c r="P590" s="165"/>
      <c r="Q590" s="165"/>
      <c r="R590" s="165"/>
      <c r="S590" s="165"/>
      <c r="T590" s="165"/>
      <c r="U590" s="165"/>
      <c r="V590" s="165"/>
      <c r="W590" s="165"/>
      <c r="X590" s="165"/>
      <c r="Y590" s="165"/>
      <c r="Z590" s="165"/>
    </row>
    <row r="591" spans="16:26">
      <c r="P591" s="165"/>
      <c r="Q591" s="165"/>
      <c r="R591" s="165"/>
      <c r="S591" s="165"/>
      <c r="T591" s="165"/>
      <c r="U591" s="165"/>
      <c r="V591" s="165"/>
      <c r="W591" s="165"/>
      <c r="X591" s="165"/>
      <c r="Y591" s="165"/>
      <c r="Z591" s="165"/>
    </row>
    <row r="592" spans="16:26">
      <c r="P592" s="165"/>
      <c r="Q592" s="165"/>
      <c r="R592" s="165"/>
      <c r="S592" s="165"/>
      <c r="T592" s="165"/>
      <c r="U592" s="165"/>
      <c r="V592" s="165"/>
      <c r="W592" s="165"/>
      <c r="X592" s="165"/>
      <c r="Y592" s="165"/>
      <c r="Z592" s="165"/>
    </row>
    <row r="593" spans="16:26">
      <c r="P593" s="165"/>
      <c r="Q593" s="165"/>
      <c r="R593" s="165"/>
      <c r="S593" s="165"/>
      <c r="T593" s="165"/>
      <c r="U593" s="165"/>
      <c r="V593" s="165"/>
      <c r="W593" s="165"/>
      <c r="X593" s="165"/>
      <c r="Y593" s="165"/>
      <c r="Z593" s="165"/>
    </row>
    <row r="594" spans="16:26">
      <c r="P594" s="165"/>
      <c r="Q594" s="165"/>
      <c r="R594" s="165"/>
      <c r="S594" s="165"/>
      <c r="T594" s="165"/>
      <c r="U594" s="165"/>
      <c r="V594" s="165"/>
      <c r="W594" s="165"/>
      <c r="X594" s="165"/>
      <c r="Y594" s="165"/>
      <c r="Z594" s="165"/>
    </row>
    <row r="595" spans="16:26">
      <c r="P595" s="165"/>
      <c r="Q595" s="165"/>
      <c r="R595" s="165"/>
      <c r="S595" s="165"/>
      <c r="T595" s="165"/>
      <c r="U595" s="165"/>
      <c r="V595" s="165"/>
      <c r="W595" s="165"/>
      <c r="X595" s="165"/>
      <c r="Y595" s="165"/>
      <c r="Z595" s="165"/>
    </row>
    <row r="596" spans="16:26">
      <c r="P596" s="165"/>
      <c r="Q596" s="165"/>
      <c r="R596" s="165"/>
      <c r="S596" s="165"/>
      <c r="T596" s="165"/>
      <c r="U596" s="165"/>
      <c r="V596" s="165"/>
      <c r="W596" s="165"/>
      <c r="X596" s="165"/>
      <c r="Y596" s="165"/>
      <c r="Z596" s="165"/>
    </row>
    <row r="597" spans="16:26">
      <c r="P597" s="165"/>
      <c r="Q597" s="165"/>
      <c r="R597" s="165"/>
      <c r="S597" s="165"/>
      <c r="T597" s="165"/>
      <c r="U597" s="165"/>
      <c r="V597" s="165"/>
      <c r="W597" s="165"/>
      <c r="X597" s="165"/>
      <c r="Y597" s="165"/>
      <c r="Z597" s="165"/>
    </row>
    <row r="598" spans="16:26">
      <c r="P598" s="165"/>
      <c r="Q598" s="165"/>
      <c r="R598" s="165"/>
      <c r="S598" s="165"/>
      <c r="T598" s="165"/>
      <c r="U598" s="165"/>
      <c r="V598" s="165"/>
      <c r="W598" s="165"/>
      <c r="X598" s="165"/>
      <c r="Y598" s="165"/>
      <c r="Z598" s="165"/>
    </row>
    <row r="599" spans="16:26">
      <c r="P599" s="165"/>
      <c r="Q599" s="165"/>
      <c r="R599" s="165"/>
      <c r="S599" s="165"/>
      <c r="T599" s="165"/>
      <c r="U599" s="165"/>
      <c r="V599" s="165"/>
      <c r="W599" s="165"/>
      <c r="X599" s="165"/>
      <c r="Y599" s="165"/>
      <c r="Z599" s="165"/>
    </row>
    <row r="600" spans="16:26">
      <c r="P600" s="165"/>
      <c r="Q600" s="165"/>
      <c r="R600" s="165"/>
      <c r="S600" s="165"/>
      <c r="T600" s="165"/>
      <c r="U600" s="165"/>
      <c r="V600" s="165"/>
      <c r="W600" s="165"/>
      <c r="X600" s="165"/>
      <c r="Y600" s="165"/>
      <c r="Z600" s="165"/>
    </row>
    <row r="601" spans="16:26">
      <c r="P601" s="165"/>
      <c r="Q601" s="165"/>
      <c r="R601" s="165"/>
      <c r="S601" s="165"/>
      <c r="T601" s="165"/>
      <c r="U601" s="165"/>
      <c r="V601" s="165"/>
      <c r="W601" s="165"/>
      <c r="X601" s="165"/>
      <c r="Y601" s="165"/>
      <c r="Z601" s="165"/>
    </row>
    <row r="602" spans="16:26">
      <c r="P602" s="165"/>
      <c r="Q602" s="165"/>
      <c r="R602" s="165"/>
      <c r="S602" s="165"/>
      <c r="T602" s="165"/>
      <c r="U602" s="165"/>
      <c r="V602" s="165"/>
      <c r="W602" s="165"/>
      <c r="X602" s="165"/>
      <c r="Y602" s="165"/>
      <c r="Z602" s="165"/>
    </row>
    <row r="603" spans="16:26">
      <c r="P603" s="165"/>
      <c r="Q603" s="165"/>
      <c r="R603" s="165"/>
      <c r="S603" s="165"/>
      <c r="T603" s="165"/>
      <c r="U603" s="165"/>
      <c r="V603" s="165"/>
      <c r="W603" s="165"/>
      <c r="X603" s="165"/>
      <c r="Y603" s="165"/>
      <c r="Z603" s="165"/>
    </row>
    <row r="604" spans="16:26">
      <c r="P604" s="165"/>
      <c r="Q604" s="165"/>
      <c r="R604" s="165"/>
      <c r="S604" s="165"/>
      <c r="T604" s="165"/>
      <c r="U604" s="165"/>
      <c r="V604" s="165"/>
      <c r="W604" s="165"/>
      <c r="X604" s="165"/>
      <c r="Y604" s="165"/>
      <c r="Z604" s="165"/>
    </row>
    <row r="605" spans="16:26">
      <c r="P605" s="165"/>
      <c r="Q605" s="165"/>
      <c r="R605" s="165"/>
      <c r="S605" s="165"/>
      <c r="T605" s="165"/>
      <c r="U605" s="165"/>
      <c r="V605" s="165"/>
      <c r="W605" s="165"/>
      <c r="X605" s="165"/>
      <c r="Y605" s="165"/>
      <c r="Z605" s="165"/>
    </row>
    <row r="606" spans="16:26">
      <c r="P606" s="165"/>
      <c r="Q606" s="165"/>
      <c r="R606" s="165"/>
      <c r="S606" s="165"/>
      <c r="T606" s="165"/>
      <c r="U606" s="165"/>
      <c r="V606" s="165"/>
      <c r="W606" s="165"/>
      <c r="X606" s="165"/>
      <c r="Y606" s="165"/>
      <c r="Z606" s="165"/>
    </row>
    <row r="607" spans="16:26">
      <c r="P607" s="165"/>
      <c r="Q607" s="165"/>
      <c r="R607" s="165"/>
      <c r="S607" s="165"/>
      <c r="T607" s="165"/>
      <c r="U607" s="165"/>
      <c r="V607" s="165"/>
      <c r="W607" s="165"/>
      <c r="X607" s="165"/>
      <c r="Y607" s="165"/>
      <c r="Z607" s="165"/>
    </row>
    <row r="608" spans="16:26">
      <c r="P608" s="165"/>
      <c r="Q608" s="165"/>
      <c r="R608" s="165"/>
      <c r="S608" s="165"/>
      <c r="T608" s="165"/>
      <c r="U608" s="165"/>
      <c r="V608" s="165"/>
      <c r="W608" s="165"/>
      <c r="X608" s="165"/>
      <c r="Y608" s="165"/>
      <c r="Z608" s="165"/>
    </row>
    <row r="609" spans="16:26">
      <c r="P609" s="165"/>
      <c r="Q609" s="165"/>
      <c r="R609" s="165"/>
      <c r="S609" s="165"/>
      <c r="T609" s="165"/>
      <c r="U609" s="165"/>
      <c r="V609" s="165"/>
      <c r="W609" s="165"/>
      <c r="X609" s="165"/>
      <c r="Y609" s="165"/>
      <c r="Z609" s="165"/>
    </row>
    <row r="610" spans="16:26">
      <c r="P610" s="165"/>
      <c r="Q610" s="165"/>
      <c r="R610" s="165"/>
      <c r="S610" s="165"/>
      <c r="T610" s="165"/>
      <c r="U610" s="165"/>
      <c r="V610" s="165"/>
      <c r="W610" s="165"/>
      <c r="X610" s="165"/>
      <c r="Y610" s="165"/>
      <c r="Z610" s="165"/>
    </row>
    <row r="611" spans="16:26">
      <c r="P611" s="165"/>
      <c r="Q611" s="165"/>
      <c r="R611" s="165"/>
      <c r="S611" s="165"/>
      <c r="T611" s="165"/>
      <c r="U611" s="165"/>
      <c r="V611" s="165"/>
      <c r="W611" s="165"/>
      <c r="X611" s="165"/>
      <c r="Y611" s="165"/>
      <c r="Z611" s="165"/>
    </row>
    <row r="612" spans="16:26">
      <c r="P612" s="165"/>
      <c r="Q612" s="165"/>
      <c r="R612" s="165"/>
      <c r="S612" s="165"/>
      <c r="T612" s="165"/>
      <c r="U612" s="165"/>
      <c r="V612" s="165"/>
      <c r="W612" s="165"/>
      <c r="X612" s="165"/>
      <c r="Y612" s="165"/>
      <c r="Z612" s="165"/>
    </row>
    <row r="613" spans="16:26">
      <c r="P613" s="165"/>
      <c r="Q613" s="165"/>
      <c r="R613" s="165"/>
      <c r="S613" s="165"/>
      <c r="T613" s="165"/>
      <c r="U613" s="165"/>
      <c r="V613" s="165"/>
      <c r="W613" s="165"/>
      <c r="X613" s="165"/>
      <c r="Y613" s="165"/>
      <c r="Z613" s="165"/>
    </row>
    <row r="614" spans="16:26">
      <c r="P614" s="165"/>
      <c r="Q614" s="165"/>
      <c r="R614" s="165"/>
      <c r="S614" s="165"/>
      <c r="T614" s="165"/>
      <c r="U614" s="165"/>
      <c r="V614" s="165"/>
      <c r="W614" s="165"/>
      <c r="X614" s="165"/>
      <c r="Y614" s="165"/>
      <c r="Z614" s="165"/>
    </row>
    <row r="615" spans="16:26">
      <c r="P615" s="165"/>
      <c r="Q615" s="165"/>
      <c r="R615" s="165"/>
      <c r="S615" s="165"/>
      <c r="T615" s="165"/>
      <c r="U615" s="165"/>
      <c r="V615" s="165"/>
      <c r="W615" s="165"/>
      <c r="X615" s="165"/>
      <c r="Y615" s="165"/>
      <c r="Z615" s="165"/>
    </row>
    <row r="616" spans="16:26">
      <c r="P616" s="165"/>
      <c r="Q616" s="165"/>
      <c r="R616" s="165"/>
      <c r="S616" s="165"/>
      <c r="T616" s="165"/>
      <c r="U616" s="165"/>
      <c r="V616" s="165"/>
      <c r="W616" s="165"/>
      <c r="X616" s="165"/>
      <c r="Y616" s="165"/>
      <c r="Z616" s="165"/>
    </row>
    <row r="617" spans="16:26">
      <c r="P617" s="165"/>
      <c r="Q617" s="165"/>
      <c r="R617" s="165"/>
      <c r="S617" s="165"/>
      <c r="T617" s="165"/>
      <c r="U617" s="165"/>
      <c r="V617" s="165"/>
      <c r="W617" s="165"/>
      <c r="X617" s="165"/>
      <c r="Y617" s="165"/>
      <c r="Z617" s="165"/>
    </row>
    <row r="618" spans="16:26">
      <c r="P618" s="165"/>
      <c r="Q618" s="165"/>
      <c r="R618" s="165"/>
      <c r="S618" s="165"/>
      <c r="T618" s="165"/>
      <c r="U618" s="165"/>
      <c r="V618" s="165"/>
      <c r="W618" s="165"/>
      <c r="X618" s="165"/>
      <c r="Y618" s="165"/>
      <c r="Z618" s="165"/>
    </row>
    <row r="619" spans="16:26">
      <c r="P619" s="165"/>
      <c r="Q619" s="165"/>
      <c r="R619" s="165"/>
      <c r="S619" s="165"/>
      <c r="T619" s="165"/>
      <c r="U619" s="165"/>
      <c r="V619" s="165"/>
      <c r="W619" s="165"/>
      <c r="X619" s="165"/>
      <c r="Y619" s="165"/>
      <c r="Z619" s="165"/>
    </row>
    <row r="620" spans="16:26">
      <c r="P620" s="165"/>
      <c r="Q620" s="165"/>
      <c r="R620" s="165"/>
      <c r="S620" s="165"/>
      <c r="T620" s="165"/>
      <c r="U620" s="165"/>
      <c r="V620" s="165"/>
      <c r="W620" s="165"/>
      <c r="X620" s="165"/>
      <c r="Y620" s="165"/>
      <c r="Z620" s="165"/>
    </row>
    <row r="621" spans="16:26">
      <c r="P621" s="165"/>
      <c r="Q621" s="165"/>
      <c r="R621" s="165"/>
      <c r="S621" s="165"/>
      <c r="T621" s="165"/>
      <c r="U621" s="165"/>
      <c r="V621" s="165"/>
      <c r="W621" s="165"/>
      <c r="X621" s="165"/>
      <c r="Y621" s="165"/>
      <c r="Z621" s="165"/>
    </row>
    <row r="622" spans="16:26">
      <c r="P622" s="165"/>
      <c r="Q622" s="165"/>
      <c r="R622" s="165"/>
      <c r="S622" s="165"/>
      <c r="T622" s="165"/>
      <c r="U622" s="165"/>
      <c r="V622" s="165"/>
      <c r="W622" s="165"/>
      <c r="X622" s="165"/>
      <c r="Y622" s="165"/>
      <c r="Z622" s="165"/>
    </row>
    <row r="623" spans="16:26">
      <c r="P623" s="165"/>
      <c r="Q623" s="165"/>
      <c r="R623" s="165"/>
      <c r="S623" s="165"/>
      <c r="T623" s="165"/>
      <c r="U623" s="165"/>
      <c r="V623" s="165"/>
      <c r="W623" s="165"/>
      <c r="X623" s="165"/>
      <c r="Y623" s="165"/>
      <c r="Z623" s="165"/>
    </row>
    <row r="624" spans="16:26">
      <c r="P624" s="165"/>
      <c r="Q624" s="165"/>
      <c r="R624" s="165"/>
      <c r="S624" s="165"/>
      <c r="T624" s="165"/>
      <c r="U624" s="165"/>
      <c r="V624" s="165"/>
      <c r="W624" s="165"/>
      <c r="X624" s="165"/>
      <c r="Y624" s="165"/>
      <c r="Z624" s="165"/>
    </row>
    <row r="625" spans="16:26">
      <c r="P625" s="165"/>
      <c r="Q625" s="165"/>
      <c r="R625" s="165"/>
      <c r="S625" s="165"/>
      <c r="T625" s="165"/>
      <c r="U625" s="165"/>
      <c r="V625" s="165"/>
      <c r="W625" s="165"/>
      <c r="X625" s="165"/>
      <c r="Y625" s="165"/>
      <c r="Z625" s="165"/>
    </row>
    <row r="626" spans="16:26">
      <c r="P626" s="165"/>
      <c r="Q626" s="165"/>
      <c r="R626" s="165"/>
      <c r="S626" s="165"/>
      <c r="T626" s="165"/>
      <c r="U626" s="165"/>
      <c r="V626" s="165"/>
      <c r="W626" s="165"/>
      <c r="X626" s="165"/>
      <c r="Y626" s="165"/>
      <c r="Z626" s="165"/>
    </row>
    <row r="627" spans="16:26">
      <c r="P627" s="165"/>
      <c r="Q627" s="165"/>
      <c r="R627" s="165"/>
      <c r="S627" s="165"/>
      <c r="T627" s="165"/>
      <c r="U627" s="165"/>
      <c r="V627" s="165"/>
      <c r="W627" s="165"/>
      <c r="X627" s="165"/>
      <c r="Y627" s="165"/>
      <c r="Z627" s="165"/>
    </row>
    <row r="628" spans="16:26">
      <c r="P628" s="165"/>
      <c r="Q628" s="165"/>
      <c r="R628" s="165"/>
      <c r="S628" s="165"/>
      <c r="T628" s="165"/>
      <c r="U628" s="165"/>
      <c r="V628" s="165"/>
      <c r="W628" s="165"/>
      <c r="X628" s="165"/>
      <c r="Y628" s="165"/>
      <c r="Z628" s="165"/>
    </row>
    <row r="629" spans="16:26">
      <c r="P629" s="165"/>
      <c r="Q629" s="165"/>
      <c r="R629" s="165"/>
      <c r="S629" s="165"/>
      <c r="T629" s="165"/>
      <c r="U629" s="165"/>
      <c r="V629" s="165"/>
      <c r="W629" s="165"/>
      <c r="X629" s="165"/>
      <c r="Y629" s="165"/>
      <c r="Z629" s="165"/>
    </row>
    <row r="630" spans="16:26">
      <c r="P630" s="165"/>
      <c r="Q630" s="165"/>
      <c r="R630" s="165"/>
      <c r="S630" s="165"/>
      <c r="T630" s="165"/>
      <c r="U630" s="165"/>
      <c r="V630" s="165"/>
      <c r="W630" s="165"/>
      <c r="X630" s="165"/>
      <c r="Y630" s="165"/>
      <c r="Z630" s="165"/>
    </row>
    <row r="631" spans="16:26">
      <c r="P631" s="165"/>
      <c r="Q631" s="165"/>
      <c r="R631" s="165"/>
      <c r="S631" s="165"/>
      <c r="T631" s="165"/>
      <c r="U631" s="165"/>
      <c r="V631" s="165"/>
      <c r="W631" s="165"/>
      <c r="X631" s="165"/>
      <c r="Y631" s="165"/>
      <c r="Z631" s="165"/>
    </row>
    <row r="632" spans="16:26">
      <c r="P632" s="165"/>
      <c r="Q632" s="165"/>
      <c r="R632" s="165"/>
      <c r="S632" s="165"/>
      <c r="T632" s="165"/>
      <c r="U632" s="165"/>
      <c r="V632" s="165"/>
      <c r="W632" s="165"/>
      <c r="X632" s="165"/>
      <c r="Y632" s="165"/>
      <c r="Z632" s="165"/>
    </row>
    <row r="633" spans="16:26">
      <c r="P633" s="165"/>
      <c r="Q633" s="165"/>
      <c r="R633" s="165"/>
      <c r="S633" s="165"/>
      <c r="T633" s="165"/>
      <c r="U633" s="165"/>
      <c r="V633" s="165"/>
      <c r="W633" s="165"/>
      <c r="X633" s="165"/>
      <c r="Y633" s="165"/>
      <c r="Z633" s="165"/>
    </row>
    <row r="634" spans="16:26">
      <c r="P634" s="165"/>
      <c r="Q634" s="165"/>
      <c r="R634" s="165"/>
      <c r="S634" s="165"/>
      <c r="T634" s="165"/>
      <c r="U634" s="165"/>
      <c r="V634" s="165"/>
      <c r="W634" s="165"/>
      <c r="X634" s="165"/>
      <c r="Y634" s="165"/>
      <c r="Z634" s="165"/>
    </row>
    <row r="635" spans="16:26">
      <c r="P635" s="165"/>
      <c r="Q635" s="165"/>
      <c r="R635" s="165"/>
      <c r="S635" s="165"/>
      <c r="T635" s="165"/>
      <c r="U635" s="165"/>
      <c r="V635" s="165"/>
      <c r="W635" s="165"/>
      <c r="X635" s="165"/>
      <c r="Y635" s="165"/>
      <c r="Z635" s="165"/>
    </row>
    <row r="636" spans="16:26">
      <c r="P636" s="165"/>
      <c r="Q636" s="165"/>
      <c r="R636" s="165"/>
      <c r="S636" s="165"/>
      <c r="T636" s="165"/>
      <c r="U636" s="165"/>
      <c r="V636" s="165"/>
      <c r="W636" s="165"/>
      <c r="X636" s="165"/>
      <c r="Y636" s="165"/>
      <c r="Z636" s="165"/>
    </row>
    <row r="637" spans="16:26">
      <c r="P637" s="165"/>
      <c r="Q637" s="165"/>
      <c r="R637" s="165"/>
      <c r="S637" s="165"/>
      <c r="T637" s="165"/>
      <c r="U637" s="165"/>
      <c r="V637" s="165"/>
      <c r="W637" s="165"/>
      <c r="X637" s="165"/>
      <c r="Y637" s="165"/>
      <c r="Z637" s="165"/>
    </row>
    <row r="638" spans="16:26">
      <c r="P638" s="165"/>
      <c r="Q638" s="165"/>
      <c r="R638" s="165"/>
      <c r="S638" s="165"/>
      <c r="T638" s="165"/>
      <c r="U638" s="165"/>
      <c r="V638" s="165"/>
      <c r="W638" s="165"/>
      <c r="X638" s="165"/>
      <c r="Y638" s="165"/>
      <c r="Z638" s="165"/>
    </row>
    <row r="639" spans="16:26">
      <c r="P639" s="165"/>
      <c r="Q639" s="165"/>
      <c r="R639" s="165"/>
      <c r="S639" s="165"/>
      <c r="T639" s="165"/>
      <c r="U639" s="165"/>
      <c r="V639" s="165"/>
      <c r="W639" s="165"/>
      <c r="X639" s="165"/>
      <c r="Y639" s="165"/>
      <c r="Z639" s="165"/>
    </row>
    <row r="640" spans="16:26">
      <c r="P640" s="165"/>
      <c r="Q640" s="165"/>
      <c r="R640" s="165"/>
      <c r="S640" s="165"/>
      <c r="T640" s="165"/>
      <c r="U640" s="165"/>
      <c r="V640" s="165"/>
      <c r="W640" s="165"/>
      <c r="X640" s="165"/>
      <c r="Y640" s="165"/>
      <c r="Z640" s="165"/>
    </row>
    <row r="641" spans="16:26">
      <c r="P641" s="165"/>
      <c r="Q641" s="165"/>
      <c r="R641" s="165"/>
      <c r="S641" s="165"/>
      <c r="T641" s="165"/>
      <c r="U641" s="165"/>
      <c r="V641" s="165"/>
      <c r="W641" s="165"/>
      <c r="X641" s="165"/>
      <c r="Y641" s="165"/>
      <c r="Z641" s="165"/>
    </row>
    <row r="642" spans="16:26">
      <c r="P642" s="165"/>
      <c r="Q642" s="165"/>
      <c r="R642" s="165"/>
      <c r="S642" s="165"/>
      <c r="T642" s="165"/>
      <c r="U642" s="165"/>
      <c r="V642" s="165"/>
      <c r="W642" s="165"/>
      <c r="X642" s="165"/>
      <c r="Y642" s="165"/>
      <c r="Z642" s="165"/>
    </row>
    <row r="643" spans="16:26">
      <c r="P643" s="165"/>
      <c r="Q643" s="165"/>
      <c r="R643" s="165"/>
      <c r="S643" s="165"/>
      <c r="T643" s="165"/>
      <c r="U643" s="165"/>
      <c r="V643" s="165"/>
      <c r="W643" s="165"/>
      <c r="X643" s="165"/>
      <c r="Y643" s="165"/>
      <c r="Z643" s="165"/>
    </row>
    <row r="644" spans="16:26">
      <c r="P644" s="165"/>
      <c r="Q644" s="165"/>
      <c r="R644" s="165"/>
      <c r="S644" s="165"/>
      <c r="T644" s="165"/>
      <c r="U644" s="165"/>
      <c r="V644" s="165"/>
      <c r="W644" s="165"/>
      <c r="X644" s="165"/>
      <c r="Y644" s="165"/>
      <c r="Z644" s="165"/>
    </row>
    <row r="645" spans="16:26">
      <c r="P645" s="165"/>
      <c r="Q645" s="165"/>
      <c r="R645" s="165"/>
      <c r="S645" s="165"/>
      <c r="T645" s="165"/>
      <c r="U645" s="165"/>
      <c r="V645" s="165"/>
      <c r="W645" s="165"/>
      <c r="X645" s="165"/>
      <c r="Y645" s="165"/>
      <c r="Z645" s="165"/>
    </row>
    <row r="646" spans="16:26">
      <c r="P646" s="165"/>
      <c r="Q646" s="165"/>
      <c r="R646" s="165"/>
      <c r="S646" s="165"/>
      <c r="T646" s="165"/>
      <c r="U646" s="165"/>
      <c r="V646" s="165"/>
      <c r="W646" s="165"/>
      <c r="X646" s="165"/>
      <c r="Y646" s="165"/>
      <c r="Z646" s="165"/>
    </row>
    <row r="647" spans="16:26">
      <c r="P647" s="165"/>
      <c r="Q647" s="165"/>
      <c r="R647" s="165"/>
      <c r="S647" s="165"/>
      <c r="T647" s="165"/>
      <c r="U647" s="165"/>
      <c r="V647" s="165"/>
      <c r="W647" s="165"/>
      <c r="X647" s="165"/>
      <c r="Y647" s="165"/>
      <c r="Z647" s="165"/>
    </row>
    <row r="648" spans="16:26">
      <c r="P648" s="165"/>
      <c r="Q648" s="165"/>
      <c r="R648" s="165"/>
      <c r="S648" s="165"/>
      <c r="T648" s="165"/>
      <c r="U648" s="165"/>
      <c r="V648" s="165"/>
      <c r="W648" s="165"/>
      <c r="X648" s="165"/>
      <c r="Y648" s="165"/>
      <c r="Z648" s="165"/>
    </row>
    <row r="649" spans="16:26">
      <c r="P649" s="165"/>
      <c r="Q649" s="165"/>
      <c r="R649" s="165"/>
      <c r="S649" s="165"/>
      <c r="T649" s="165"/>
      <c r="U649" s="165"/>
      <c r="V649" s="165"/>
      <c r="W649" s="165"/>
      <c r="X649" s="165"/>
      <c r="Y649" s="165"/>
      <c r="Z649" s="165"/>
    </row>
    <row r="650" spans="16:26">
      <c r="P650" s="165"/>
      <c r="Q650" s="165"/>
      <c r="R650" s="165"/>
      <c r="S650" s="165"/>
      <c r="T650" s="165"/>
      <c r="U650" s="165"/>
      <c r="V650" s="165"/>
      <c r="W650" s="165"/>
      <c r="X650" s="165"/>
      <c r="Y650" s="165"/>
      <c r="Z650" s="165"/>
    </row>
    <row r="651" spans="16:26">
      <c r="P651" s="165"/>
      <c r="Q651" s="165"/>
      <c r="R651" s="165"/>
      <c r="S651" s="165"/>
      <c r="T651" s="165"/>
      <c r="U651" s="165"/>
      <c r="V651" s="165"/>
      <c r="W651" s="165"/>
      <c r="X651" s="165"/>
      <c r="Y651" s="165"/>
      <c r="Z651" s="165"/>
    </row>
    <row r="652" spans="16:26">
      <c r="P652" s="165"/>
      <c r="Q652" s="165"/>
      <c r="R652" s="165"/>
      <c r="S652" s="165"/>
      <c r="T652" s="165"/>
      <c r="U652" s="165"/>
      <c r="V652" s="165"/>
      <c r="W652" s="165"/>
      <c r="X652" s="165"/>
      <c r="Y652" s="165"/>
      <c r="Z652" s="165"/>
    </row>
    <row r="653" spans="16:26">
      <c r="P653" s="165"/>
      <c r="Q653" s="165"/>
      <c r="R653" s="165"/>
      <c r="S653" s="165"/>
      <c r="T653" s="165"/>
      <c r="U653" s="165"/>
      <c r="V653" s="165"/>
      <c r="W653" s="165"/>
      <c r="X653" s="165"/>
      <c r="Y653" s="165"/>
      <c r="Z653" s="165"/>
    </row>
    <row r="654" spans="16:26">
      <c r="P654" s="165"/>
      <c r="Q654" s="165"/>
      <c r="R654" s="165"/>
      <c r="S654" s="165"/>
      <c r="T654" s="165"/>
      <c r="U654" s="165"/>
      <c r="V654" s="165"/>
      <c r="W654" s="165"/>
      <c r="X654" s="165"/>
      <c r="Y654" s="165"/>
      <c r="Z654" s="165"/>
    </row>
    <row r="655" spans="16:26">
      <c r="P655" s="165"/>
      <c r="Q655" s="165"/>
      <c r="R655" s="165"/>
      <c r="S655" s="165"/>
      <c r="T655" s="165"/>
      <c r="U655" s="165"/>
      <c r="V655" s="165"/>
      <c r="W655" s="165"/>
      <c r="X655" s="165"/>
      <c r="Y655" s="165"/>
      <c r="Z655" s="165"/>
    </row>
    <row r="656" spans="16:26">
      <c r="P656" s="165"/>
      <c r="Q656" s="165"/>
      <c r="R656" s="165"/>
      <c r="S656" s="165"/>
      <c r="T656" s="165"/>
      <c r="U656" s="165"/>
      <c r="V656" s="165"/>
      <c r="W656" s="165"/>
      <c r="X656" s="165"/>
      <c r="Y656" s="165"/>
      <c r="Z656" s="165"/>
    </row>
    <row r="657" spans="16:26">
      <c r="P657" s="165"/>
      <c r="Q657" s="165"/>
      <c r="R657" s="165"/>
      <c r="S657" s="165"/>
      <c r="T657" s="165"/>
      <c r="U657" s="165"/>
      <c r="V657" s="165"/>
      <c r="W657" s="165"/>
      <c r="X657" s="165"/>
      <c r="Y657" s="165"/>
      <c r="Z657" s="165"/>
    </row>
    <row r="658" spans="16:26">
      <c r="P658" s="165"/>
      <c r="Q658" s="165"/>
      <c r="R658" s="165"/>
      <c r="S658" s="165"/>
      <c r="T658" s="165"/>
      <c r="U658" s="165"/>
      <c r="V658" s="165"/>
      <c r="W658" s="165"/>
      <c r="X658" s="165"/>
      <c r="Y658" s="165"/>
      <c r="Z658" s="165"/>
    </row>
    <row r="659" spans="16:26">
      <c r="P659" s="165"/>
      <c r="Q659" s="165"/>
      <c r="R659" s="165"/>
      <c r="S659" s="165"/>
      <c r="T659" s="165"/>
      <c r="U659" s="165"/>
      <c r="V659" s="165"/>
      <c r="W659" s="165"/>
      <c r="X659" s="165"/>
      <c r="Y659" s="165"/>
      <c r="Z659" s="165"/>
    </row>
    <row r="660" spans="16:26">
      <c r="P660" s="165"/>
      <c r="Q660" s="165"/>
      <c r="R660" s="165"/>
      <c r="S660" s="165"/>
      <c r="T660" s="165"/>
      <c r="U660" s="165"/>
      <c r="V660" s="165"/>
      <c r="W660" s="165"/>
      <c r="X660" s="165"/>
      <c r="Y660" s="165"/>
      <c r="Z660" s="165"/>
    </row>
    <row r="661" spans="16:26">
      <c r="P661" s="165"/>
      <c r="Q661" s="165"/>
      <c r="R661" s="165"/>
      <c r="S661" s="165"/>
      <c r="T661" s="165"/>
      <c r="U661" s="165"/>
      <c r="V661" s="165"/>
      <c r="W661" s="165"/>
      <c r="X661" s="165"/>
      <c r="Y661" s="165"/>
      <c r="Z661" s="165"/>
    </row>
    <row r="662" spans="16:26">
      <c r="P662" s="165"/>
      <c r="Q662" s="165"/>
      <c r="R662" s="165"/>
      <c r="S662" s="165"/>
      <c r="T662" s="165"/>
      <c r="U662" s="165"/>
      <c r="V662" s="165"/>
      <c r="W662" s="165"/>
      <c r="X662" s="165"/>
      <c r="Y662" s="165"/>
      <c r="Z662" s="165"/>
    </row>
    <row r="663" spans="16:26">
      <c r="P663" s="165"/>
      <c r="Q663" s="165"/>
      <c r="R663" s="165"/>
      <c r="S663" s="165"/>
      <c r="T663" s="165"/>
      <c r="U663" s="165"/>
      <c r="V663" s="165"/>
      <c r="W663" s="165"/>
      <c r="X663" s="165"/>
      <c r="Y663" s="165"/>
      <c r="Z663" s="165"/>
    </row>
    <row r="664" spans="16:26">
      <c r="P664" s="165"/>
      <c r="Q664" s="165"/>
      <c r="R664" s="165"/>
      <c r="S664" s="165"/>
      <c r="T664" s="165"/>
      <c r="U664" s="165"/>
      <c r="V664" s="165"/>
      <c r="W664" s="165"/>
      <c r="X664" s="165"/>
      <c r="Y664" s="165"/>
      <c r="Z664" s="165"/>
    </row>
    <row r="665" spans="16:26">
      <c r="P665" s="165"/>
      <c r="Q665" s="165"/>
      <c r="R665" s="165"/>
      <c r="S665" s="165"/>
      <c r="T665" s="165"/>
      <c r="U665" s="165"/>
      <c r="V665" s="165"/>
      <c r="W665" s="165"/>
      <c r="X665" s="165"/>
      <c r="Y665" s="165"/>
      <c r="Z665" s="165"/>
    </row>
    <row r="666" spans="16:26">
      <c r="P666" s="165"/>
      <c r="Q666" s="165"/>
      <c r="R666" s="165"/>
      <c r="S666" s="165"/>
      <c r="T666" s="165"/>
      <c r="U666" s="165"/>
      <c r="V666" s="165"/>
      <c r="W666" s="165"/>
      <c r="X666" s="165"/>
      <c r="Y666" s="165"/>
      <c r="Z666" s="165"/>
    </row>
    <row r="667" spans="16:26">
      <c r="P667" s="165"/>
      <c r="Q667" s="165"/>
      <c r="R667" s="165"/>
      <c r="S667" s="165"/>
      <c r="T667" s="165"/>
      <c r="U667" s="165"/>
      <c r="V667" s="165"/>
      <c r="W667" s="165"/>
      <c r="X667" s="165"/>
      <c r="Y667" s="165"/>
      <c r="Z667" s="165"/>
    </row>
    <row r="668" spans="16:26">
      <c r="P668" s="165"/>
      <c r="Q668" s="165"/>
      <c r="R668" s="165"/>
      <c r="S668" s="165"/>
      <c r="T668" s="165"/>
      <c r="U668" s="165"/>
      <c r="V668" s="165"/>
      <c r="W668" s="165"/>
      <c r="X668" s="165"/>
      <c r="Y668" s="165"/>
      <c r="Z668" s="165"/>
    </row>
    <row r="669" spans="16:26">
      <c r="P669" s="165"/>
      <c r="Q669" s="165"/>
      <c r="R669" s="165"/>
      <c r="S669" s="165"/>
      <c r="T669" s="165"/>
      <c r="U669" s="165"/>
      <c r="V669" s="165"/>
      <c r="W669" s="165"/>
      <c r="X669" s="165"/>
      <c r="Y669" s="165"/>
      <c r="Z669" s="165"/>
    </row>
    <row r="670" spans="16:26">
      <c r="P670" s="165"/>
      <c r="Q670" s="165"/>
      <c r="R670" s="165"/>
      <c r="S670" s="165"/>
      <c r="T670" s="165"/>
      <c r="U670" s="165"/>
      <c r="V670" s="165"/>
      <c r="W670" s="165"/>
      <c r="X670" s="165"/>
      <c r="Y670" s="165"/>
      <c r="Z670" s="165"/>
    </row>
    <row r="671" spans="16:26">
      <c r="P671" s="165"/>
      <c r="Q671" s="165"/>
      <c r="R671" s="165"/>
      <c r="S671" s="165"/>
      <c r="T671" s="165"/>
      <c r="U671" s="165"/>
      <c r="V671" s="165"/>
      <c r="W671" s="165"/>
      <c r="X671" s="165"/>
      <c r="Y671" s="165"/>
      <c r="Z671" s="165"/>
    </row>
    <row r="672" spans="16:26">
      <c r="P672" s="165"/>
      <c r="Q672" s="165"/>
      <c r="R672" s="165"/>
      <c r="S672" s="165"/>
      <c r="T672" s="165"/>
      <c r="U672" s="165"/>
      <c r="V672" s="165"/>
      <c r="W672" s="165"/>
      <c r="X672" s="165"/>
      <c r="Y672" s="165"/>
      <c r="Z672" s="165"/>
    </row>
    <row r="673" spans="16:26">
      <c r="P673" s="165"/>
      <c r="Q673" s="165"/>
      <c r="R673" s="165"/>
      <c r="S673" s="165"/>
      <c r="T673" s="165"/>
      <c r="U673" s="165"/>
      <c r="V673" s="165"/>
      <c r="W673" s="165"/>
      <c r="X673" s="165"/>
      <c r="Y673" s="165"/>
      <c r="Z673" s="165"/>
    </row>
    <row r="674" spans="16:26">
      <c r="P674" s="165"/>
      <c r="Q674" s="165"/>
      <c r="R674" s="165"/>
      <c r="S674" s="165"/>
      <c r="T674" s="165"/>
      <c r="U674" s="165"/>
      <c r="V674" s="165"/>
      <c r="W674" s="165"/>
      <c r="X674" s="165"/>
      <c r="Y674" s="165"/>
      <c r="Z674" s="165"/>
    </row>
    <row r="675" spans="16:26">
      <c r="P675" s="165"/>
      <c r="Q675" s="165"/>
      <c r="R675" s="165"/>
      <c r="S675" s="165"/>
      <c r="T675" s="165"/>
      <c r="U675" s="165"/>
      <c r="V675" s="165"/>
      <c r="W675" s="165"/>
      <c r="X675" s="165"/>
      <c r="Y675" s="165"/>
      <c r="Z675" s="165"/>
    </row>
    <row r="676" spans="16:26">
      <c r="P676" s="165"/>
      <c r="Q676" s="165"/>
      <c r="R676" s="165"/>
      <c r="S676" s="165"/>
      <c r="T676" s="165"/>
      <c r="U676" s="165"/>
      <c r="V676" s="165"/>
      <c r="W676" s="165"/>
      <c r="X676" s="165"/>
      <c r="Y676" s="165"/>
      <c r="Z676" s="165"/>
    </row>
    <row r="677" spans="16:26">
      <c r="P677" s="165"/>
      <c r="Q677" s="165"/>
      <c r="R677" s="165"/>
      <c r="S677" s="165"/>
      <c r="T677" s="165"/>
      <c r="U677" s="165"/>
      <c r="V677" s="165"/>
      <c r="W677" s="165"/>
      <c r="X677" s="165"/>
      <c r="Y677" s="165"/>
      <c r="Z677" s="165"/>
    </row>
    <row r="678" spans="16:26">
      <c r="P678" s="165"/>
      <c r="Q678" s="165"/>
      <c r="R678" s="165"/>
      <c r="S678" s="165"/>
      <c r="T678" s="165"/>
      <c r="U678" s="165"/>
      <c r="V678" s="165"/>
      <c r="W678" s="165"/>
      <c r="X678" s="165"/>
      <c r="Y678" s="165"/>
      <c r="Z678" s="165"/>
    </row>
    <row r="679" spans="16:26">
      <c r="P679" s="165"/>
      <c r="Q679" s="165"/>
      <c r="R679" s="165"/>
      <c r="S679" s="165"/>
      <c r="T679" s="165"/>
      <c r="U679" s="165"/>
      <c r="V679" s="165"/>
      <c r="W679" s="165"/>
      <c r="X679" s="165"/>
      <c r="Y679" s="165"/>
      <c r="Z679" s="165"/>
    </row>
    <row r="680" spans="16:26">
      <c r="P680" s="165"/>
      <c r="Q680" s="165"/>
      <c r="R680" s="165"/>
      <c r="S680" s="165"/>
      <c r="T680" s="165"/>
      <c r="U680" s="165"/>
      <c r="V680" s="165"/>
      <c r="W680" s="165"/>
      <c r="X680" s="165"/>
      <c r="Y680" s="165"/>
      <c r="Z680" s="165"/>
    </row>
    <row r="681" spans="16:26">
      <c r="P681" s="165"/>
      <c r="Q681" s="165"/>
      <c r="R681" s="165"/>
      <c r="S681" s="165"/>
      <c r="T681" s="165"/>
      <c r="U681" s="165"/>
      <c r="V681" s="165"/>
      <c r="W681" s="165"/>
      <c r="X681" s="165"/>
      <c r="Y681" s="165"/>
      <c r="Z681" s="165"/>
    </row>
    <row r="682" spans="16:26">
      <c r="P682" s="165"/>
      <c r="Q682" s="165"/>
      <c r="R682" s="165"/>
      <c r="S682" s="165"/>
      <c r="T682" s="165"/>
      <c r="U682" s="165"/>
      <c r="V682" s="165"/>
      <c r="W682" s="165"/>
      <c r="X682" s="165"/>
      <c r="Y682" s="165"/>
      <c r="Z682" s="165"/>
    </row>
    <row r="683" spans="16:26">
      <c r="P683" s="165"/>
      <c r="Q683" s="165"/>
      <c r="R683" s="165"/>
      <c r="S683" s="165"/>
      <c r="T683" s="165"/>
      <c r="U683" s="165"/>
      <c r="V683" s="165"/>
      <c r="W683" s="165"/>
      <c r="X683" s="165"/>
      <c r="Y683" s="165"/>
      <c r="Z683" s="165"/>
    </row>
    <row r="684" spans="16:26">
      <c r="P684" s="165"/>
      <c r="Q684" s="165"/>
      <c r="R684" s="165"/>
      <c r="S684" s="165"/>
      <c r="T684" s="165"/>
      <c r="U684" s="165"/>
      <c r="V684" s="165"/>
      <c r="W684" s="165"/>
      <c r="X684" s="165"/>
      <c r="Y684" s="165"/>
      <c r="Z684" s="165"/>
    </row>
    <row r="685" spans="16:26">
      <c r="P685" s="165"/>
      <c r="Q685" s="165"/>
      <c r="R685" s="165"/>
      <c r="S685" s="165"/>
      <c r="T685" s="165"/>
      <c r="U685" s="165"/>
      <c r="V685" s="165"/>
      <c r="W685" s="165"/>
      <c r="X685" s="165"/>
      <c r="Y685" s="165"/>
      <c r="Z685" s="165"/>
    </row>
    <row r="686" spans="16:26">
      <c r="P686" s="165"/>
      <c r="Q686" s="165"/>
      <c r="R686" s="165"/>
      <c r="S686" s="165"/>
      <c r="T686" s="165"/>
      <c r="U686" s="165"/>
      <c r="V686" s="165"/>
      <c r="W686" s="165"/>
      <c r="X686" s="165"/>
      <c r="Y686" s="165"/>
      <c r="Z686" s="165"/>
    </row>
    <row r="687" spans="16:26">
      <c r="P687" s="165"/>
      <c r="Q687" s="165"/>
      <c r="R687" s="165"/>
      <c r="S687" s="165"/>
      <c r="T687" s="165"/>
      <c r="U687" s="165"/>
      <c r="V687" s="165"/>
      <c r="W687" s="165"/>
      <c r="X687" s="165"/>
      <c r="Y687" s="165"/>
      <c r="Z687" s="165"/>
    </row>
    <row r="688" spans="16:26">
      <c r="P688" s="165"/>
      <c r="Q688" s="165"/>
      <c r="R688" s="165"/>
      <c r="S688" s="165"/>
      <c r="T688" s="165"/>
      <c r="U688" s="165"/>
      <c r="V688" s="165"/>
      <c r="W688" s="165"/>
      <c r="X688" s="165"/>
      <c r="Y688" s="165"/>
      <c r="Z688" s="165"/>
    </row>
    <row r="689" spans="16:26">
      <c r="P689" s="165"/>
      <c r="Q689" s="165"/>
      <c r="R689" s="165"/>
      <c r="S689" s="165"/>
      <c r="T689" s="165"/>
      <c r="U689" s="165"/>
      <c r="V689" s="165"/>
      <c r="W689" s="165"/>
      <c r="X689" s="165"/>
      <c r="Y689" s="165"/>
      <c r="Z689" s="165"/>
    </row>
    <row r="690" spans="16:26">
      <c r="P690" s="165"/>
      <c r="Q690" s="165"/>
      <c r="R690" s="165"/>
      <c r="S690" s="165"/>
      <c r="T690" s="165"/>
      <c r="U690" s="165"/>
      <c r="V690" s="165"/>
      <c r="W690" s="165"/>
      <c r="X690" s="165"/>
      <c r="Y690" s="165"/>
      <c r="Z690" s="165"/>
    </row>
    <row r="691" spans="16:26">
      <c r="P691" s="165"/>
      <c r="Q691" s="165"/>
      <c r="R691" s="165"/>
      <c r="S691" s="165"/>
      <c r="T691" s="165"/>
      <c r="U691" s="165"/>
      <c r="V691" s="165"/>
      <c r="W691" s="165"/>
      <c r="X691" s="165"/>
      <c r="Y691" s="165"/>
      <c r="Z691" s="165"/>
    </row>
    <row r="692" spans="16:26">
      <c r="P692" s="165"/>
      <c r="Q692" s="165"/>
      <c r="R692" s="165"/>
      <c r="S692" s="165"/>
      <c r="T692" s="165"/>
      <c r="U692" s="165"/>
      <c r="V692" s="165"/>
      <c r="W692" s="165"/>
      <c r="X692" s="165"/>
      <c r="Y692" s="165"/>
      <c r="Z692" s="165"/>
    </row>
    <row r="693" spans="16:26">
      <c r="P693" s="165"/>
      <c r="Q693" s="165"/>
      <c r="R693" s="165"/>
      <c r="S693" s="165"/>
      <c r="T693" s="165"/>
      <c r="U693" s="165"/>
      <c r="V693" s="165"/>
      <c r="W693" s="165"/>
      <c r="X693" s="165"/>
      <c r="Y693" s="165"/>
      <c r="Z693" s="165"/>
    </row>
    <row r="694" spans="16:26">
      <c r="P694" s="165"/>
      <c r="Q694" s="165"/>
      <c r="R694" s="165"/>
      <c r="S694" s="165"/>
      <c r="T694" s="165"/>
      <c r="U694" s="165"/>
      <c r="V694" s="165"/>
      <c r="W694" s="165"/>
      <c r="X694" s="165"/>
      <c r="Y694" s="165"/>
      <c r="Z694" s="165"/>
    </row>
    <row r="695" spans="16:26">
      <c r="P695" s="165"/>
      <c r="Q695" s="165"/>
      <c r="R695" s="165"/>
      <c r="S695" s="165"/>
      <c r="T695" s="165"/>
      <c r="U695" s="165"/>
      <c r="V695" s="165"/>
      <c r="W695" s="165"/>
      <c r="X695" s="165"/>
      <c r="Y695" s="165"/>
      <c r="Z695" s="165"/>
    </row>
    <row r="696" spans="16:26">
      <c r="P696" s="165"/>
      <c r="Q696" s="165"/>
      <c r="R696" s="165"/>
      <c r="S696" s="165"/>
      <c r="T696" s="165"/>
      <c r="U696" s="165"/>
      <c r="V696" s="165"/>
      <c r="W696" s="165"/>
      <c r="X696" s="165"/>
      <c r="Y696" s="165"/>
      <c r="Z696" s="165"/>
    </row>
    <row r="697" spans="16:26">
      <c r="P697" s="165"/>
      <c r="Q697" s="165"/>
      <c r="R697" s="165"/>
      <c r="S697" s="165"/>
      <c r="T697" s="165"/>
      <c r="U697" s="165"/>
      <c r="V697" s="165"/>
      <c r="W697" s="165"/>
      <c r="X697" s="165"/>
      <c r="Y697" s="165"/>
      <c r="Z697" s="165"/>
    </row>
    <row r="698" spans="16:26">
      <c r="P698" s="165"/>
      <c r="Q698" s="165"/>
      <c r="R698" s="165"/>
      <c r="S698" s="165"/>
      <c r="T698" s="165"/>
      <c r="U698" s="165"/>
      <c r="V698" s="165"/>
      <c r="W698" s="165"/>
      <c r="X698" s="165"/>
      <c r="Y698" s="165"/>
      <c r="Z698" s="165"/>
    </row>
    <row r="699" spans="16:26">
      <c r="P699" s="165"/>
      <c r="Q699" s="165"/>
      <c r="R699" s="165"/>
      <c r="S699" s="165"/>
      <c r="T699" s="165"/>
      <c r="U699" s="165"/>
      <c r="V699" s="165"/>
      <c r="W699" s="165"/>
      <c r="X699" s="165"/>
      <c r="Y699" s="165"/>
      <c r="Z699" s="165"/>
    </row>
    <row r="700" spans="16:26">
      <c r="P700" s="165"/>
      <c r="Q700" s="165"/>
      <c r="R700" s="165"/>
      <c r="S700" s="165"/>
      <c r="T700" s="165"/>
      <c r="U700" s="165"/>
      <c r="V700" s="165"/>
      <c r="W700" s="165"/>
      <c r="X700" s="165"/>
      <c r="Y700" s="165"/>
      <c r="Z700" s="165"/>
    </row>
    <row r="701" spans="16:26">
      <c r="P701" s="165"/>
      <c r="Q701" s="165"/>
      <c r="R701" s="165"/>
      <c r="S701" s="165"/>
      <c r="T701" s="165"/>
      <c r="U701" s="165"/>
      <c r="V701" s="165"/>
      <c r="W701" s="165"/>
      <c r="X701" s="165"/>
      <c r="Y701" s="165"/>
      <c r="Z701" s="165"/>
    </row>
    <row r="702" spans="16:26">
      <c r="P702" s="165"/>
      <c r="Q702" s="165"/>
      <c r="R702" s="165"/>
      <c r="S702" s="165"/>
      <c r="T702" s="165"/>
      <c r="U702" s="165"/>
      <c r="V702" s="165"/>
      <c r="W702" s="165"/>
      <c r="X702" s="165"/>
      <c r="Y702" s="165"/>
      <c r="Z702" s="165"/>
    </row>
    <row r="703" spans="16:26">
      <c r="P703" s="165"/>
      <c r="Q703" s="165"/>
      <c r="R703" s="165"/>
      <c r="S703" s="165"/>
      <c r="T703" s="165"/>
      <c r="U703" s="165"/>
      <c r="V703" s="165"/>
      <c r="W703" s="165"/>
      <c r="X703" s="165"/>
      <c r="Y703" s="165"/>
      <c r="Z703" s="165"/>
    </row>
    <row r="704" spans="16:26">
      <c r="P704" s="165"/>
      <c r="Q704" s="165"/>
      <c r="R704" s="165"/>
      <c r="S704" s="165"/>
      <c r="T704" s="165"/>
      <c r="U704" s="165"/>
      <c r="V704" s="165"/>
      <c r="W704" s="165"/>
      <c r="X704" s="165"/>
      <c r="Y704" s="165"/>
      <c r="Z704" s="165"/>
    </row>
    <row r="705" spans="16:26">
      <c r="P705" s="165"/>
      <c r="Q705" s="165"/>
      <c r="R705" s="165"/>
      <c r="S705" s="165"/>
      <c r="T705" s="165"/>
      <c r="U705" s="165"/>
      <c r="V705" s="165"/>
      <c r="W705" s="165"/>
      <c r="X705" s="165"/>
      <c r="Y705" s="165"/>
      <c r="Z705" s="165"/>
    </row>
    <row r="706" spans="16:26">
      <c r="P706" s="165"/>
      <c r="Q706" s="165"/>
      <c r="R706" s="165"/>
      <c r="S706" s="165"/>
      <c r="T706" s="165"/>
      <c r="U706" s="165"/>
      <c r="V706" s="165"/>
      <c r="W706" s="165"/>
      <c r="X706" s="165"/>
      <c r="Y706" s="165"/>
      <c r="Z706" s="165"/>
    </row>
    <row r="707" spans="16:26">
      <c r="P707" s="165"/>
      <c r="Q707" s="165"/>
      <c r="R707" s="165"/>
      <c r="S707" s="165"/>
      <c r="T707" s="165"/>
      <c r="U707" s="165"/>
      <c r="V707" s="165"/>
      <c r="W707" s="165"/>
      <c r="X707" s="165"/>
      <c r="Y707" s="165"/>
      <c r="Z707" s="165"/>
    </row>
    <row r="708" spans="16:26">
      <c r="P708" s="165"/>
      <c r="Q708" s="165"/>
      <c r="R708" s="165"/>
      <c r="S708" s="165"/>
      <c r="T708" s="165"/>
      <c r="U708" s="165"/>
      <c r="V708" s="165"/>
      <c r="W708" s="165"/>
      <c r="X708" s="165"/>
      <c r="Y708" s="165"/>
      <c r="Z708" s="165"/>
    </row>
    <row r="709" spans="16:26">
      <c r="P709" s="165"/>
      <c r="Q709" s="165"/>
      <c r="R709" s="165"/>
      <c r="S709" s="165"/>
      <c r="T709" s="165"/>
      <c r="U709" s="165"/>
      <c r="V709" s="165"/>
      <c r="W709" s="165"/>
      <c r="X709" s="165"/>
      <c r="Y709" s="165"/>
      <c r="Z709" s="165"/>
    </row>
    <row r="710" spans="16:26">
      <c r="P710" s="165"/>
      <c r="Q710" s="165"/>
      <c r="R710" s="165"/>
      <c r="S710" s="165"/>
      <c r="T710" s="165"/>
      <c r="U710" s="165"/>
      <c r="V710" s="165"/>
      <c r="W710" s="165"/>
      <c r="X710" s="165"/>
      <c r="Y710" s="165"/>
      <c r="Z710" s="165"/>
    </row>
    <row r="711" spans="16:26">
      <c r="P711" s="165"/>
      <c r="Q711" s="165"/>
      <c r="R711" s="165"/>
      <c r="S711" s="165"/>
      <c r="T711" s="165"/>
      <c r="U711" s="165"/>
      <c r="V711" s="165"/>
      <c r="W711" s="165"/>
      <c r="X711" s="165"/>
      <c r="Y711" s="165"/>
      <c r="Z711" s="165"/>
    </row>
    <row r="712" spans="16:26">
      <c r="P712" s="165"/>
      <c r="Q712" s="165"/>
      <c r="R712" s="165"/>
      <c r="S712" s="165"/>
      <c r="T712" s="165"/>
      <c r="U712" s="165"/>
      <c r="V712" s="165"/>
      <c r="W712" s="165"/>
      <c r="X712" s="165"/>
      <c r="Y712" s="165"/>
      <c r="Z712" s="165"/>
    </row>
    <row r="713" spans="16:26">
      <c r="P713" s="165"/>
      <c r="Q713" s="165"/>
      <c r="R713" s="165"/>
      <c r="S713" s="165"/>
      <c r="T713" s="165"/>
      <c r="U713" s="165"/>
      <c r="V713" s="165"/>
      <c r="W713" s="165"/>
      <c r="X713" s="165"/>
      <c r="Y713" s="165"/>
      <c r="Z713" s="165"/>
    </row>
    <row r="714" spans="16:26">
      <c r="P714" s="165"/>
      <c r="Q714" s="165"/>
      <c r="R714" s="165"/>
      <c r="S714" s="165"/>
      <c r="T714" s="165"/>
      <c r="U714" s="165"/>
      <c r="V714" s="165"/>
      <c r="W714" s="165"/>
      <c r="X714" s="165"/>
      <c r="Y714" s="165"/>
      <c r="Z714" s="165"/>
    </row>
    <row r="715" spans="16:26">
      <c r="P715" s="165"/>
      <c r="Q715" s="165"/>
      <c r="R715" s="165"/>
      <c r="S715" s="165"/>
      <c r="T715" s="165"/>
      <c r="U715" s="165"/>
      <c r="V715" s="165"/>
      <c r="W715" s="165"/>
      <c r="X715" s="165"/>
      <c r="Y715" s="165"/>
      <c r="Z715" s="165"/>
    </row>
    <row r="716" spans="16:26">
      <c r="P716" s="165"/>
      <c r="Q716" s="165"/>
      <c r="R716" s="165"/>
      <c r="S716" s="165"/>
      <c r="T716" s="165"/>
      <c r="U716" s="165"/>
      <c r="V716" s="165"/>
      <c r="W716" s="165"/>
      <c r="X716" s="165"/>
      <c r="Y716" s="165"/>
      <c r="Z716" s="165"/>
    </row>
    <row r="717" spans="16:26">
      <c r="P717" s="165"/>
      <c r="Q717" s="165"/>
      <c r="R717" s="165"/>
      <c r="S717" s="165"/>
      <c r="T717" s="165"/>
      <c r="U717" s="165"/>
      <c r="V717" s="165"/>
      <c r="W717" s="165"/>
      <c r="X717" s="165"/>
      <c r="Y717" s="165"/>
      <c r="Z717" s="165"/>
    </row>
    <row r="718" spans="16:26">
      <c r="P718" s="165"/>
      <c r="Q718" s="165"/>
      <c r="R718" s="165"/>
      <c r="S718" s="165"/>
      <c r="T718" s="165"/>
      <c r="U718" s="165"/>
      <c r="V718" s="165"/>
      <c r="W718" s="165"/>
      <c r="X718" s="165"/>
      <c r="Y718" s="165"/>
      <c r="Z718" s="165"/>
    </row>
    <row r="719" spans="16:26">
      <c r="P719" s="165"/>
      <c r="Q719" s="165"/>
      <c r="R719" s="165"/>
      <c r="S719" s="165"/>
      <c r="T719" s="165"/>
      <c r="U719" s="165"/>
      <c r="V719" s="165"/>
      <c r="W719" s="165"/>
      <c r="X719" s="165"/>
      <c r="Y719" s="165"/>
      <c r="Z719" s="165"/>
    </row>
    <row r="720" spans="16:26">
      <c r="P720" s="165"/>
      <c r="Q720" s="165"/>
      <c r="R720" s="165"/>
      <c r="S720" s="165"/>
      <c r="T720" s="165"/>
      <c r="U720" s="165"/>
      <c r="V720" s="165"/>
      <c r="W720" s="165"/>
      <c r="X720" s="165"/>
      <c r="Y720" s="165"/>
      <c r="Z720" s="165"/>
    </row>
    <row r="721" spans="16:26">
      <c r="P721" s="165"/>
      <c r="Q721" s="165"/>
      <c r="R721" s="165"/>
      <c r="S721" s="165"/>
      <c r="T721" s="165"/>
      <c r="U721" s="165"/>
      <c r="V721" s="165"/>
      <c r="W721" s="165"/>
      <c r="X721" s="165"/>
      <c r="Y721" s="165"/>
      <c r="Z721" s="165"/>
    </row>
    <row r="722" spans="16:26">
      <c r="P722" s="165"/>
      <c r="Q722" s="165"/>
      <c r="R722" s="165"/>
      <c r="S722" s="165"/>
      <c r="T722" s="165"/>
      <c r="U722" s="165"/>
      <c r="V722" s="165"/>
      <c r="W722" s="165"/>
      <c r="X722" s="165"/>
      <c r="Y722" s="165"/>
      <c r="Z722" s="165"/>
    </row>
    <row r="723" spans="16:26">
      <c r="P723" s="165"/>
      <c r="Q723" s="165"/>
      <c r="R723" s="165"/>
      <c r="S723" s="165"/>
      <c r="T723" s="165"/>
      <c r="U723" s="165"/>
      <c r="V723" s="165"/>
      <c r="W723" s="165"/>
      <c r="X723" s="165"/>
      <c r="Y723" s="165"/>
      <c r="Z723" s="165"/>
    </row>
    <row r="724" spans="16:26">
      <c r="P724" s="165"/>
      <c r="Q724" s="165"/>
      <c r="R724" s="165"/>
      <c r="S724" s="165"/>
      <c r="T724" s="165"/>
      <c r="U724" s="165"/>
      <c r="V724" s="165"/>
      <c r="W724" s="165"/>
      <c r="X724" s="165"/>
      <c r="Y724" s="165"/>
      <c r="Z724" s="165"/>
    </row>
    <row r="725" spans="16:26">
      <c r="P725" s="165"/>
      <c r="Q725" s="165"/>
      <c r="R725" s="165"/>
      <c r="S725" s="165"/>
      <c r="T725" s="165"/>
      <c r="U725" s="165"/>
      <c r="V725" s="165"/>
      <c r="W725" s="165"/>
      <c r="X725" s="165"/>
      <c r="Y725" s="165"/>
      <c r="Z725" s="165"/>
    </row>
    <row r="726" spans="16:26">
      <c r="P726" s="165"/>
      <c r="Q726" s="165"/>
      <c r="R726" s="165"/>
      <c r="S726" s="165"/>
      <c r="T726" s="165"/>
      <c r="U726" s="165"/>
      <c r="V726" s="165"/>
      <c r="W726" s="165"/>
      <c r="X726" s="165"/>
      <c r="Y726" s="165"/>
      <c r="Z726" s="165"/>
    </row>
    <row r="727" spans="16:26">
      <c r="P727" s="165"/>
      <c r="Q727" s="165"/>
      <c r="R727" s="165"/>
      <c r="S727" s="165"/>
      <c r="T727" s="165"/>
      <c r="U727" s="165"/>
      <c r="V727" s="165"/>
      <c r="W727" s="165"/>
      <c r="X727" s="165"/>
      <c r="Y727" s="165"/>
      <c r="Z727" s="165"/>
    </row>
    <row r="728" spans="16:26">
      <c r="P728" s="165"/>
      <c r="Q728" s="165"/>
      <c r="R728" s="165"/>
      <c r="S728" s="165"/>
      <c r="T728" s="165"/>
      <c r="U728" s="165"/>
      <c r="V728" s="165"/>
      <c r="W728" s="165"/>
      <c r="X728" s="165"/>
      <c r="Y728" s="165"/>
      <c r="Z728" s="165"/>
    </row>
    <row r="729" spans="16:26">
      <c r="P729" s="165"/>
      <c r="Q729" s="165"/>
      <c r="R729" s="165"/>
      <c r="S729" s="165"/>
      <c r="T729" s="165"/>
      <c r="U729" s="165"/>
      <c r="V729" s="165"/>
      <c r="W729" s="165"/>
      <c r="X729" s="165"/>
      <c r="Y729" s="165"/>
      <c r="Z729" s="165"/>
    </row>
    <row r="730" spans="16:26">
      <c r="P730" s="165"/>
      <c r="Q730" s="165"/>
      <c r="R730" s="165"/>
      <c r="S730" s="165"/>
      <c r="T730" s="165"/>
      <c r="U730" s="165"/>
      <c r="V730" s="165"/>
      <c r="W730" s="165"/>
      <c r="X730" s="165"/>
      <c r="Y730" s="165"/>
      <c r="Z730" s="165"/>
    </row>
    <row r="731" spans="16:26">
      <c r="P731" s="165"/>
      <c r="Q731" s="165"/>
      <c r="R731" s="165"/>
      <c r="S731" s="165"/>
      <c r="T731" s="165"/>
      <c r="U731" s="165"/>
      <c r="V731" s="165"/>
      <c r="W731" s="165"/>
      <c r="X731" s="165"/>
      <c r="Y731" s="165"/>
      <c r="Z731" s="165"/>
    </row>
    <row r="732" spans="16:26">
      <c r="P732" s="165"/>
      <c r="Q732" s="165"/>
      <c r="R732" s="165"/>
      <c r="S732" s="165"/>
      <c r="T732" s="165"/>
      <c r="U732" s="165"/>
      <c r="V732" s="165"/>
      <c r="W732" s="165"/>
      <c r="X732" s="165"/>
      <c r="Y732" s="165"/>
      <c r="Z732" s="165"/>
    </row>
    <row r="733" spans="16:26">
      <c r="P733" s="165"/>
      <c r="Q733" s="165"/>
      <c r="R733" s="165"/>
      <c r="S733" s="165"/>
      <c r="T733" s="165"/>
      <c r="U733" s="165"/>
      <c r="V733" s="165"/>
      <c r="W733" s="165"/>
      <c r="X733" s="165"/>
      <c r="Y733" s="165"/>
      <c r="Z733" s="165"/>
    </row>
    <row r="734" spans="16:26">
      <c r="P734" s="165"/>
      <c r="Q734" s="165"/>
      <c r="R734" s="165"/>
      <c r="S734" s="165"/>
      <c r="T734" s="165"/>
      <c r="U734" s="165"/>
      <c r="V734" s="165"/>
      <c r="W734" s="165"/>
      <c r="X734" s="165"/>
      <c r="Y734" s="165"/>
      <c r="Z734" s="165"/>
    </row>
    <row r="735" spans="16:26">
      <c r="P735" s="165"/>
      <c r="Q735" s="165"/>
      <c r="R735" s="165"/>
      <c r="S735" s="165"/>
      <c r="T735" s="165"/>
      <c r="U735" s="165"/>
      <c r="V735" s="165"/>
      <c r="W735" s="165"/>
      <c r="X735" s="165"/>
      <c r="Y735" s="165"/>
      <c r="Z735" s="165"/>
    </row>
    <row r="736" spans="16:26">
      <c r="P736" s="165"/>
      <c r="Q736" s="165"/>
      <c r="R736" s="165"/>
      <c r="S736" s="165"/>
      <c r="T736" s="165"/>
      <c r="U736" s="165"/>
      <c r="V736" s="165"/>
      <c r="W736" s="165"/>
      <c r="X736" s="165"/>
      <c r="Y736" s="165"/>
      <c r="Z736" s="165"/>
    </row>
    <row r="737" spans="16:26">
      <c r="P737" s="165"/>
      <c r="Q737" s="165"/>
      <c r="R737" s="165"/>
      <c r="S737" s="165"/>
      <c r="T737" s="165"/>
      <c r="U737" s="165"/>
      <c r="V737" s="165"/>
      <c r="W737" s="165"/>
      <c r="X737" s="165"/>
      <c r="Y737" s="165"/>
      <c r="Z737" s="165"/>
    </row>
    <row r="738" spans="16:26">
      <c r="P738" s="165"/>
      <c r="Q738" s="165"/>
      <c r="R738" s="165"/>
      <c r="S738" s="165"/>
      <c r="T738" s="165"/>
      <c r="U738" s="165"/>
      <c r="V738" s="165"/>
      <c r="W738" s="165"/>
      <c r="X738" s="165"/>
      <c r="Y738" s="165"/>
      <c r="Z738" s="165"/>
    </row>
    <row r="739" spans="16:26">
      <c r="P739" s="165"/>
      <c r="Q739" s="165"/>
      <c r="R739" s="165"/>
      <c r="S739" s="165"/>
      <c r="T739" s="165"/>
      <c r="U739" s="165"/>
      <c r="V739" s="165"/>
      <c r="W739" s="165"/>
      <c r="X739" s="165"/>
      <c r="Y739" s="165"/>
      <c r="Z739" s="165"/>
    </row>
    <row r="740" spans="16:26">
      <c r="P740" s="165"/>
      <c r="Q740" s="165"/>
      <c r="R740" s="165"/>
      <c r="S740" s="165"/>
      <c r="T740" s="165"/>
      <c r="U740" s="165"/>
      <c r="V740" s="165"/>
      <c r="W740" s="165"/>
      <c r="X740" s="165"/>
      <c r="Y740" s="165"/>
      <c r="Z740" s="165"/>
    </row>
    <row r="741" spans="16:26">
      <c r="P741" s="165"/>
      <c r="Q741" s="165"/>
      <c r="R741" s="165"/>
      <c r="S741" s="165"/>
      <c r="T741" s="165"/>
      <c r="U741" s="165"/>
      <c r="V741" s="165"/>
      <c r="W741" s="165"/>
      <c r="X741" s="165"/>
      <c r="Y741" s="165"/>
      <c r="Z741" s="165"/>
    </row>
    <row r="742" spans="16:26">
      <c r="P742" s="165"/>
      <c r="Q742" s="165"/>
      <c r="R742" s="165"/>
      <c r="S742" s="165"/>
      <c r="T742" s="165"/>
      <c r="U742" s="165"/>
      <c r="V742" s="165"/>
      <c r="W742" s="165"/>
      <c r="X742" s="165"/>
      <c r="Y742" s="165"/>
      <c r="Z742" s="165"/>
    </row>
    <row r="743" spans="16:26">
      <c r="P743" s="165"/>
      <c r="Q743" s="165"/>
      <c r="R743" s="165"/>
      <c r="S743" s="165"/>
      <c r="T743" s="165"/>
      <c r="U743" s="165"/>
      <c r="V743" s="165"/>
      <c r="W743" s="165"/>
      <c r="X743" s="165"/>
      <c r="Y743" s="165"/>
      <c r="Z743" s="165"/>
    </row>
    <row r="744" spans="16:26">
      <c r="P744" s="165"/>
      <c r="Q744" s="165"/>
      <c r="R744" s="165"/>
      <c r="S744" s="165"/>
      <c r="T744" s="165"/>
      <c r="U744" s="165"/>
      <c r="V744" s="165"/>
      <c r="W744" s="165"/>
      <c r="X744" s="165"/>
      <c r="Y744" s="165"/>
      <c r="Z744" s="165"/>
    </row>
    <row r="745" spans="16:26">
      <c r="P745" s="165"/>
      <c r="Q745" s="165"/>
      <c r="R745" s="165"/>
      <c r="S745" s="165"/>
      <c r="T745" s="165"/>
      <c r="U745" s="165"/>
      <c r="V745" s="165"/>
      <c r="W745" s="165"/>
      <c r="X745" s="165"/>
      <c r="Y745" s="165"/>
      <c r="Z745" s="165"/>
    </row>
    <row r="746" spans="16:26">
      <c r="P746" s="165"/>
      <c r="Q746" s="165"/>
      <c r="R746" s="165"/>
      <c r="S746" s="165"/>
      <c r="T746" s="165"/>
      <c r="U746" s="165"/>
      <c r="V746" s="165"/>
      <c r="W746" s="165"/>
      <c r="X746" s="165"/>
      <c r="Y746" s="165"/>
      <c r="Z746" s="165"/>
    </row>
    <row r="747" spans="16:26">
      <c r="P747" s="165"/>
      <c r="Q747" s="165"/>
      <c r="R747" s="165"/>
      <c r="S747" s="165"/>
      <c r="T747" s="165"/>
      <c r="U747" s="165"/>
      <c r="V747" s="165"/>
      <c r="W747" s="165"/>
      <c r="X747" s="165"/>
      <c r="Y747" s="165"/>
      <c r="Z747" s="165"/>
    </row>
    <row r="748" spans="16:26">
      <c r="P748" s="165"/>
      <c r="Q748" s="165"/>
      <c r="R748" s="165"/>
      <c r="S748" s="165"/>
      <c r="T748" s="165"/>
      <c r="U748" s="165"/>
      <c r="V748" s="165"/>
      <c r="W748" s="165"/>
      <c r="X748" s="165"/>
      <c r="Y748" s="165"/>
      <c r="Z748" s="165"/>
    </row>
    <row r="749" spans="16:26">
      <c r="P749" s="165"/>
      <c r="Q749" s="165"/>
      <c r="R749" s="165"/>
      <c r="S749" s="165"/>
      <c r="T749" s="165"/>
      <c r="U749" s="165"/>
      <c r="V749" s="165"/>
      <c r="W749" s="165"/>
      <c r="X749" s="165"/>
      <c r="Y749" s="165"/>
      <c r="Z749" s="165"/>
    </row>
    <row r="750" spans="16:26">
      <c r="P750" s="165"/>
      <c r="Q750" s="165"/>
      <c r="R750" s="165"/>
      <c r="S750" s="165"/>
      <c r="T750" s="165"/>
      <c r="U750" s="165"/>
      <c r="V750" s="165"/>
      <c r="W750" s="165"/>
      <c r="X750" s="165"/>
      <c r="Y750" s="165"/>
      <c r="Z750" s="165"/>
    </row>
    <row r="751" spans="16:26">
      <c r="P751" s="165"/>
      <c r="Q751" s="165"/>
      <c r="R751" s="165"/>
      <c r="S751" s="165"/>
      <c r="T751" s="165"/>
      <c r="U751" s="165"/>
      <c r="V751" s="165"/>
      <c r="W751" s="165"/>
      <c r="X751" s="165"/>
      <c r="Y751" s="165"/>
      <c r="Z751" s="165"/>
    </row>
    <row r="752" spans="16:26">
      <c r="P752" s="165"/>
      <c r="Q752" s="165"/>
      <c r="R752" s="165"/>
      <c r="S752" s="165"/>
      <c r="T752" s="165"/>
      <c r="U752" s="165"/>
      <c r="V752" s="165"/>
      <c r="W752" s="165"/>
      <c r="X752" s="165"/>
      <c r="Y752" s="165"/>
      <c r="Z752" s="165"/>
    </row>
    <row r="753" spans="16:26">
      <c r="P753" s="165"/>
      <c r="Q753" s="165"/>
      <c r="R753" s="165"/>
      <c r="S753" s="165"/>
      <c r="T753" s="165"/>
      <c r="U753" s="165"/>
      <c r="V753" s="165"/>
      <c r="W753" s="165"/>
      <c r="X753" s="165"/>
      <c r="Y753" s="165"/>
      <c r="Z753" s="165"/>
    </row>
    <row r="754" spans="16:26">
      <c r="P754" s="165"/>
      <c r="Q754" s="165"/>
      <c r="R754" s="165"/>
      <c r="S754" s="165"/>
      <c r="T754" s="165"/>
      <c r="U754" s="165"/>
      <c r="V754" s="165"/>
      <c r="W754" s="165"/>
      <c r="X754" s="165"/>
      <c r="Y754" s="165"/>
      <c r="Z754" s="165"/>
    </row>
    <row r="755" spans="16:26">
      <c r="P755" s="165"/>
      <c r="Q755" s="165"/>
      <c r="R755" s="165"/>
      <c r="S755" s="165"/>
      <c r="T755" s="165"/>
      <c r="U755" s="165"/>
      <c r="V755" s="165"/>
      <c r="W755" s="165"/>
      <c r="X755" s="165"/>
      <c r="Y755" s="165"/>
      <c r="Z755" s="165"/>
    </row>
    <row r="756" spans="16:26">
      <c r="P756" s="165"/>
      <c r="Q756" s="165"/>
      <c r="R756" s="165"/>
      <c r="S756" s="165"/>
      <c r="T756" s="165"/>
      <c r="U756" s="165"/>
      <c r="V756" s="165"/>
      <c r="W756" s="165"/>
      <c r="X756" s="165"/>
      <c r="Y756" s="165"/>
      <c r="Z756" s="165"/>
    </row>
    <row r="757" spans="16:26">
      <c r="P757" s="165"/>
      <c r="Q757" s="165"/>
      <c r="R757" s="165"/>
      <c r="S757" s="165"/>
      <c r="T757" s="165"/>
      <c r="U757" s="165"/>
      <c r="V757" s="165"/>
      <c r="W757" s="165"/>
      <c r="X757" s="165"/>
      <c r="Y757" s="165"/>
      <c r="Z757" s="165"/>
    </row>
    <row r="758" spans="16:26">
      <c r="P758" s="165"/>
      <c r="Q758" s="165"/>
      <c r="R758" s="165"/>
      <c r="S758" s="165"/>
      <c r="T758" s="165"/>
      <c r="U758" s="165"/>
      <c r="V758" s="165"/>
      <c r="W758" s="165"/>
      <c r="X758" s="165"/>
      <c r="Y758" s="165"/>
      <c r="Z758" s="165"/>
    </row>
    <row r="759" spans="16:26">
      <c r="P759" s="165"/>
      <c r="Q759" s="165"/>
      <c r="R759" s="165"/>
      <c r="S759" s="165"/>
      <c r="T759" s="165"/>
      <c r="U759" s="165"/>
      <c r="V759" s="165"/>
      <c r="W759" s="165"/>
      <c r="X759" s="165"/>
      <c r="Y759" s="165"/>
      <c r="Z759" s="165"/>
    </row>
    <row r="760" spans="16:26">
      <c r="P760" s="165"/>
      <c r="Q760" s="165"/>
      <c r="R760" s="165"/>
      <c r="S760" s="165"/>
      <c r="T760" s="165"/>
      <c r="U760" s="165"/>
      <c r="V760" s="165"/>
      <c r="W760" s="165"/>
      <c r="X760" s="165"/>
      <c r="Y760" s="165"/>
      <c r="Z760" s="165"/>
    </row>
    <row r="761" spans="16:26">
      <c r="P761" s="165"/>
      <c r="Q761" s="165"/>
      <c r="R761" s="165"/>
      <c r="S761" s="165"/>
      <c r="T761" s="165"/>
      <c r="U761" s="165"/>
      <c r="V761" s="165"/>
      <c r="W761" s="165"/>
      <c r="X761" s="165"/>
      <c r="Y761" s="165"/>
      <c r="Z761" s="165"/>
    </row>
    <row r="762" spans="16:26">
      <c r="P762" s="165"/>
      <c r="Q762" s="165"/>
      <c r="R762" s="165"/>
      <c r="S762" s="165"/>
      <c r="T762" s="165"/>
      <c r="U762" s="165"/>
      <c r="V762" s="165"/>
      <c r="W762" s="165"/>
      <c r="X762" s="165"/>
      <c r="Y762" s="165"/>
      <c r="Z762" s="165"/>
    </row>
    <row r="763" spans="16:26">
      <c r="P763" s="165"/>
      <c r="Q763" s="165"/>
      <c r="R763" s="165"/>
      <c r="S763" s="165"/>
      <c r="T763" s="165"/>
      <c r="U763" s="165"/>
      <c r="V763" s="165"/>
      <c r="W763" s="165"/>
      <c r="X763" s="165"/>
      <c r="Y763" s="165"/>
      <c r="Z763" s="165"/>
    </row>
    <row r="764" spans="16:26">
      <c r="P764" s="165"/>
      <c r="Q764" s="165"/>
      <c r="R764" s="165"/>
      <c r="S764" s="165"/>
      <c r="T764" s="165"/>
      <c r="U764" s="165"/>
      <c r="V764" s="165"/>
      <c r="W764" s="165"/>
      <c r="X764" s="165"/>
      <c r="Y764" s="165"/>
      <c r="Z764" s="165"/>
    </row>
    <row r="765" spans="16:26">
      <c r="P765" s="165"/>
      <c r="Q765" s="165"/>
      <c r="R765" s="165"/>
      <c r="S765" s="165"/>
      <c r="T765" s="165"/>
      <c r="U765" s="165"/>
      <c r="V765" s="165"/>
      <c r="W765" s="165"/>
      <c r="X765" s="165"/>
      <c r="Y765" s="165"/>
      <c r="Z765" s="165"/>
    </row>
    <row r="766" spans="16:26">
      <c r="P766" s="165"/>
      <c r="Q766" s="165"/>
      <c r="R766" s="165"/>
      <c r="S766" s="165"/>
      <c r="T766" s="165"/>
      <c r="U766" s="165"/>
      <c r="V766" s="165"/>
      <c r="W766" s="165"/>
      <c r="X766" s="165"/>
      <c r="Y766" s="165"/>
      <c r="Z766" s="165"/>
    </row>
    <row r="767" spans="16:26">
      <c r="P767" s="165"/>
      <c r="Q767" s="165"/>
      <c r="R767" s="165"/>
      <c r="S767" s="165"/>
      <c r="T767" s="165"/>
      <c r="U767" s="165"/>
      <c r="V767" s="165"/>
      <c r="W767" s="165"/>
      <c r="X767" s="165"/>
      <c r="Y767" s="165"/>
      <c r="Z767" s="165"/>
    </row>
    <row r="768" spans="16:26">
      <c r="P768" s="165"/>
      <c r="Q768" s="165"/>
      <c r="R768" s="165"/>
      <c r="S768" s="165"/>
      <c r="T768" s="165"/>
      <c r="U768" s="165"/>
      <c r="V768" s="165"/>
      <c r="W768" s="165"/>
      <c r="X768" s="165"/>
      <c r="Y768" s="165"/>
      <c r="Z768" s="165"/>
    </row>
    <row r="769" spans="16:26">
      <c r="P769" s="165"/>
      <c r="Q769" s="165"/>
      <c r="R769" s="165"/>
      <c r="S769" s="165"/>
      <c r="T769" s="165"/>
      <c r="U769" s="165"/>
      <c r="V769" s="165"/>
      <c r="W769" s="165"/>
      <c r="X769" s="165"/>
      <c r="Y769" s="165"/>
      <c r="Z769" s="165"/>
    </row>
    <row r="770" spans="16:26">
      <c r="P770" s="165"/>
      <c r="Q770" s="165"/>
      <c r="R770" s="165"/>
      <c r="S770" s="165"/>
      <c r="T770" s="165"/>
      <c r="U770" s="165"/>
      <c r="V770" s="165"/>
      <c r="W770" s="165"/>
      <c r="X770" s="165"/>
      <c r="Y770" s="165"/>
      <c r="Z770" s="165"/>
    </row>
    <row r="771" spans="16:26">
      <c r="P771" s="165"/>
      <c r="Q771" s="165"/>
      <c r="R771" s="165"/>
      <c r="S771" s="165"/>
      <c r="T771" s="165"/>
      <c r="U771" s="165"/>
      <c r="V771" s="165"/>
      <c r="W771" s="165"/>
      <c r="X771" s="165"/>
      <c r="Y771" s="165"/>
      <c r="Z771" s="165"/>
    </row>
    <row r="772" spans="16:26">
      <c r="P772" s="165"/>
      <c r="Q772" s="165"/>
      <c r="R772" s="165"/>
      <c r="S772" s="165"/>
      <c r="T772" s="165"/>
      <c r="U772" s="165"/>
      <c r="V772" s="165"/>
      <c r="W772" s="165"/>
      <c r="X772" s="165"/>
      <c r="Y772" s="165"/>
      <c r="Z772" s="165"/>
    </row>
    <row r="773" spans="16:26">
      <c r="P773" s="165"/>
      <c r="Q773" s="165"/>
      <c r="R773" s="165"/>
      <c r="S773" s="165"/>
      <c r="T773" s="165"/>
      <c r="U773" s="165"/>
      <c r="V773" s="165"/>
      <c r="W773" s="165"/>
      <c r="X773" s="165"/>
      <c r="Y773" s="165"/>
      <c r="Z773" s="165"/>
    </row>
    <row r="774" spans="16:26">
      <c r="P774" s="165"/>
      <c r="Q774" s="165"/>
      <c r="R774" s="165"/>
      <c r="S774" s="165"/>
      <c r="T774" s="165"/>
      <c r="U774" s="165"/>
      <c r="V774" s="165"/>
      <c r="W774" s="165"/>
      <c r="X774" s="165"/>
      <c r="Y774" s="165"/>
      <c r="Z774" s="165"/>
    </row>
    <row r="775" spans="16:26">
      <c r="P775" s="165"/>
      <c r="Q775" s="165"/>
      <c r="R775" s="165"/>
      <c r="S775" s="165"/>
      <c r="T775" s="165"/>
      <c r="U775" s="165"/>
      <c r="V775" s="165"/>
      <c r="W775" s="165"/>
      <c r="X775" s="165"/>
      <c r="Y775" s="165"/>
      <c r="Z775" s="165"/>
    </row>
    <row r="776" spans="16:26">
      <c r="P776" s="165"/>
      <c r="Q776" s="165"/>
      <c r="R776" s="165"/>
      <c r="S776" s="165"/>
      <c r="T776" s="165"/>
      <c r="U776" s="165"/>
      <c r="V776" s="165"/>
      <c r="W776" s="165"/>
      <c r="X776" s="165"/>
      <c r="Y776" s="165"/>
      <c r="Z776" s="165"/>
    </row>
    <row r="777" spans="16:26">
      <c r="P777" s="165"/>
      <c r="Q777" s="165"/>
      <c r="R777" s="165"/>
      <c r="S777" s="165"/>
      <c r="T777" s="165"/>
      <c r="U777" s="165"/>
      <c r="V777" s="165"/>
      <c r="W777" s="165"/>
      <c r="X777" s="165"/>
      <c r="Y777" s="165"/>
      <c r="Z777" s="165"/>
    </row>
    <row r="778" spans="16:26">
      <c r="P778" s="165"/>
      <c r="Q778" s="165"/>
      <c r="R778" s="165"/>
      <c r="S778" s="165"/>
      <c r="T778" s="165"/>
      <c r="U778" s="165"/>
      <c r="V778" s="165"/>
      <c r="W778" s="165"/>
      <c r="X778" s="165"/>
      <c r="Y778" s="165"/>
      <c r="Z778" s="165"/>
    </row>
    <row r="779" spans="16:26">
      <c r="P779" s="165"/>
      <c r="Q779" s="165"/>
      <c r="R779" s="165"/>
      <c r="S779" s="165"/>
      <c r="T779" s="165"/>
      <c r="U779" s="165"/>
      <c r="V779" s="165"/>
      <c r="W779" s="165"/>
      <c r="X779" s="165"/>
      <c r="Y779" s="165"/>
      <c r="Z779" s="165"/>
    </row>
    <row r="780" spans="16:26">
      <c r="P780" s="165"/>
      <c r="Q780" s="165"/>
      <c r="R780" s="165"/>
      <c r="S780" s="165"/>
      <c r="T780" s="165"/>
      <c r="U780" s="165"/>
      <c r="V780" s="165"/>
      <c r="W780" s="165"/>
      <c r="X780" s="165"/>
      <c r="Y780" s="165"/>
      <c r="Z780" s="165"/>
    </row>
    <row r="781" spans="16:26">
      <c r="P781" s="165"/>
      <c r="Q781" s="165"/>
      <c r="R781" s="165"/>
      <c r="S781" s="165"/>
      <c r="T781" s="165"/>
      <c r="U781" s="165"/>
      <c r="V781" s="165"/>
      <c r="W781" s="165"/>
      <c r="X781" s="165"/>
      <c r="Y781" s="165"/>
      <c r="Z781" s="165"/>
    </row>
    <row r="782" spans="16:26">
      <c r="P782" s="165"/>
      <c r="Q782" s="165"/>
      <c r="R782" s="165"/>
      <c r="S782" s="165"/>
      <c r="T782" s="165"/>
      <c r="U782" s="165"/>
      <c r="V782" s="165"/>
      <c r="W782" s="165"/>
      <c r="X782" s="165"/>
      <c r="Y782" s="165"/>
      <c r="Z782" s="165"/>
    </row>
    <row r="783" spans="16:26">
      <c r="P783" s="165"/>
      <c r="Q783" s="165"/>
      <c r="R783" s="165"/>
      <c r="S783" s="165"/>
      <c r="T783" s="165"/>
      <c r="U783" s="165"/>
      <c r="V783" s="165"/>
      <c r="W783" s="165"/>
      <c r="X783" s="165"/>
      <c r="Y783" s="165"/>
      <c r="Z783" s="165"/>
    </row>
    <row r="784" spans="16:26">
      <c r="P784" s="165"/>
      <c r="Q784" s="165"/>
      <c r="R784" s="165"/>
      <c r="S784" s="165"/>
      <c r="T784" s="165"/>
      <c r="U784" s="165"/>
      <c r="V784" s="165"/>
      <c r="W784" s="165"/>
      <c r="X784" s="165"/>
      <c r="Y784" s="165"/>
      <c r="Z784" s="165"/>
    </row>
    <row r="785" spans="16:26">
      <c r="P785" s="165"/>
      <c r="Q785" s="165"/>
      <c r="R785" s="165"/>
      <c r="S785" s="165"/>
      <c r="T785" s="165"/>
      <c r="U785" s="165"/>
      <c r="V785" s="165"/>
      <c r="W785" s="165"/>
      <c r="X785" s="165"/>
      <c r="Y785" s="165"/>
      <c r="Z785" s="165"/>
    </row>
    <row r="786" spans="16:26">
      <c r="P786" s="165"/>
      <c r="Q786" s="165"/>
      <c r="R786" s="165"/>
      <c r="S786" s="165"/>
      <c r="T786" s="165"/>
      <c r="U786" s="165"/>
      <c r="V786" s="165"/>
      <c r="W786" s="165"/>
      <c r="X786" s="165"/>
      <c r="Y786" s="165"/>
      <c r="Z786" s="165"/>
    </row>
    <row r="787" spans="16:26">
      <c r="P787" s="165"/>
      <c r="Q787" s="165"/>
      <c r="R787" s="165"/>
      <c r="S787" s="165"/>
      <c r="T787" s="165"/>
      <c r="U787" s="165"/>
      <c r="V787" s="165"/>
      <c r="W787" s="165"/>
      <c r="X787" s="165"/>
      <c r="Y787" s="165"/>
      <c r="Z787" s="165"/>
    </row>
    <row r="788" spans="16:26">
      <c r="P788" s="165"/>
      <c r="Q788" s="165"/>
      <c r="R788" s="165"/>
      <c r="S788" s="165"/>
      <c r="T788" s="165"/>
      <c r="U788" s="165"/>
      <c r="V788" s="165"/>
      <c r="W788" s="165"/>
      <c r="X788" s="165"/>
      <c r="Y788" s="165"/>
      <c r="Z788" s="165"/>
    </row>
    <row r="789" spans="16:26">
      <c r="P789" s="165"/>
      <c r="Q789" s="165"/>
      <c r="R789" s="165"/>
      <c r="S789" s="165"/>
      <c r="T789" s="165"/>
      <c r="U789" s="165"/>
      <c r="V789" s="165"/>
      <c r="W789" s="165"/>
      <c r="X789" s="165"/>
      <c r="Y789" s="165"/>
      <c r="Z789" s="165"/>
    </row>
    <row r="790" spans="16:26">
      <c r="P790" s="165"/>
      <c r="Q790" s="165"/>
      <c r="R790" s="165"/>
      <c r="S790" s="165"/>
      <c r="T790" s="165"/>
      <c r="U790" s="165"/>
      <c r="V790" s="165"/>
      <c r="W790" s="165"/>
      <c r="X790" s="165"/>
      <c r="Y790" s="165"/>
      <c r="Z790" s="165"/>
    </row>
    <row r="791" spans="16:26">
      <c r="P791" s="165"/>
      <c r="Q791" s="165"/>
      <c r="R791" s="165"/>
      <c r="S791" s="165"/>
      <c r="T791" s="165"/>
      <c r="U791" s="165"/>
      <c r="V791" s="165"/>
      <c r="W791" s="165"/>
      <c r="X791" s="165"/>
      <c r="Y791" s="165"/>
      <c r="Z791" s="165"/>
    </row>
    <row r="792" spans="16:26">
      <c r="P792" s="165"/>
      <c r="Q792" s="165"/>
      <c r="R792" s="165"/>
      <c r="S792" s="165"/>
      <c r="T792" s="165"/>
      <c r="U792" s="165"/>
      <c r="V792" s="165"/>
      <c r="W792" s="165"/>
      <c r="X792" s="165"/>
      <c r="Y792" s="165"/>
      <c r="Z792" s="165"/>
    </row>
    <row r="793" spans="16:26">
      <c r="P793" s="165"/>
      <c r="Q793" s="165"/>
      <c r="R793" s="165"/>
      <c r="S793" s="165"/>
      <c r="T793" s="165"/>
      <c r="U793" s="165"/>
      <c r="V793" s="165"/>
      <c r="W793" s="165"/>
      <c r="X793" s="165"/>
      <c r="Y793" s="165"/>
      <c r="Z793" s="165"/>
    </row>
    <row r="794" spans="16:26">
      <c r="P794" s="165"/>
      <c r="Q794" s="165"/>
      <c r="R794" s="165"/>
      <c r="S794" s="165"/>
      <c r="T794" s="165"/>
      <c r="U794" s="165"/>
      <c r="V794" s="165"/>
      <c r="W794" s="165"/>
      <c r="X794" s="165"/>
      <c r="Y794" s="165"/>
      <c r="Z794" s="165"/>
    </row>
    <row r="795" spans="16:26">
      <c r="P795" s="165"/>
      <c r="Q795" s="165"/>
      <c r="R795" s="165"/>
      <c r="S795" s="165"/>
      <c r="T795" s="165"/>
      <c r="U795" s="165"/>
      <c r="V795" s="165"/>
      <c r="W795" s="165"/>
      <c r="X795" s="165"/>
      <c r="Y795" s="165"/>
      <c r="Z795" s="165"/>
    </row>
    <row r="796" spans="16:26">
      <c r="P796" s="165"/>
      <c r="Q796" s="165"/>
      <c r="R796" s="165"/>
      <c r="S796" s="165"/>
      <c r="T796" s="165"/>
      <c r="U796" s="165"/>
      <c r="V796" s="165"/>
      <c r="W796" s="165"/>
      <c r="X796" s="165"/>
      <c r="Y796" s="165"/>
      <c r="Z796" s="165"/>
    </row>
    <row r="797" spans="16:26">
      <c r="P797" s="165"/>
      <c r="Q797" s="165"/>
      <c r="R797" s="165"/>
      <c r="S797" s="165"/>
      <c r="T797" s="165"/>
      <c r="U797" s="165"/>
      <c r="V797" s="165"/>
      <c r="W797" s="165"/>
      <c r="X797" s="165"/>
      <c r="Y797" s="165"/>
      <c r="Z797" s="165"/>
    </row>
    <row r="798" spans="16:26">
      <c r="P798" s="165"/>
      <c r="Q798" s="165"/>
      <c r="R798" s="165"/>
      <c r="S798" s="165"/>
      <c r="T798" s="165"/>
      <c r="U798" s="165"/>
      <c r="V798" s="165"/>
      <c r="W798" s="165"/>
      <c r="X798" s="165"/>
      <c r="Y798" s="165"/>
      <c r="Z798" s="165"/>
    </row>
    <row r="799" spans="16:26">
      <c r="P799" s="165"/>
      <c r="Q799" s="165"/>
      <c r="R799" s="165"/>
      <c r="S799" s="165"/>
      <c r="T799" s="165"/>
      <c r="U799" s="165"/>
      <c r="V799" s="165"/>
      <c r="W799" s="165"/>
      <c r="X799" s="165"/>
      <c r="Y799" s="165"/>
      <c r="Z799" s="165"/>
    </row>
    <row r="800" spans="16:26">
      <c r="P800" s="165"/>
      <c r="Q800" s="165"/>
      <c r="R800" s="165"/>
      <c r="S800" s="165"/>
      <c r="T800" s="165"/>
      <c r="U800" s="165"/>
      <c r="V800" s="165"/>
      <c r="W800" s="165"/>
      <c r="X800" s="165"/>
      <c r="Y800" s="165"/>
      <c r="Z800" s="165"/>
    </row>
    <row r="801" spans="16:26">
      <c r="P801" s="165"/>
      <c r="Q801" s="165"/>
      <c r="R801" s="165"/>
      <c r="S801" s="165"/>
      <c r="T801" s="165"/>
      <c r="U801" s="165"/>
      <c r="V801" s="165"/>
      <c r="W801" s="165"/>
      <c r="X801" s="165"/>
      <c r="Y801" s="165"/>
      <c r="Z801" s="165"/>
    </row>
    <row r="802" spans="16:26">
      <c r="P802" s="165"/>
      <c r="Q802" s="165"/>
      <c r="R802" s="165"/>
      <c r="S802" s="165"/>
      <c r="T802" s="165"/>
      <c r="U802" s="165"/>
      <c r="V802" s="165"/>
      <c r="W802" s="165"/>
      <c r="X802" s="165"/>
      <c r="Y802" s="165"/>
      <c r="Z802" s="165"/>
    </row>
    <row r="803" spans="16:26">
      <c r="P803" s="165"/>
      <c r="Q803" s="165"/>
      <c r="R803" s="165"/>
      <c r="S803" s="165"/>
      <c r="T803" s="165"/>
      <c r="U803" s="165"/>
      <c r="V803" s="165"/>
      <c r="W803" s="165"/>
      <c r="X803" s="165"/>
      <c r="Y803" s="165"/>
      <c r="Z803" s="165"/>
    </row>
    <row r="804" spans="16:26">
      <c r="P804" s="165"/>
      <c r="Q804" s="165"/>
      <c r="R804" s="165"/>
      <c r="S804" s="165"/>
      <c r="T804" s="165"/>
      <c r="U804" s="165"/>
      <c r="V804" s="165"/>
      <c r="W804" s="165"/>
      <c r="X804" s="165"/>
      <c r="Y804" s="165"/>
      <c r="Z804" s="165"/>
    </row>
    <row r="805" spans="16:26">
      <c r="P805" s="165"/>
      <c r="Q805" s="165"/>
      <c r="R805" s="165"/>
      <c r="S805" s="165"/>
      <c r="T805" s="165"/>
      <c r="U805" s="165"/>
      <c r="V805" s="165"/>
      <c r="W805" s="165"/>
      <c r="X805" s="165"/>
      <c r="Y805" s="165"/>
      <c r="Z805" s="165"/>
    </row>
    <row r="806" spans="16:26">
      <c r="P806" s="165"/>
      <c r="Q806" s="165"/>
      <c r="R806" s="165"/>
      <c r="S806" s="165"/>
      <c r="T806" s="165"/>
      <c r="U806" s="165"/>
      <c r="V806" s="165"/>
      <c r="W806" s="165"/>
      <c r="X806" s="165"/>
      <c r="Y806" s="165"/>
      <c r="Z806" s="165"/>
    </row>
    <row r="807" spans="16:26">
      <c r="P807" s="165"/>
      <c r="Q807" s="165"/>
      <c r="R807" s="165"/>
      <c r="S807" s="165"/>
      <c r="T807" s="165"/>
      <c r="U807" s="165"/>
      <c r="V807" s="165"/>
      <c r="W807" s="165"/>
      <c r="X807" s="165"/>
      <c r="Y807" s="165"/>
      <c r="Z807" s="165"/>
    </row>
    <row r="808" spans="16:26">
      <c r="P808" s="165"/>
      <c r="Q808" s="165"/>
      <c r="R808" s="165"/>
      <c r="S808" s="165"/>
      <c r="T808" s="165"/>
      <c r="U808" s="165"/>
      <c r="V808" s="165"/>
      <c r="W808" s="165"/>
      <c r="X808" s="165"/>
      <c r="Y808" s="165"/>
      <c r="Z808" s="165"/>
    </row>
    <row r="809" spans="16:26">
      <c r="P809" s="165"/>
      <c r="Q809" s="165"/>
      <c r="R809" s="165"/>
      <c r="S809" s="165"/>
      <c r="T809" s="165"/>
      <c r="U809" s="165"/>
      <c r="V809" s="165"/>
      <c r="W809" s="165"/>
      <c r="X809" s="165"/>
      <c r="Y809" s="165"/>
      <c r="Z809" s="165"/>
    </row>
    <row r="810" spans="16:26">
      <c r="P810" s="165"/>
      <c r="Q810" s="165"/>
      <c r="R810" s="165"/>
      <c r="S810" s="165"/>
      <c r="T810" s="165"/>
      <c r="U810" s="165"/>
      <c r="V810" s="165"/>
      <c r="W810" s="165"/>
      <c r="X810" s="165"/>
      <c r="Y810" s="165"/>
      <c r="Z810" s="165"/>
    </row>
    <row r="811" spans="16:26">
      <c r="P811" s="165"/>
      <c r="Q811" s="165"/>
      <c r="R811" s="165"/>
      <c r="S811" s="165"/>
      <c r="T811" s="165"/>
      <c r="U811" s="165"/>
      <c r="V811" s="165"/>
      <c r="W811" s="165"/>
      <c r="X811" s="165"/>
      <c r="Y811" s="165"/>
      <c r="Z811" s="165"/>
    </row>
    <row r="812" spans="16:26">
      <c r="P812" s="165"/>
      <c r="Q812" s="165"/>
      <c r="R812" s="165"/>
      <c r="S812" s="165"/>
      <c r="T812" s="165"/>
      <c r="U812" s="165"/>
      <c r="V812" s="165"/>
      <c r="W812" s="165"/>
      <c r="X812" s="165"/>
      <c r="Y812" s="165"/>
      <c r="Z812" s="165"/>
    </row>
    <row r="813" spans="16:26">
      <c r="P813" s="165"/>
      <c r="Q813" s="165"/>
      <c r="R813" s="165"/>
      <c r="S813" s="165"/>
      <c r="T813" s="165"/>
      <c r="U813" s="165"/>
      <c r="V813" s="165"/>
      <c r="W813" s="165"/>
      <c r="X813" s="165"/>
      <c r="Y813" s="165"/>
      <c r="Z813" s="165"/>
    </row>
    <row r="814" spans="16:26">
      <c r="P814" s="165"/>
      <c r="Q814" s="165"/>
      <c r="R814" s="165"/>
      <c r="S814" s="165"/>
      <c r="T814" s="165"/>
      <c r="U814" s="165"/>
      <c r="V814" s="165"/>
      <c r="W814" s="165"/>
      <c r="X814" s="165"/>
      <c r="Y814" s="165"/>
      <c r="Z814" s="165"/>
    </row>
    <row r="815" spans="16:26">
      <c r="P815" s="165"/>
      <c r="Q815" s="165"/>
      <c r="R815" s="165"/>
      <c r="S815" s="165"/>
      <c r="T815" s="165"/>
      <c r="U815" s="165"/>
      <c r="V815" s="165"/>
      <c r="W815" s="165"/>
      <c r="X815" s="165"/>
      <c r="Y815" s="165"/>
      <c r="Z815" s="165"/>
    </row>
    <row r="816" spans="16:26">
      <c r="P816" s="165"/>
      <c r="Q816" s="165"/>
      <c r="R816" s="165"/>
      <c r="S816" s="165"/>
      <c r="T816" s="165"/>
      <c r="U816" s="165"/>
      <c r="V816" s="165"/>
      <c r="W816" s="165"/>
      <c r="X816" s="165"/>
      <c r="Y816" s="165"/>
      <c r="Z816" s="165"/>
    </row>
    <row r="817" spans="16:26">
      <c r="P817" s="165"/>
      <c r="Q817" s="165"/>
      <c r="R817" s="165"/>
      <c r="S817" s="165"/>
      <c r="T817" s="165"/>
      <c r="U817" s="165"/>
      <c r="V817" s="165"/>
      <c r="W817" s="165"/>
      <c r="X817" s="165"/>
      <c r="Y817" s="165"/>
      <c r="Z817" s="165"/>
    </row>
    <row r="818" spans="16:26">
      <c r="P818" s="165"/>
      <c r="Q818" s="165"/>
      <c r="R818" s="165"/>
      <c r="S818" s="165"/>
      <c r="T818" s="165"/>
      <c r="U818" s="165"/>
      <c r="V818" s="165"/>
      <c r="W818" s="165"/>
      <c r="X818" s="165"/>
      <c r="Y818" s="165"/>
      <c r="Z818" s="165"/>
    </row>
    <row r="819" spans="16:26">
      <c r="P819" s="165"/>
      <c r="Q819" s="165"/>
      <c r="R819" s="165"/>
      <c r="S819" s="165"/>
      <c r="T819" s="165"/>
      <c r="U819" s="165"/>
      <c r="V819" s="165"/>
      <c r="W819" s="165"/>
      <c r="X819" s="165"/>
      <c r="Y819" s="165"/>
      <c r="Z819" s="165"/>
    </row>
    <row r="820" spans="16:26">
      <c r="P820" s="165"/>
      <c r="Q820" s="165"/>
      <c r="R820" s="165"/>
      <c r="S820" s="165"/>
      <c r="T820" s="165"/>
      <c r="U820" s="165"/>
      <c r="V820" s="165"/>
      <c r="W820" s="165"/>
      <c r="X820" s="165"/>
      <c r="Y820" s="165"/>
      <c r="Z820" s="165"/>
    </row>
    <row r="821" spans="16:26">
      <c r="P821" s="165"/>
      <c r="Q821" s="165"/>
      <c r="R821" s="165"/>
      <c r="S821" s="165"/>
      <c r="T821" s="165"/>
      <c r="U821" s="165"/>
      <c r="V821" s="165"/>
      <c r="W821" s="165"/>
      <c r="X821" s="165"/>
      <c r="Y821" s="165"/>
      <c r="Z821" s="165"/>
    </row>
    <row r="822" spans="16:26">
      <c r="P822" s="165"/>
      <c r="Q822" s="165"/>
      <c r="R822" s="165"/>
      <c r="S822" s="165"/>
      <c r="T822" s="165"/>
      <c r="U822" s="165"/>
      <c r="V822" s="165"/>
      <c r="W822" s="165"/>
      <c r="X822" s="165"/>
      <c r="Y822" s="165"/>
      <c r="Z822" s="165"/>
    </row>
    <row r="823" spans="16:26">
      <c r="P823" s="165"/>
      <c r="Q823" s="165"/>
      <c r="R823" s="165"/>
      <c r="S823" s="165"/>
      <c r="T823" s="165"/>
      <c r="U823" s="165"/>
      <c r="V823" s="165"/>
      <c r="W823" s="165"/>
      <c r="X823" s="165"/>
      <c r="Y823" s="165"/>
      <c r="Z823" s="165"/>
    </row>
    <row r="824" spans="16:26">
      <c r="P824" s="165"/>
      <c r="Q824" s="165"/>
      <c r="R824" s="165"/>
      <c r="S824" s="165"/>
      <c r="T824" s="165"/>
      <c r="U824" s="165"/>
      <c r="V824" s="165"/>
      <c r="W824" s="165"/>
      <c r="X824" s="165"/>
      <c r="Y824" s="165"/>
      <c r="Z824" s="165"/>
    </row>
    <row r="825" spans="16:26">
      <c r="P825" s="165"/>
      <c r="Q825" s="165"/>
      <c r="R825" s="165"/>
      <c r="S825" s="165"/>
      <c r="T825" s="165"/>
      <c r="U825" s="165"/>
      <c r="V825" s="165"/>
      <c r="W825" s="165"/>
      <c r="X825" s="165"/>
      <c r="Y825" s="165"/>
      <c r="Z825" s="165"/>
    </row>
    <row r="826" spans="16:26">
      <c r="P826" s="165"/>
      <c r="Q826" s="165"/>
      <c r="R826" s="165"/>
      <c r="S826" s="165"/>
      <c r="T826" s="165"/>
      <c r="U826" s="165"/>
      <c r="V826" s="165"/>
      <c r="W826" s="165"/>
      <c r="X826" s="165"/>
      <c r="Y826" s="165"/>
      <c r="Z826" s="165"/>
    </row>
    <row r="827" spans="16:26">
      <c r="P827" s="165"/>
      <c r="Q827" s="165"/>
      <c r="R827" s="165"/>
      <c r="S827" s="165"/>
      <c r="T827" s="165"/>
      <c r="U827" s="165"/>
      <c r="V827" s="165"/>
      <c r="W827" s="165"/>
      <c r="X827" s="165"/>
      <c r="Y827" s="165"/>
      <c r="Z827" s="165"/>
    </row>
    <row r="828" spans="16:26">
      <c r="P828" s="165"/>
      <c r="Q828" s="165"/>
      <c r="R828" s="165"/>
      <c r="S828" s="165"/>
      <c r="T828" s="165"/>
      <c r="U828" s="165"/>
      <c r="V828" s="165"/>
      <c r="W828" s="165"/>
      <c r="X828" s="165"/>
      <c r="Y828" s="165"/>
      <c r="Z828" s="165"/>
    </row>
    <row r="829" spans="16:26">
      <c r="P829" s="165"/>
      <c r="Q829" s="165"/>
      <c r="R829" s="165"/>
      <c r="S829" s="165"/>
      <c r="T829" s="165"/>
      <c r="U829" s="165"/>
      <c r="V829" s="165"/>
      <c r="W829" s="165"/>
      <c r="X829" s="165"/>
      <c r="Y829" s="165"/>
      <c r="Z829" s="165"/>
    </row>
    <row r="830" spans="16:26">
      <c r="P830" s="165"/>
      <c r="Q830" s="165"/>
      <c r="R830" s="165"/>
      <c r="S830" s="165"/>
      <c r="T830" s="165"/>
      <c r="U830" s="165"/>
      <c r="V830" s="165"/>
      <c r="W830" s="165"/>
      <c r="X830" s="165"/>
      <c r="Y830" s="165"/>
      <c r="Z830" s="165"/>
    </row>
    <row r="831" spans="16:26">
      <c r="P831" s="165"/>
      <c r="Q831" s="165"/>
      <c r="R831" s="165"/>
      <c r="S831" s="165"/>
      <c r="T831" s="165"/>
      <c r="U831" s="165"/>
      <c r="V831" s="165"/>
      <c r="W831" s="165"/>
      <c r="X831" s="165"/>
      <c r="Y831" s="165"/>
      <c r="Z831" s="165"/>
    </row>
    <row r="832" spans="16:26">
      <c r="P832" s="165"/>
      <c r="Q832" s="165"/>
      <c r="R832" s="165"/>
      <c r="S832" s="165"/>
      <c r="T832" s="165"/>
      <c r="U832" s="165"/>
      <c r="V832" s="165"/>
      <c r="W832" s="165"/>
      <c r="X832" s="165"/>
      <c r="Y832" s="165"/>
      <c r="Z832" s="165"/>
    </row>
    <row r="833" spans="16:26">
      <c r="P833" s="165"/>
      <c r="Q833" s="165"/>
      <c r="R833" s="165"/>
      <c r="S833" s="165"/>
      <c r="T833" s="165"/>
      <c r="U833" s="165"/>
      <c r="V833" s="165"/>
      <c r="W833" s="165"/>
      <c r="X833" s="165"/>
      <c r="Y833" s="165"/>
      <c r="Z833" s="165"/>
    </row>
    <row r="834" spans="16:26">
      <c r="P834" s="165"/>
      <c r="Q834" s="165"/>
      <c r="R834" s="165"/>
      <c r="S834" s="165"/>
      <c r="T834" s="165"/>
      <c r="U834" s="165"/>
      <c r="V834" s="165"/>
      <c r="W834" s="165"/>
      <c r="X834" s="165"/>
      <c r="Y834" s="165"/>
      <c r="Z834" s="165"/>
    </row>
    <row r="835" spans="16:26">
      <c r="P835" s="165"/>
      <c r="Q835" s="165"/>
      <c r="R835" s="165"/>
      <c r="S835" s="165"/>
      <c r="T835" s="165"/>
      <c r="U835" s="165"/>
      <c r="V835" s="165"/>
      <c r="W835" s="165"/>
      <c r="X835" s="165"/>
      <c r="Y835" s="165"/>
      <c r="Z835" s="165"/>
    </row>
    <row r="836" spans="16:26">
      <c r="P836" s="165"/>
      <c r="Q836" s="165"/>
      <c r="R836" s="165"/>
      <c r="S836" s="165"/>
      <c r="T836" s="165"/>
      <c r="U836" s="165"/>
      <c r="V836" s="165"/>
      <c r="W836" s="165"/>
      <c r="X836" s="165"/>
      <c r="Y836" s="165"/>
      <c r="Z836" s="165"/>
    </row>
    <row r="837" spans="16:26">
      <c r="P837" s="165"/>
      <c r="Q837" s="165"/>
      <c r="R837" s="165"/>
      <c r="S837" s="165"/>
      <c r="T837" s="165"/>
      <c r="U837" s="165"/>
      <c r="V837" s="165"/>
      <c r="W837" s="165"/>
      <c r="X837" s="165"/>
      <c r="Y837" s="165"/>
      <c r="Z837" s="165"/>
    </row>
    <row r="838" spans="16:26">
      <c r="P838" s="165"/>
      <c r="Q838" s="165"/>
      <c r="R838" s="165"/>
      <c r="S838" s="165"/>
      <c r="T838" s="165"/>
      <c r="U838" s="165"/>
      <c r="V838" s="165"/>
      <c r="W838" s="165"/>
      <c r="X838" s="165"/>
      <c r="Y838" s="165"/>
      <c r="Z838" s="165"/>
    </row>
    <row r="839" spans="16:26">
      <c r="P839" s="165"/>
      <c r="Q839" s="165"/>
      <c r="R839" s="165"/>
      <c r="S839" s="165"/>
      <c r="T839" s="165"/>
      <c r="U839" s="165"/>
      <c r="V839" s="165"/>
      <c r="W839" s="165"/>
      <c r="X839" s="165"/>
      <c r="Y839" s="165"/>
      <c r="Z839" s="165"/>
    </row>
    <row r="840" spans="16:26">
      <c r="P840" s="165"/>
      <c r="Q840" s="165"/>
      <c r="R840" s="165"/>
      <c r="S840" s="165"/>
      <c r="T840" s="165"/>
      <c r="U840" s="165"/>
      <c r="V840" s="165"/>
      <c r="W840" s="165"/>
      <c r="X840" s="165"/>
      <c r="Y840" s="165"/>
      <c r="Z840" s="165"/>
    </row>
    <row r="841" spans="16:26">
      <c r="P841" s="165"/>
      <c r="Q841" s="165"/>
      <c r="R841" s="165"/>
      <c r="S841" s="165"/>
      <c r="T841" s="165"/>
      <c r="U841" s="165"/>
      <c r="V841" s="165"/>
      <c r="W841" s="165"/>
      <c r="X841" s="165"/>
      <c r="Y841" s="165"/>
      <c r="Z841" s="165"/>
    </row>
    <row r="842" spans="16:26">
      <c r="P842" s="165"/>
      <c r="Q842" s="165"/>
      <c r="R842" s="165"/>
      <c r="S842" s="165"/>
      <c r="T842" s="165"/>
      <c r="U842" s="165"/>
      <c r="V842" s="165"/>
      <c r="W842" s="165"/>
      <c r="X842" s="165"/>
      <c r="Y842" s="165"/>
      <c r="Z842" s="165"/>
    </row>
    <row r="843" spans="16:26">
      <c r="P843" s="165"/>
      <c r="Q843" s="165"/>
      <c r="R843" s="165"/>
      <c r="S843" s="165"/>
      <c r="T843" s="165"/>
      <c r="U843" s="165"/>
      <c r="V843" s="165"/>
      <c r="W843" s="165"/>
      <c r="X843" s="165"/>
      <c r="Y843" s="165"/>
      <c r="Z843" s="165"/>
    </row>
    <row r="844" spans="16:26">
      <c r="P844" s="165"/>
      <c r="Q844" s="165"/>
      <c r="R844" s="165"/>
      <c r="S844" s="165"/>
      <c r="T844" s="165"/>
      <c r="U844" s="165"/>
      <c r="V844" s="165"/>
      <c r="W844" s="165"/>
      <c r="X844" s="165"/>
      <c r="Y844" s="165"/>
      <c r="Z844" s="165"/>
    </row>
    <row r="845" spans="16:26">
      <c r="P845" s="165"/>
      <c r="Q845" s="165"/>
      <c r="R845" s="165"/>
      <c r="S845" s="165"/>
      <c r="T845" s="165"/>
      <c r="U845" s="165"/>
      <c r="V845" s="165"/>
      <c r="W845" s="165"/>
      <c r="X845" s="165"/>
      <c r="Y845" s="165"/>
      <c r="Z845" s="165"/>
    </row>
    <row r="846" spans="16:26">
      <c r="P846" s="165"/>
      <c r="Q846" s="165"/>
      <c r="R846" s="165"/>
      <c r="S846" s="165"/>
      <c r="T846" s="165"/>
      <c r="U846" s="165"/>
      <c r="V846" s="165"/>
      <c r="W846" s="165"/>
      <c r="X846" s="165"/>
      <c r="Y846" s="165"/>
      <c r="Z846" s="165"/>
    </row>
    <row r="847" spans="16:26">
      <c r="P847" s="165"/>
      <c r="Q847" s="165"/>
      <c r="R847" s="165"/>
      <c r="S847" s="165"/>
      <c r="T847" s="165"/>
      <c r="U847" s="165"/>
      <c r="V847" s="165"/>
      <c r="W847" s="165"/>
      <c r="X847" s="165"/>
      <c r="Y847" s="165"/>
      <c r="Z847" s="165"/>
    </row>
    <row r="848" spans="16:26">
      <c r="P848" s="165"/>
      <c r="Q848" s="165"/>
      <c r="R848" s="165"/>
      <c r="S848" s="165"/>
      <c r="T848" s="165"/>
      <c r="U848" s="165"/>
      <c r="V848" s="165"/>
      <c r="W848" s="165"/>
      <c r="X848" s="165"/>
      <c r="Y848" s="165"/>
      <c r="Z848" s="165"/>
    </row>
    <row r="849" spans="16:26">
      <c r="P849" s="165"/>
      <c r="Q849" s="165"/>
      <c r="R849" s="165"/>
      <c r="S849" s="165"/>
      <c r="T849" s="165"/>
      <c r="U849" s="165"/>
      <c r="V849" s="165"/>
      <c r="W849" s="165"/>
      <c r="X849" s="165"/>
      <c r="Y849" s="165"/>
      <c r="Z849" s="165"/>
    </row>
    <row r="850" spans="16:26">
      <c r="P850" s="165"/>
      <c r="Q850" s="165"/>
      <c r="R850" s="165"/>
      <c r="S850" s="165"/>
      <c r="T850" s="165"/>
      <c r="U850" s="165"/>
      <c r="V850" s="165"/>
      <c r="W850" s="165"/>
      <c r="X850" s="165"/>
      <c r="Y850" s="165"/>
      <c r="Z850" s="165"/>
    </row>
    <row r="851" spans="16:26">
      <c r="P851" s="165"/>
      <c r="Q851" s="165"/>
      <c r="R851" s="165"/>
      <c r="S851" s="165"/>
      <c r="T851" s="165"/>
      <c r="U851" s="165"/>
      <c r="V851" s="165"/>
      <c r="W851" s="165"/>
      <c r="X851" s="165"/>
      <c r="Y851" s="165"/>
      <c r="Z851" s="165"/>
    </row>
    <row r="852" spans="16:26">
      <c r="P852" s="165"/>
      <c r="Q852" s="165"/>
      <c r="R852" s="165"/>
      <c r="S852" s="165"/>
      <c r="T852" s="165"/>
      <c r="U852" s="165"/>
      <c r="V852" s="165"/>
      <c r="W852" s="165"/>
      <c r="X852" s="165"/>
      <c r="Y852" s="165"/>
      <c r="Z852" s="165"/>
    </row>
    <row r="853" spans="16:26">
      <c r="P853" s="165"/>
      <c r="Q853" s="165"/>
      <c r="R853" s="165"/>
      <c r="S853" s="165"/>
      <c r="T853" s="165"/>
      <c r="U853" s="165"/>
      <c r="V853" s="165"/>
      <c r="W853" s="165"/>
      <c r="X853" s="165"/>
      <c r="Y853" s="165"/>
      <c r="Z853" s="165"/>
    </row>
    <row r="854" spans="16:26">
      <c r="P854" s="165"/>
      <c r="Q854" s="165"/>
      <c r="R854" s="165"/>
      <c r="S854" s="165"/>
      <c r="T854" s="165"/>
      <c r="U854" s="165"/>
      <c r="V854" s="165"/>
      <c r="W854" s="165"/>
      <c r="X854" s="165"/>
      <c r="Y854" s="165"/>
      <c r="Z854" s="165"/>
    </row>
    <row r="855" spans="16:26">
      <c r="P855" s="165"/>
      <c r="Q855" s="165"/>
      <c r="R855" s="165"/>
      <c r="S855" s="165"/>
      <c r="T855" s="165"/>
      <c r="U855" s="165"/>
      <c r="V855" s="165"/>
      <c r="W855" s="165"/>
      <c r="X855" s="165"/>
      <c r="Y855" s="165"/>
      <c r="Z855" s="165"/>
    </row>
    <row r="856" spans="16:26">
      <c r="P856" s="165"/>
      <c r="Q856" s="165"/>
      <c r="R856" s="165"/>
      <c r="S856" s="165"/>
      <c r="T856" s="165"/>
      <c r="U856" s="165"/>
      <c r="V856" s="165"/>
      <c r="W856" s="165"/>
      <c r="X856" s="165"/>
      <c r="Y856" s="165"/>
      <c r="Z856" s="165"/>
    </row>
    <row r="857" spans="16:26">
      <c r="P857" s="165"/>
      <c r="Q857" s="165"/>
      <c r="R857" s="165"/>
      <c r="S857" s="165"/>
      <c r="T857" s="165"/>
      <c r="U857" s="165"/>
      <c r="V857" s="165"/>
      <c r="W857" s="165"/>
      <c r="X857" s="165"/>
      <c r="Y857" s="165"/>
      <c r="Z857" s="165"/>
    </row>
    <row r="858" spans="16:26">
      <c r="P858" s="165"/>
      <c r="Q858" s="165"/>
      <c r="R858" s="165"/>
      <c r="S858" s="165"/>
      <c r="T858" s="165"/>
      <c r="U858" s="165"/>
      <c r="V858" s="165"/>
      <c r="W858" s="165"/>
      <c r="X858" s="165"/>
      <c r="Y858" s="165"/>
      <c r="Z858" s="165"/>
    </row>
    <row r="859" spans="16:26">
      <c r="P859" s="165"/>
      <c r="Q859" s="165"/>
      <c r="R859" s="165"/>
      <c r="S859" s="165"/>
      <c r="T859" s="165"/>
      <c r="U859" s="165"/>
      <c r="V859" s="165"/>
      <c r="W859" s="165"/>
      <c r="X859" s="165"/>
      <c r="Y859" s="165"/>
      <c r="Z859" s="165"/>
    </row>
    <row r="860" spans="16:26">
      <c r="P860" s="165"/>
      <c r="Q860" s="165"/>
      <c r="R860" s="165"/>
      <c r="S860" s="165"/>
      <c r="T860" s="165"/>
      <c r="U860" s="165"/>
      <c r="V860" s="165"/>
      <c r="W860" s="165"/>
      <c r="X860" s="165"/>
      <c r="Y860" s="165"/>
      <c r="Z860" s="165"/>
    </row>
    <row r="861" spans="16:26">
      <c r="P861" s="165"/>
      <c r="Q861" s="165"/>
      <c r="R861" s="165"/>
      <c r="S861" s="165"/>
      <c r="T861" s="165"/>
      <c r="U861" s="165"/>
      <c r="V861" s="165"/>
      <c r="W861" s="165"/>
      <c r="X861" s="165"/>
      <c r="Y861" s="165"/>
      <c r="Z861" s="165"/>
    </row>
    <row r="862" spans="16:26">
      <c r="P862" s="165"/>
      <c r="Q862" s="165"/>
      <c r="R862" s="165"/>
      <c r="S862" s="165"/>
      <c r="T862" s="165"/>
      <c r="U862" s="165"/>
      <c r="V862" s="165"/>
      <c r="W862" s="165"/>
      <c r="X862" s="165"/>
      <c r="Y862" s="165"/>
      <c r="Z862" s="165"/>
    </row>
    <row r="863" spans="16:26">
      <c r="P863" s="165"/>
      <c r="Q863" s="165"/>
      <c r="R863" s="165"/>
      <c r="S863" s="165"/>
      <c r="T863" s="165"/>
      <c r="U863" s="165"/>
      <c r="V863" s="165"/>
      <c r="W863" s="165"/>
      <c r="X863" s="165"/>
      <c r="Y863" s="165"/>
      <c r="Z863" s="165"/>
    </row>
    <row r="864" spans="16:26">
      <c r="P864" s="165"/>
      <c r="Q864" s="165"/>
      <c r="R864" s="165"/>
      <c r="S864" s="165"/>
      <c r="T864" s="165"/>
      <c r="U864" s="165"/>
      <c r="V864" s="165"/>
      <c r="W864" s="165"/>
      <c r="X864" s="165"/>
      <c r="Y864" s="165"/>
      <c r="Z864" s="165"/>
    </row>
    <row r="865" spans="16:26">
      <c r="P865" s="165"/>
      <c r="Q865" s="165"/>
      <c r="R865" s="165"/>
      <c r="S865" s="165"/>
      <c r="T865" s="165"/>
      <c r="U865" s="165"/>
      <c r="V865" s="165"/>
      <c r="W865" s="165"/>
      <c r="X865" s="165"/>
      <c r="Y865" s="165"/>
      <c r="Z865" s="165"/>
    </row>
    <row r="866" spans="16:26">
      <c r="P866" s="165"/>
      <c r="Q866" s="165"/>
      <c r="R866" s="165"/>
      <c r="S866" s="165"/>
      <c r="T866" s="165"/>
      <c r="U866" s="165"/>
      <c r="V866" s="165"/>
      <c r="W866" s="165"/>
      <c r="X866" s="165"/>
      <c r="Y866" s="165"/>
      <c r="Z866" s="165"/>
    </row>
    <row r="867" spans="16:26">
      <c r="P867" s="165"/>
      <c r="Q867" s="165"/>
      <c r="R867" s="165"/>
      <c r="S867" s="165"/>
      <c r="T867" s="165"/>
      <c r="U867" s="165"/>
      <c r="V867" s="165"/>
      <c r="W867" s="165"/>
      <c r="X867" s="165"/>
      <c r="Y867" s="165"/>
      <c r="Z867" s="165"/>
    </row>
    <row r="868" spans="16:26">
      <c r="P868" s="165"/>
      <c r="Q868" s="165"/>
      <c r="R868" s="165"/>
      <c r="S868" s="165"/>
      <c r="T868" s="165"/>
      <c r="U868" s="165"/>
      <c r="V868" s="165"/>
      <c r="W868" s="165"/>
      <c r="X868" s="165"/>
      <c r="Y868" s="165"/>
      <c r="Z868" s="165"/>
    </row>
    <row r="869" spans="16:26">
      <c r="P869" s="165"/>
      <c r="Q869" s="165"/>
      <c r="R869" s="165"/>
      <c r="S869" s="165"/>
      <c r="T869" s="165"/>
      <c r="U869" s="165"/>
      <c r="V869" s="165"/>
      <c r="W869" s="165"/>
      <c r="X869" s="165"/>
      <c r="Y869" s="165"/>
      <c r="Z869" s="165"/>
    </row>
    <row r="870" spans="16:26">
      <c r="P870" s="165"/>
      <c r="Q870" s="165"/>
      <c r="R870" s="165"/>
      <c r="S870" s="165"/>
      <c r="T870" s="165"/>
      <c r="U870" s="165"/>
      <c r="V870" s="165"/>
      <c r="W870" s="165"/>
      <c r="X870" s="165"/>
      <c r="Y870" s="165"/>
      <c r="Z870" s="165"/>
    </row>
    <row r="871" spans="16:26">
      <c r="P871" s="165"/>
      <c r="Q871" s="165"/>
      <c r="R871" s="165"/>
      <c r="S871" s="165"/>
      <c r="T871" s="165"/>
      <c r="U871" s="165"/>
      <c r="V871" s="165"/>
      <c r="W871" s="165"/>
      <c r="X871" s="165"/>
      <c r="Y871" s="165"/>
      <c r="Z871" s="165"/>
    </row>
    <row r="872" spans="16:26">
      <c r="P872" s="165"/>
      <c r="Q872" s="165"/>
      <c r="R872" s="165"/>
      <c r="S872" s="165"/>
      <c r="T872" s="165"/>
      <c r="U872" s="165"/>
      <c r="V872" s="165"/>
      <c r="W872" s="165"/>
      <c r="X872" s="165"/>
      <c r="Y872" s="165"/>
      <c r="Z872" s="165"/>
    </row>
    <row r="873" spans="16:26">
      <c r="P873" s="165"/>
      <c r="Q873" s="165"/>
      <c r="R873" s="165"/>
      <c r="S873" s="165"/>
      <c r="T873" s="165"/>
      <c r="U873" s="165"/>
      <c r="V873" s="165"/>
      <c r="W873" s="165"/>
      <c r="X873" s="165"/>
      <c r="Y873" s="165"/>
      <c r="Z873" s="165"/>
    </row>
    <row r="874" spans="16:26">
      <c r="P874" s="165"/>
      <c r="Q874" s="165"/>
      <c r="R874" s="165"/>
      <c r="S874" s="165"/>
      <c r="T874" s="165"/>
      <c r="U874" s="165"/>
      <c r="V874" s="165"/>
      <c r="W874" s="165"/>
      <c r="X874" s="165"/>
      <c r="Y874" s="165"/>
      <c r="Z874" s="165"/>
    </row>
    <row r="875" spans="16:26">
      <c r="P875" s="165"/>
      <c r="Q875" s="165"/>
      <c r="R875" s="165"/>
      <c r="S875" s="165"/>
      <c r="T875" s="165"/>
      <c r="U875" s="165"/>
      <c r="V875" s="165"/>
      <c r="W875" s="165"/>
      <c r="X875" s="165"/>
      <c r="Y875" s="165"/>
      <c r="Z875" s="165"/>
    </row>
    <row r="876" spans="16:26">
      <c r="P876" s="165"/>
      <c r="Q876" s="165"/>
      <c r="R876" s="165"/>
      <c r="S876" s="165"/>
      <c r="T876" s="165"/>
      <c r="U876" s="165"/>
      <c r="V876" s="165"/>
      <c r="W876" s="165"/>
      <c r="X876" s="165"/>
      <c r="Y876" s="165"/>
      <c r="Z876" s="165"/>
    </row>
    <row r="877" spans="16:26">
      <c r="P877" s="165"/>
      <c r="Q877" s="165"/>
      <c r="R877" s="165"/>
      <c r="S877" s="165"/>
      <c r="T877" s="165"/>
      <c r="U877" s="165"/>
      <c r="V877" s="165"/>
      <c r="W877" s="165"/>
      <c r="X877" s="165"/>
      <c r="Y877" s="165"/>
      <c r="Z877" s="165"/>
    </row>
    <row r="878" spans="16:26">
      <c r="P878" s="165"/>
      <c r="Q878" s="165"/>
      <c r="R878" s="165"/>
      <c r="S878" s="165"/>
      <c r="T878" s="165"/>
      <c r="U878" s="165"/>
      <c r="V878" s="165"/>
      <c r="W878" s="165"/>
      <c r="X878" s="165"/>
      <c r="Y878" s="165"/>
      <c r="Z878" s="165"/>
    </row>
    <row r="879" spans="16:26">
      <c r="P879" s="165"/>
      <c r="Q879" s="165"/>
      <c r="R879" s="165"/>
      <c r="S879" s="165"/>
      <c r="T879" s="165"/>
      <c r="U879" s="165"/>
      <c r="V879" s="165"/>
      <c r="W879" s="165"/>
      <c r="X879" s="165"/>
      <c r="Y879" s="165"/>
      <c r="Z879" s="165"/>
    </row>
    <row r="880" spans="16:26">
      <c r="P880" s="165"/>
      <c r="Q880" s="165"/>
      <c r="R880" s="165"/>
      <c r="S880" s="165"/>
      <c r="T880" s="165"/>
      <c r="U880" s="165"/>
      <c r="V880" s="165"/>
      <c r="W880" s="165"/>
      <c r="X880" s="165"/>
      <c r="Y880" s="165"/>
      <c r="Z880" s="165"/>
    </row>
    <row r="881" spans="16:26">
      <c r="P881" s="165"/>
      <c r="Q881" s="165"/>
      <c r="R881" s="165"/>
      <c r="S881" s="165"/>
      <c r="T881" s="165"/>
      <c r="U881" s="165"/>
      <c r="V881" s="165"/>
      <c r="W881" s="165"/>
      <c r="X881" s="165"/>
      <c r="Y881" s="165"/>
      <c r="Z881" s="165"/>
    </row>
    <row r="882" spans="16:26">
      <c r="P882" s="165"/>
      <c r="Q882" s="165"/>
      <c r="R882" s="165"/>
      <c r="S882" s="165"/>
      <c r="T882" s="165"/>
      <c r="U882" s="165"/>
      <c r="V882" s="165"/>
      <c r="W882" s="165"/>
      <c r="X882" s="165"/>
      <c r="Y882" s="165"/>
      <c r="Z882" s="165"/>
    </row>
    <row r="883" spans="16:26">
      <c r="P883" s="165"/>
      <c r="Q883" s="165"/>
      <c r="R883" s="165"/>
      <c r="S883" s="165"/>
      <c r="T883" s="165"/>
      <c r="U883" s="165"/>
      <c r="V883" s="165"/>
      <c r="W883" s="165"/>
      <c r="X883" s="165"/>
      <c r="Y883" s="165"/>
      <c r="Z883" s="165"/>
    </row>
    <row r="884" spans="16:26">
      <c r="P884" s="165"/>
      <c r="Q884" s="165"/>
      <c r="R884" s="165"/>
      <c r="S884" s="165"/>
      <c r="T884" s="165"/>
      <c r="U884" s="165"/>
      <c r="V884" s="165"/>
      <c r="W884" s="165"/>
      <c r="X884" s="165"/>
      <c r="Y884" s="165"/>
      <c r="Z884" s="165"/>
    </row>
  </sheetData>
  <sheetProtection password="83B1" sheet="1" objects="1" scenarios="1" selectLockedCells="1"/>
  <pageMargins left="0.75" right="0.75" top="1" bottom="1" header="0.5" footer="0.5"/>
  <pageSetup orientation="portrait" horizontalDpi="1200" verticalDpi="1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8"/>
  <sheetViews>
    <sheetView workbookViewId="0"/>
  </sheetViews>
  <sheetFormatPr defaultRowHeight="14.4"/>
  <sheetData>
    <row r="1" spans="1:21">
      <c r="A1" s="11"/>
      <c r="B1" s="11"/>
      <c r="C1" s="12"/>
      <c r="D1" s="11"/>
      <c r="E1" s="11"/>
      <c r="F1" s="11"/>
      <c r="G1" s="11"/>
      <c r="H1" s="11"/>
      <c r="I1" s="11"/>
      <c r="J1" s="11"/>
      <c r="K1" s="11"/>
      <c r="L1" s="11"/>
      <c r="M1" s="11"/>
      <c r="N1" s="11"/>
      <c r="O1" s="11"/>
      <c r="P1" s="11"/>
      <c r="Q1" s="11"/>
      <c r="R1" s="11"/>
      <c r="S1" s="11"/>
      <c r="T1" s="11"/>
    </row>
    <row r="2" spans="1:21" ht="15.6">
      <c r="A2" s="13"/>
      <c r="B2" s="13"/>
      <c r="C2" s="14"/>
      <c r="D2" s="339" t="s">
        <v>48</v>
      </c>
      <c r="E2" s="339"/>
      <c r="F2" s="339"/>
      <c r="G2" s="339"/>
      <c r="H2" s="339"/>
      <c r="I2" s="339"/>
      <c r="J2" s="339"/>
      <c r="K2" s="339"/>
      <c r="L2" s="339"/>
      <c r="M2" s="339"/>
      <c r="N2" s="339"/>
      <c r="O2" s="339"/>
      <c r="P2" s="339"/>
      <c r="Q2" s="339"/>
      <c r="R2" s="339"/>
      <c r="S2" s="339"/>
      <c r="T2" s="339"/>
    </row>
    <row r="3" spans="1:21" ht="15.6">
      <c r="A3" s="13"/>
      <c r="B3" s="13"/>
      <c r="C3" s="14"/>
      <c r="D3" s="339" t="s">
        <v>49</v>
      </c>
      <c r="E3" s="339"/>
      <c r="F3" s="339"/>
      <c r="G3" s="339"/>
      <c r="H3" s="339"/>
      <c r="I3" s="339"/>
      <c r="J3" s="339"/>
      <c r="K3" s="339"/>
      <c r="L3" s="339"/>
      <c r="M3" s="339"/>
      <c r="N3" s="339"/>
      <c r="O3" s="339"/>
      <c r="P3" s="339"/>
      <c r="Q3" s="339"/>
      <c r="R3" s="339"/>
      <c r="S3" s="339"/>
      <c r="T3" s="339"/>
    </row>
    <row r="4" spans="1:21" ht="15" thickBot="1">
      <c r="A4" s="13"/>
      <c r="B4" s="13"/>
      <c r="C4" s="14"/>
      <c r="D4" s="13"/>
      <c r="E4" s="13"/>
      <c r="F4" s="13"/>
      <c r="G4" s="13"/>
      <c r="H4" s="13"/>
      <c r="I4" s="13"/>
      <c r="J4" s="13"/>
      <c r="K4" s="13"/>
      <c r="L4" s="13"/>
      <c r="M4" s="13"/>
      <c r="N4" s="13"/>
      <c r="O4" s="13"/>
      <c r="P4" s="13"/>
      <c r="Q4" s="13"/>
      <c r="R4" s="13"/>
      <c r="S4" s="13"/>
      <c r="T4" s="13"/>
    </row>
    <row r="5" spans="1:21" ht="15.6" thickBot="1">
      <c r="A5" s="15"/>
      <c r="B5" s="15"/>
      <c r="C5" s="16"/>
      <c r="D5" s="340" t="s">
        <v>50</v>
      </c>
      <c r="E5" s="341"/>
      <c r="F5" s="341"/>
      <c r="G5" s="341"/>
      <c r="H5" s="341"/>
      <c r="I5" s="341"/>
      <c r="J5" s="341"/>
      <c r="K5" s="341"/>
      <c r="L5" s="341"/>
      <c r="M5" s="341"/>
      <c r="N5" s="341"/>
      <c r="O5" s="341"/>
      <c r="P5" s="341"/>
      <c r="Q5" s="341"/>
      <c r="R5" s="341"/>
      <c r="S5" s="341"/>
      <c r="T5" s="342"/>
    </row>
    <row r="6" spans="1:21" ht="15" thickBot="1">
      <c r="A6" s="17" t="s">
        <v>51</v>
      </c>
      <c r="B6" s="18" t="s">
        <v>52</v>
      </c>
      <c r="C6" s="19">
        <v>5</v>
      </c>
      <c r="D6" s="20" t="s">
        <v>53</v>
      </c>
      <c r="E6" s="21">
        <v>10</v>
      </c>
      <c r="F6" s="21" t="s">
        <v>54</v>
      </c>
      <c r="G6" s="21">
        <v>20</v>
      </c>
      <c r="H6" s="21">
        <v>30</v>
      </c>
      <c r="I6" s="21" t="s">
        <v>55</v>
      </c>
      <c r="J6" s="21">
        <v>40</v>
      </c>
      <c r="K6" s="21" t="s">
        <v>56</v>
      </c>
      <c r="L6" s="21">
        <v>60</v>
      </c>
      <c r="M6" s="21" t="s">
        <v>57</v>
      </c>
      <c r="N6" s="21">
        <v>80</v>
      </c>
      <c r="O6" s="21" t="s">
        <v>58</v>
      </c>
      <c r="P6" s="21">
        <v>100</v>
      </c>
      <c r="Q6" s="21">
        <v>120</v>
      </c>
      <c r="R6" s="21">
        <v>140</v>
      </c>
      <c r="S6" s="21">
        <v>160</v>
      </c>
      <c r="T6" s="22" t="s">
        <v>59</v>
      </c>
    </row>
    <row r="7" spans="1:21" ht="15" thickTop="1">
      <c r="A7" s="53" t="s">
        <v>61</v>
      </c>
      <c r="B7" s="23">
        <v>21.34</v>
      </c>
      <c r="C7" s="24">
        <v>1.65</v>
      </c>
      <c r="D7" s="25">
        <v>1.65</v>
      </c>
      <c r="E7" s="26">
        <v>2.11</v>
      </c>
      <c r="F7" s="26">
        <v>2.11</v>
      </c>
      <c r="G7" s="26"/>
      <c r="H7" s="27">
        <v>2.41</v>
      </c>
      <c r="I7" s="26">
        <v>2.77</v>
      </c>
      <c r="J7" s="26">
        <v>2.77</v>
      </c>
      <c r="K7" s="26">
        <v>2.77</v>
      </c>
      <c r="L7" s="26"/>
      <c r="M7" s="26">
        <v>3.73</v>
      </c>
      <c r="N7" s="26">
        <v>3.73</v>
      </c>
      <c r="O7" s="26">
        <v>3.73</v>
      </c>
      <c r="P7" s="26"/>
      <c r="Q7" s="26"/>
      <c r="R7" s="26"/>
      <c r="S7" s="26">
        <v>4.78</v>
      </c>
      <c r="T7" s="28">
        <v>7.47</v>
      </c>
      <c r="U7" s="59">
        <v>0.5</v>
      </c>
    </row>
    <row r="8" spans="1:21">
      <c r="A8" s="56" t="s">
        <v>65</v>
      </c>
      <c r="B8" s="29">
        <v>26.67</v>
      </c>
      <c r="C8" s="30">
        <v>1.65</v>
      </c>
      <c r="D8" s="31">
        <v>1.65</v>
      </c>
      <c r="E8" s="32">
        <v>2.11</v>
      </c>
      <c r="F8" s="32">
        <v>2.11</v>
      </c>
      <c r="G8" s="32"/>
      <c r="H8" s="33">
        <v>2.41</v>
      </c>
      <c r="I8" s="32">
        <v>2.87</v>
      </c>
      <c r="J8" s="32">
        <v>2.87</v>
      </c>
      <c r="K8" s="32">
        <v>2.87</v>
      </c>
      <c r="L8" s="32"/>
      <c r="M8" s="32">
        <v>3.91</v>
      </c>
      <c r="N8" s="32">
        <v>3.91</v>
      </c>
      <c r="O8" s="32">
        <v>3.91</v>
      </c>
      <c r="P8" s="32"/>
      <c r="Q8" s="32"/>
      <c r="R8" s="32"/>
      <c r="S8" s="32">
        <v>5.56</v>
      </c>
      <c r="T8" s="34">
        <v>7.82</v>
      </c>
      <c r="U8" s="59">
        <v>0.75</v>
      </c>
    </row>
    <row r="9" spans="1:21">
      <c r="A9" s="54">
        <v>1</v>
      </c>
      <c r="B9" s="29">
        <v>33.4</v>
      </c>
      <c r="C9" s="30">
        <v>1.65</v>
      </c>
      <c r="D9" s="31">
        <v>1.65</v>
      </c>
      <c r="E9" s="32">
        <v>2.77</v>
      </c>
      <c r="F9" s="32">
        <v>2.77</v>
      </c>
      <c r="G9" s="32"/>
      <c r="H9" s="35">
        <v>2.9</v>
      </c>
      <c r="I9" s="32">
        <v>3.38</v>
      </c>
      <c r="J9" s="32">
        <v>3.38</v>
      </c>
      <c r="K9" s="32">
        <v>3.38</v>
      </c>
      <c r="L9" s="32"/>
      <c r="M9" s="32">
        <v>4.55</v>
      </c>
      <c r="N9" s="32">
        <v>4.55</v>
      </c>
      <c r="O9" s="32">
        <v>4.55</v>
      </c>
      <c r="P9" s="32"/>
      <c r="Q9" s="32"/>
      <c r="R9" s="32"/>
      <c r="S9" s="32">
        <v>6.35</v>
      </c>
      <c r="T9" s="34">
        <v>9.09</v>
      </c>
      <c r="U9" s="59">
        <v>1</v>
      </c>
    </row>
    <row r="10" spans="1:21">
      <c r="A10" s="57" t="s">
        <v>66</v>
      </c>
      <c r="B10" s="29">
        <v>42.16</v>
      </c>
      <c r="C10" s="30">
        <v>1.65</v>
      </c>
      <c r="D10" s="31">
        <v>1.65</v>
      </c>
      <c r="E10" s="32">
        <v>2.77</v>
      </c>
      <c r="F10" s="32">
        <v>2.77</v>
      </c>
      <c r="G10" s="32"/>
      <c r="H10" s="33">
        <v>2.97</v>
      </c>
      <c r="I10" s="32">
        <v>3.56</v>
      </c>
      <c r="J10" s="32">
        <v>3.56</v>
      </c>
      <c r="K10" s="32">
        <v>3.56</v>
      </c>
      <c r="L10" s="32"/>
      <c r="M10" s="32">
        <v>4.8499999999999996</v>
      </c>
      <c r="N10" s="32">
        <v>4.8499999999999996</v>
      </c>
      <c r="O10" s="32">
        <v>4.8499999999999996</v>
      </c>
      <c r="P10" s="32"/>
      <c r="Q10" s="32"/>
      <c r="R10" s="32"/>
      <c r="S10" s="32">
        <v>6.35</v>
      </c>
      <c r="T10" s="36">
        <v>9.6999999999999993</v>
      </c>
      <c r="U10" s="59">
        <v>1.25</v>
      </c>
    </row>
    <row r="11" spans="1:21">
      <c r="A11" s="57" t="s">
        <v>62</v>
      </c>
      <c r="B11" s="29">
        <v>48.26</v>
      </c>
      <c r="C11" s="30">
        <v>1.65</v>
      </c>
      <c r="D11" s="31">
        <v>1.65</v>
      </c>
      <c r="E11" s="32">
        <v>2.77</v>
      </c>
      <c r="F11" s="32">
        <v>2.77</v>
      </c>
      <c r="G11" s="32"/>
      <c r="H11" s="33">
        <v>3.18</v>
      </c>
      <c r="I11" s="32">
        <v>3.68</v>
      </c>
      <c r="J11" s="32">
        <v>3.68</v>
      </c>
      <c r="K11" s="32">
        <v>3.68</v>
      </c>
      <c r="L11" s="32"/>
      <c r="M11" s="32">
        <v>5.08</v>
      </c>
      <c r="N11" s="32">
        <v>5.08</v>
      </c>
      <c r="O11" s="32">
        <v>5.08</v>
      </c>
      <c r="P11" s="32"/>
      <c r="Q11" s="32"/>
      <c r="R11" s="32"/>
      <c r="S11" s="32">
        <v>7.14</v>
      </c>
      <c r="T11" s="34">
        <v>10.15</v>
      </c>
      <c r="U11" s="59">
        <v>1.5</v>
      </c>
    </row>
    <row r="12" spans="1:21">
      <c r="A12" s="54">
        <v>2</v>
      </c>
      <c r="B12" s="29">
        <v>60.32</v>
      </c>
      <c r="C12" s="30">
        <v>1.65</v>
      </c>
      <c r="D12" s="31">
        <v>1.65</v>
      </c>
      <c r="E12" s="32">
        <v>2.77</v>
      </c>
      <c r="F12" s="32">
        <v>2.77</v>
      </c>
      <c r="G12" s="32"/>
      <c r="H12" s="33">
        <v>3.18</v>
      </c>
      <c r="I12" s="32">
        <v>3.91</v>
      </c>
      <c r="J12" s="32">
        <v>3.91</v>
      </c>
      <c r="K12" s="32">
        <v>3.91</v>
      </c>
      <c r="L12" s="32"/>
      <c r="M12" s="32">
        <v>5.54</v>
      </c>
      <c r="N12" s="32">
        <v>5.54</v>
      </c>
      <c r="O12" s="32">
        <v>5.54</v>
      </c>
      <c r="P12" s="32"/>
      <c r="Q12" s="32"/>
      <c r="R12" s="32"/>
      <c r="S12" s="32">
        <v>8.74</v>
      </c>
      <c r="T12" s="34">
        <v>11.07</v>
      </c>
      <c r="U12" s="59">
        <v>2</v>
      </c>
    </row>
    <row r="13" spans="1:21">
      <c r="A13" s="57" t="s">
        <v>63</v>
      </c>
      <c r="B13" s="29">
        <v>73.02</v>
      </c>
      <c r="C13" s="30">
        <v>2.11</v>
      </c>
      <c r="D13" s="31">
        <v>2.11</v>
      </c>
      <c r="E13" s="32">
        <v>3.05</v>
      </c>
      <c r="F13" s="32">
        <v>3.05</v>
      </c>
      <c r="G13" s="32"/>
      <c r="H13" s="33">
        <v>4.78</v>
      </c>
      <c r="I13" s="32">
        <v>5.16</v>
      </c>
      <c r="J13" s="32">
        <v>5.16</v>
      </c>
      <c r="K13" s="32">
        <v>5.16</v>
      </c>
      <c r="L13" s="32"/>
      <c r="M13" s="32">
        <v>7.01</v>
      </c>
      <c r="N13" s="32">
        <v>7.01</v>
      </c>
      <c r="O13" s="32">
        <v>7.01</v>
      </c>
      <c r="P13" s="32"/>
      <c r="Q13" s="32"/>
      <c r="R13" s="32"/>
      <c r="S13" s="32">
        <v>9.5299999999999994</v>
      </c>
      <c r="T13" s="34">
        <v>14.02</v>
      </c>
      <c r="U13" s="59">
        <v>2.5</v>
      </c>
    </row>
    <row r="14" spans="1:21">
      <c r="A14" s="55">
        <v>3</v>
      </c>
      <c r="B14" s="29">
        <v>88.9</v>
      </c>
      <c r="C14" s="30">
        <v>2.11</v>
      </c>
      <c r="D14" s="31">
        <v>2.11</v>
      </c>
      <c r="E14" s="32">
        <v>3.05</v>
      </c>
      <c r="F14" s="32">
        <v>3.05</v>
      </c>
      <c r="G14" s="32"/>
      <c r="H14" s="33">
        <v>4.78</v>
      </c>
      <c r="I14" s="32">
        <v>5.49</v>
      </c>
      <c r="J14" s="32">
        <v>5.49</v>
      </c>
      <c r="K14" s="32">
        <v>5.49</v>
      </c>
      <c r="L14" s="32"/>
      <c r="M14" s="32">
        <v>7.62</v>
      </c>
      <c r="N14" s="32">
        <v>7.62</v>
      </c>
      <c r="O14" s="32">
        <v>7.62</v>
      </c>
      <c r="P14" s="32"/>
      <c r="Q14" s="32"/>
      <c r="R14" s="32"/>
      <c r="S14" s="32">
        <v>11.13</v>
      </c>
      <c r="T14" s="34">
        <v>15.24</v>
      </c>
      <c r="U14" s="59">
        <v>3</v>
      </c>
    </row>
    <row r="15" spans="1:21">
      <c r="A15" s="58" t="s">
        <v>64</v>
      </c>
      <c r="B15" s="29">
        <v>101.6</v>
      </c>
      <c r="C15" s="30">
        <v>2.11</v>
      </c>
      <c r="D15" s="31">
        <v>2.11</v>
      </c>
      <c r="E15" s="32">
        <v>3.05</v>
      </c>
      <c r="F15" s="32">
        <v>3.05</v>
      </c>
      <c r="G15" s="32"/>
      <c r="H15" s="33">
        <v>4.78</v>
      </c>
      <c r="I15" s="32">
        <v>5.74</v>
      </c>
      <c r="J15" s="32">
        <v>5.74</v>
      </c>
      <c r="K15" s="32">
        <v>5.74</v>
      </c>
      <c r="L15" s="32"/>
      <c r="M15" s="32">
        <v>8.08</v>
      </c>
      <c r="N15" s="32">
        <v>8.08</v>
      </c>
      <c r="O15" s="32">
        <v>8.08</v>
      </c>
      <c r="P15" s="32"/>
      <c r="Q15" s="32"/>
      <c r="R15" s="32"/>
      <c r="S15" s="32"/>
      <c r="T15" s="34" t="s">
        <v>60</v>
      </c>
      <c r="U15" s="59">
        <v>3.5</v>
      </c>
    </row>
    <row r="16" spans="1:21">
      <c r="A16" s="37">
        <v>4</v>
      </c>
      <c r="B16" s="29">
        <v>114.3</v>
      </c>
      <c r="C16" s="30">
        <v>2.11</v>
      </c>
      <c r="D16" s="31">
        <v>2.11</v>
      </c>
      <c r="E16" s="32">
        <v>3.05</v>
      </c>
      <c r="F16" s="32">
        <v>3.05</v>
      </c>
      <c r="G16" s="32"/>
      <c r="H16" s="33">
        <v>4.78</v>
      </c>
      <c r="I16" s="32">
        <v>6.02</v>
      </c>
      <c r="J16" s="32">
        <v>6.02</v>
      </c>
      <c r="K16" s="32">
        <v>6.02</v>
      </c>
      <c r="L16" s="32"/>
      <c r="M16" s="32">
        <v>8.56</v>
      </c>
      <c r="N16" s="32">
        <v>8.56</v>
      </c>
      <c r="O16" s="32">
        <v>8.56</v>
      </c>
      <c r="P16" s="32"/>
      <c r="Q16" s="32">
        <v>11.13</v>
      </c>
      <c r="R16" s="32"/>
      <c r="S16" s="32">
        <v>13.49</v>
      </c>
      <c r="T16" s="34">
        <v>17.12</v>
      </c>
      <c r="U16" s="60">
        <v>4</v>
      </c>
    </row>
    <row r="17" spans="1:21">
      <c r="A17" s="37">
        <v>5</v>
      </c>
      <c r="B17" s="29">
        <v>141.30000000000001</v>
      </c>
      <c r="C17" s="30">
        <v>2.77</v>
      </c>
      <c r="D17" s="31">
        <v>2.77</v>
      </c>
      <c r="E17" s="38">
        <v>3.4</v>
      </c>
      <c r="F17" s="38">
        <v>3.4</v>
      </c>
      <c r="G17" s="32"/>
      <c r="H17" s="32"/>
      <c r="I17" s="32">
        <v>6.55</v>
      </c>
      <c r="J17" s="32">
        <v>6.55</v>
      </c>
      <c r="K17" s="32">
        <v>6.55</v>
      </c>
      <c r="L17" s="32"/>
      <c r="M17" s="32">
        <v>9.5299999999999994</v>
      </c>
      <c r="N17" s="32">
        <v>9.5299999999999994</v>
      </c>
      <c r="O17" s="32">
        <v>9.5299999999999994</v>
      </c>
      <c r="P17" s="32"/>
      <c r="Q17" s="38">
        <v>12.7</v>
      </c>
      <c r="R17" s="32"/>
      <c r="S17" s="32">
        <v>15.88</v>
      </c>
      <c r="T17" s="34">
        <v>19.05</v>
      </c>
      <c r="U17" s="60">
        <v>5</v>
      </c>
    </row>
    <row r="18" spans="1:21">
      <c r="A18" s="37">
        <v>6</v>
      </c>
      <c r="B18" s="29">
        <v>168.27</v>
      </c>
      <c r="C18" s="30">
        <v>2.77</v>
      </c>
      <c r="D18" s="31">
        <v>2.77</v>
      </c>
      <c r="E18" s="38">
        <v>3.4</v>
      </c>
      <c r="F18" s="38">
        <v>3.4</v>
      </c>
      <c r="G18" s="32"/>
      <c r="H18" s="32"/>
      <c r="I18" s="32">
        <v>7.11</v>
      </c>
      <c r="J18" s="32">
        <v>7.11</v>
      </c>
      <c r="K18" s="32">
        <v>7.11</v>
      </c>
      <c r="L18" s="32"/>
      <c r="M18" s="32">
        <v>10.97</v>
      </c>
      <c r="N18" s="32">
        <v>10.97</v>
      </c>
      <c r="O18" s="32">
        <v>10.97</v>
      </c>
      <c r="P18" s="32"/>
      <c r="Q18" s="32">
        <v>14.27</v>
      </c>
      <c r="R18" s="32"/>
      <c r="S18" s="32">
        <v>18.260000000000002</v>
      </c>
      <c r="T18" s="34">
        <v>21.95</v>
      </c>
      <c r="U18" s="60">
        <v>6</v>
      </c>
    </row>
    <row r="19" spans="1:21">
      <c r="A19" s="37">
        <v>8</v>
      </c>
      <c r="B19" s="29">
        <v>219.07</v>
      </c>
      <c r="C19" s="30">
        <v>2.77</v>
      </c>
      <c r="D19" s="31">
        <v>2.77</v>
      </c>
      <c r="E19" s="32">
        <v>3.76</v>
      </c>
      <c r="F19" s="32">
        <v>3.76</v>
      </c>
      <c r="G19" s="32">
        <v>6.35</v>
      </c>
      <c r="H19" s="32">
        <v>7.04</v>
      </c>
      <c r="I19" s="32">
        <v>8.18</v>
      </c>
      <c r="J19" s="32">
        <v>8.18</v>
      </c>
      <c r="K19" s="32">
        <v>8.18</v>
      </c>
      <c r="L19" s="32">
        <v>10.31</v>
      </c>
      <c r="M19" s="38">
        <v>12.7</v>
      </c>
      <c r="N19" s="38">
        <v>12.7</v>
      </c>
      <c r="O19" s="38">
        <v>12.7</v>
      </c>
      <c r="P19" s="32">
        <v>15.09</v>
      </c>
      <c r="Q19" s="32">
        <v>18.260000000000002</v>
      </c>
      <c r="R19" s="32">
        <v>20.62</v>
      </c>
      <c r="S19" s="32">
        <v>23.01</v>
      </c>
      <c r="T19" s="34">
        <v>22.23</v>
      </c>
      <c r="U19" s="60">
        <v>8</v>
      </c>
    </row>
    <row r="20" spans="1:21">
      <c r="A20" s="37">
        <v>10</v>
      </c>
      <c r="B20" s="29">
        <v>273.05</v>
      </c>
      <c r="C20" s="39">
        <v>3.4</v>
      </c>
      <c r="D20" s="40">
        <v>3.4</v>
      </c>
      <c r="E20" s="32">
        <v>4.1900000000000004</v>
      </c>
      <c r="F20" s="32">
        <v>4.1900000000000004</v>
      </c>
      <c r="G20" s="32">
        <v>6.35</v>
      </c>
      <c r="H20" s="38">
        <v>7.8</v>
      </c>
      <c r="I20" s="32">
        <v>9.27</v>
      </c>
      <c r="J20" s="32">
        <v>9.27</v>
      </c>
      <c r="K20" s="32">
        <v>9.27</v>
      </c>
      <c r="L20" s="38">
        <v>12.7</v>
      </c>
      <c r="M20" s="38">
        <v>12.7</v>
      </c>
      <c r="N20" s="32">
        <v>15.09</v>
      </c>
      <c r="O20" s="38">
        <v>12.7</v>
      </c>
      <c r="P20" s="32">
        <v>18.260000000000002</v>
      </c>
      <c r="Q20" s="32">
        <v>21.44</v>
      </c>
      <c r="R20" s="38">
        <v>25.4</v>
      </c>
      <c r="S20" s="32">
        <v>28.58</v>
      </c>
      <c r="T20" s="36">
        <v>25.4</v>
      </c>
      <c r="U20" s="60">
        <v>10</v>
      </c>
    </row>
    <row r="21" spans="1:21">
      <c r="A21" s="37">
        <v>12</v>
      </c>
      <c r="B21" s="29">
        <v>323.85000000000002</v>
      </c>
      <c r="C21" s="30">
        <v>3.96</v>
      </c>
      <c r="D21" s="31">
        <v>3.96</v>
      </c>
      <c r="E21" s="32">
        <v>4.57</v>
      </c>
      <c r="F21" s="32">
        <v>4.57</v>
      </c>
      <c r="G21" s="32">
        <v>6.35</v>
      </c>
      <c r="H21" s="32">
        <v>8.3800000000000008</v>
      </c>
      <c r="I21" s="32">
        <v>9.5299999999999994</v>
      </c>
      <c r="J21" s="32">
        <v>10.31</v>
      </c>
      <c r="K21" s="32">
        <v>9.5299999999999994</v>
      </c>
      <c r="L21" s="32">
        <v>14.27</v>
      </c>
      <c r="M21" s="38">
        <v>12.7</v>
      </c>
      <c r="N21" s="32">
        <v>17.48</v>
      </c>
      <c r="O21" s="38">
        <v>12.7</v>
      </c>
      <c r="P21" s="32">
        <v>21.44</v>
      </c>
      <c r="Q21" s="38">
        <v>25.4</v>
      </c>
      <c r="R21" s="32">
        <v>28.58</v>
      </c>
      <c r="S21" s="32">
        <v>33.32</v>
      </c>
      <c r="T21" s="36">
        <v>25.4</v>
      </c>
      <c r="U21" s="60">
        <v>12</v>
      </c>
    </row>
    <row r="22" spans="1:21">
      <c r="A22" s="37">
        <v>14</v>
      </c>
      <c r="B22" s="29">
        <v>355.6</v>
      </c>
      <c r="C22" s="30">
        <v>3.96</v>
      </c>
      <c r="D22" s="31">
        <v>3.96</v>
      </c>
      <c r="E22" s="32">
        <v>6.35</v>
      </c>
      <c r="F22" s="32">
        <v>4.78</v>
      </c>
      <c r="G22" s="32">
        <v>7.92</v>
      </c>
      <c r="H22" s="32">
        <v>9.5299999999999994</v>
      </c>
      <c r="I22" s="32">
        <v>9.5299999999999994</v>
      </c>
      <c r="J22" s="32">
        <v>11.13</v>
      </c>
      <c r="K22" s="32"/>
      <c r="L22" s="32">
        <v>15.09</v>
      </c>
      <c r="M22" s="38">
        <v>12.7</v>
      </c>
      <c r="N22" s="32">
        <v>19.05</v>
      </c>
      <c r="O22" s="32"/>
      <c r="P22" s="32">
        <v>23.83</v>
      </c>
      <c r="Q22" s="32">
        <v>27.79</v>
      </c>
      <c r="R22" s="32">
        <v>31.75</v>
      </c>
      <c r="S22" s="32">
        <v>35.71</v>
      </c>
      <c r="T22" s="34"/>
      <c r="U22" s="60">
        <v>14</v>
      </c>
    </row>
    <row r="23" spans="1:21">
      <c r="A23" s="37">
        <v>16</v>
      </c>
      <c r="B23" s="29">
        <v>406.4</v>
      </c>
      <c r="C23" s="30">
        <v>4.1900000000000004</v>
      </c>
      <c r="D23" s="31">
        <v>4.1900000000000004</v>
      </c>
      <c r="E23" s="32">
        <v>6.35</v>
      </c>
      <c r="F23" s="32">
        <v>4.78</v>
      </c>
      <c r="G23" s="32">
        <v>7.92</v>
      </c>
      <c r="H23" s="32">
        <v>9.5299999999999994</v>
      </c>
      <c r="I23" s="32">
        <v>9.5299999999999994</v>
      </c>
      <c r="J23" s="38">
        <v>12.7</v>
      </c>
      <c r="K23" s="32"/>
      <c r="L23" s="32">
        <v>16.66</v>
      </c>
      <c r="M23" s="38">
        <v>12.7</v>
      </c>
      <c r="N23" s="32">
        <v>21.44</v>
      </c>
      <c r="O23" s="32"/>
      <c r="P23" s="32">
        <v>26.19</v>
      </c>
      <c r="Q23" s="32">
        <v>30.96</v>
      </c>
      <c r="R23" s="32">
        <v>36.53</v>
      </c>
      <c r="S23" s="32">
        <v>40.49</v>
      </c>
      <c r="T23" s="34"/>
      <c r="U23" s="60">
        <v>16</v>
      </c>
    </row>
    <row r="24" spans="1:21">
      <c r="A24" s="37">
        <v>18</v>
      </c>
      <c r="B24" s="29">
        <v>457.2</v>
      </c>
      <c r="C24" s="30">
        <v>4.1900000000000004</v>
      </c>
      <c r="D24" s="31">
        <v>4.1900000000000004</v>
      </c>
      <c r="E24" s="32">
        <v>6.35</v>
      </c>
      <c r="F24" s="32">
        <v>4.78</v>
      </c>
      <c r="G24" s="32">
        <v>7.92</v>
      </c>
      <c r="H24" s="32">
        <v>11.13</v>
      </c>
      <c r="I24" s="32">
        <v>9.5299999999999994</v>
      </c>
      <c r="J24" s="32">
        <v>14.27</v>
      </c>
      <c r="K24" s="32"/>
      <c r="L24" s="32">
        <v>19.05</v>
      </c>
      <c r="M24" s="38">
        <v>12.7</v>
      </c>
      <c r="N24" s="32">
        <v>23.83</v>
      </c>
      <c r="O24" s="32"/>
      <c r="P24" s="32">
        <v>29.36</v>
      </c>
      <c r="Q24" s="32">
        <v>34.93</v>
      </c>
      <c r="R24" s="32">
        <v>39.67</v>
      </c>
      <c r="S24" s="32">
        <v>45.24</v>
      </c>
      <c r="T24" s="34"/>
      <c r="U24" s="61">
        <v>18</v>
      </c>
    </row>
    <row r="25" spans="1:21">
      <c r="A25" s="37">
        <v>20</v>
      </c>
      <c r="B25" s="29">
        <v>508</v>
      </c>
      <c r="C25" s="30">
        <v>4.78</v>
      </c>
      <c r="D25" s="31">
        <v>4.78</v>
      </c>
      <c r="E25" s="32">
        <v>6.35</v>
      </c>
      <c r="F25" s="32">
        <v>5.54</v>
      </c>
      <c r="G25" s="32">
        <v>9.5299999999999994</v>
      </c>
      <c r="H25" s="38">
        <v>12.7</v>
      </c>
      <c r="I25" s="32">
        <v>9.5299999999999994</v>
      </c>
      <c r="J25" s="32">
        <v>15.09</v>
      </c>
      <c r="K25" s="32"/>
      <c r="L25" s="32">
        <v>20.62</v>
      </c>
      <c r="M25" s="38">
        <v>12.7</v>
      </c>
      <c r="N25" s="32">
        <v>26.19</v>
      </c>
      <c r="O25" s="32"/>
      <c r="P25" s="32">
        <v>32.54</v>
      </c>
      <c r="Q25" s="38">
        <v>38.1</v>
      </c>
      <c r="R25" s="32">
        <v>44.45</v>
      </c>
      <c r="S25" s="32">
        <v>50.01</v>
      </c>
      <c r="T25" s="34"/>
      <c r="U25" s="61">
        <v>20</v>
      </c>
    </row>
    <row r="26" spans="1:21">
      <c r="A26" s="37">
        <v>22</v>
      </c>
      <c r="B26" s="29">
        <v>558.79999999999995</v>
      </c>
      <c r="C26" s="30">
        <v>4.78</v>
      </c>
      <c r="D26" s="31">
        <v>4.78</v>
      </c>
      <c r="E26" s="32">
        <v>6.35</v>
      </c>
      <c r="F26" s="32">
        <v>5.54</v>
      </c>
      <c r="G26" s="32">
        <v>9.5299999999999994</v>
      </c>
      <c r="H26" s="38">
        <v>12.7</v>
      </c>
      <c r="I26" s="32">
        <v>9.5299999999999994</v>
      </c>
      <c r="J26" s="33"/>
      <c r="K26" s="33"/>
      <c r="L26" s="32">
        <v>22.23</v>
      </c>
      <c r="M26" s="38">
        <v>12.7</v>
      </c>
      <c r="N26" s="32">
        <v>28.58</v>
      </c>
      <c r="O26" s="32"/>
      <c r="P26" s="32">
        <v>34.93</v>
      </c>
      <c r="Q26" s="32">
        <v>41.28</v>
      </c>
      <c r="R26" s="32">
        <v>47.63</v>
      </c>
      <c r="S26" s="32">
        <v>53.98</v>
      </c>
      <c r="T26" s="34"/>
      <c r="U26" s="61">
        <v>22</v>
      </c>
    </row>
    <row r="27" spans="1:21">
      <c r="A27" s="37">
        <v>24</v>
      </c>
      <c r="B27" s="29">
        <v>609.6</v>
      </c>
      <c r="C27" s="30">
        <v>5.54</v>
      </c>
      <c r="D27" s="31">
        <v>5.54</v>
      </c>
      <c r="E27" s="32">
        <v>6.35</v>
      </c>
      <c r="F27" s="32">
        <v>6.35</v>
      </c>
      <c r="G27" s="32">
        <v>9.5299999999999994</v>
      </c>
      <c r="H27" s="32">
        <v>14.27</v>
      </c>
      <c r="I27" s="32">
        <v>9.5299999999999994</v>
      </c>
      <c r="J27" s="32">
        <v>17.48</v>
      </c>
      <c r="K27" s="32"/>
      <c r="L27" s="32">
        <v>24.61</v>
      </c>
      <c r="M27" s="38">
        <v>12.7</v>
      </c>
      <c r="N27" s="32">
        <v>30.96</v>
      </c>
      <c r="O27" s="32"/>
      <c r="P27" s="32">
        <v>38.89</v>
      </c>
      <c r="Q27" s="32">
        <v>46.02</v>
      </c>
      <c r="R27" s="32">
        <v>52.37</v>
      </c>
      <c r="S27" s="32">
        <v>59.54</v>
      </c>
      <c r="T27" s="34"/>
      <c r="U27" s="61">
        <v>24</v>
      </c>
    </row>
    <row r="28" spans="1:21">
      <c r="A28" s="37">
        <v>26</v>
      </c>
      <c r="B28" s="29">
        <v>660.4</v>
      </c>
      <c r="C28" s="30"/>
      <c r="D28" s="31"/>
      <c r="E28" s="32">
        <v>7.92</v>
      </c>
      <c r="F28" s="32"/>
      <c r="G28" s="38">
        <v>12.7</v>
      </c>
      <c r="H28" s="32"/>
      <c r="I28" s="32">
        <v>9.5299999999999994</v>
      </c>
      <c r="J28" s="32"/>
      <c r="K28" s="32"/>
      <c r="L28" s="32"/>
      <c r="M28" s="38">
        <v>12.7</v>
      </c>
      <c r="N28" s="32"/>
      <c r="O28" s="32"/>
      <c r="P28" s="32"/>
      <c r="Q28" s="32"/>
      <c r="R28" s="32"/>
      <c r="S28" s="32"/>
      <c r="T28" s="34"/>
      <c r="U28" s="61">
        <v>26</v>
      </c>
    </row>
    <row r="29" spans="1:21">
      <c r="A29" s="37">
        <v>28</v>
      </c>
      <c r="B29" s="29">
        <v>711.2</v>
      </c>
      <c r="C29" s="30"/>
      <c r="D29" s="31"/>
      <c r="E29" s="32">
        <v>7.92</v>
      </c>
      <c r="F29" s="32"/>
      <c r="G29" s="38">
        <v>12.7</v>
      </c>
      <c r="H29" s="32">
        <v>15.88</v>
      </c>
      <c r="I29" s="32">
        <v>9.5299999999999994</v>
      </c>
      <c r="J29" s="32"/>
      <c r="K29" s="32"/>
      <c r="L29" s="32"/>
      <c r="M29" s="38">
        <v>12.7</v>
      </c>
      <c r="N29" s="32"/>
      <c r="O29" s="32"/>
      <c r="P29" s="32"/>
      <c r="Q29" s="32"/>
      <c r="R29" s="32"/>
      <c r="S29" s="32"/>
      <c r="T29" s="34"/>
      <c r="U29" s="61">
        <v>28</v>
      </c>
    </row>
    <row r="30" spans="1:21">
      <c r="A30" s="37">
        <v>30</v>
      </c>
      <c r="B30" s="29">
        <v>762</v>
      </c>
      <c r="C30" s="30">
        <v>6.35</v>
      </c>
      <c r="D30" s="31">
        <v>6.35</v>
      </c>
      <c r="E30" s="32">
        <v>7.92</v>
      </c>
      <c r="F30" s="32">
        <v>7.92</v>
      </c>
      <c r="G30" s="38">
        <v>12.7</v>
      </c>
      <c r="H30" s="32">
        <v>15.88</v>
      </c>
      <c r="I30" s="32">
        <v>9.5299999999999994</v>
      </c>
      <c r="J30" s="32"/>
      <c r="K30" s="32"/>
      <c r="L30" s="32"/>
      <c r="M30" s="38">
        <v>12.7</v>
      </c>
      <c r="N30" s="32"/>
      <c r="O30" s="32"/>
      <c r="P30" s="32"/>
      <c r="Q30" s="32"/>
      <c r="R30" s="32"/>
      <c r="S30" s="32"/>
      <c r="T30" s="34"/>
      <c r="U30" s="61">
        <v>30</v>
      </c>
    </row>
    <row r="31" spans="1:21">
      <c r="A31" s="37">
        <v>32</v>
      </c>
      <c r="B31" s="29">
        <v>812.8</v>
      </c>
      <c r="C31" s="30"/>
      <c r="D31" s="31"/>
      <c r="E31" s="32">
        <v>7.92</v>
      </c>
      <c r="F31" s="32"/>
      <c r="G31" s="38">
        <v>12.7</v>
      </c>
      <c r="H31" s="32">
        <v>15.88</v>
      </c>
      <c r="I31" s="32">
        <v>9.5299999999999994</v>
      </c>
      <c r="J31" s="32">
        <v>17.48</v>
      </c>
      <c r="K31" s="32"/>
      <c r="L31" s="32"/>
      <c r="M31" s="38">
        <v>12.7</v>
      </c>
      <c r="N31" s="32"/>
      <c r="O31" s="32"/>
      <c r="P31" s="32"/>
      <c r="Q31" s="32"/>
      <c r="R31" s="32"/>
      <c r="S31" s="32"/>
      <c r="T31" s="34"/>
      <c r="U31" s="61">
        <v>32</v>
      </c>
    </row>
    <row r="32" spans="1:21">
      <c r="A32" s="37">
        <v>34</v>
      </c>
      <c r="B32" s="29">
        <v>863.6</v>
      </c>
      <c r="C32" s="30"/>
      <c r="D32" s="31"/>
      <c r="E32" s="32">
        <v>7.92</v>
      </c>
      <c r="F32" s="32"/>
      <c r="G32" s="38">
        <v>12.7</v>
      </c>
      <c r="H32" s="32">
        <v>15.88</v>
      </c>
      <c r="I32" s="32">
        <v>9.5299999999999994</v>
      </c>
      <c r="J32" s="32">
        <v>17.48</v>
      </c>
      <c r="K32" s="32"/>
      <c r="L32" s="32"/>
      <c r="M32" s="38">
        <v>12.7</v>
      </c>
      <c r="N32" s="32"/>
      <c r="O32" s="32"/>
      <c r="P32" s="32"/>
      <c r="Q32" s="32"/>
      <c r="R32" s="32"/>
      <c r="S32" s="32"/>
      <c r="T32" s="34"/>
      <c r="U32" s="61">
        <v>34</v>
      </c>
    </row>
    <row r="33" spans="1:21">
      <c r="A33" s="37">
        <v>36</v>
      </c>
      <c r="B33" s="29">
        <v>914.4</v>
      </c>
      <c r="C33" s="30"/>
      <c r="D33" s="31"/>
      <c r="E33" s="32">
        <v>7.92</v>
      </c>
      <c r="F33" s="32"/>
      <c r="G33" s="38">
        <v>12.7</v>
      </c>
      <c r="H33" s="32">
        <v>15.88</v>
      </c>
      <c r="I33" s="32">
        <v>9.5299999999999994</v>
      </c>
      <c r="J33" s="32">
        <v>19.05</v>
      </c>
      <c r="K33" s="32"/>
      <c r="L33" s="32"/>
      <c r="M33" s="38">
        <v>12.7</v>
      </c>
      <c r="N33" s="32"/>
      <c r="O33" s="32"/>
      <c r="P33" s="32"/>
      <c r="Q33" s="32"/>
      <c r="R33" s="32"/>
      <c r="S33" s="32"/>
      <c r="T33" s="34"/>
      <c r="U33" s="61">
        <v>36</v>
      </c>
    </row>
    <row r="34" spans="1:21">
      <c r="A34" s="41">
        <v>38</v>
      </c>
      <c r="B34" s="42">
        <v>965.2</v>
      </c>
      <c r="C34" s="43"/>
      <c r="D34" s="44"/>
      <c r="E34" s="45"/>
      <c r="F34" s="45"/>
      <c r="G34" s="45"/>
      <c r="H34" s="45"/>
      <c r="I34" s="32">
        <v>9.5299999999999994</v>
      </c>
      <c r="J34" s="45"/>
      <c r="K34" s="45"/>
      <c r="L34" s="45"/>
      <c r="M34" s="38">
        <v>12.7</v>
      </c>
      <c r="N34" s="45"/>
      <c r="O34" s="45"/>
      <c r="P34" s="45"/>
      <c r="Q34" s="45"/>
      <c r="R34" s="45"/>
      <c r="S34" s="45"/>
      <c r="T34" s="46"/>
      <c r="U34" s="61">
        <v>38</v>
      </c>
    </row>
    <row r="35" spans="1:21">
      <c r="A35" s="37">
        <v>40</v>
      </c>
      <c r="B35" s="29">
        <v>1016</v>
      </c>
      <c r="C35" s="30"/>
      <c r="D35" s="44"/>
      <c r="E35" s="45"/>
      <c r="F35" s="45"/>
      <c r="G35" s="45"/>
      <c r="H35" s="45"/>
      <c r="I35" s="32">
        <v>9.5299999999999994</v>
      </c>
      <c r="J35" s="45"/>
      <c r="K35" s="45"/>
      <c r="L35" s="45"/>
      <c r="M35" s="38">
        <v>12.7</v>
      </c>
      <c r="N35" s="45"/>
      <c r="O35" s="45"/>
      <c r="P35" s="45"/>
      <c r="Q35" s="45"/>
      <c r="R35" s="45"/>
      <c r="S35" s="45"/>
      <c r="T35" s="46"/>
      <c r="U35" s="61">
        <v>40</v>
      </c>
    </row>
    <row r="36" spans="1:21">
      <c r="A36" s="37">
        <v>42</v>
      </c>
      <c r="B36" s="29">
        <v>1066.8</v>
      </c>
      <c r="C36" s="30"/>
      <c r="D36" s="44"/>
      <c r="E36" s="45"/>
      <c r="F36" s="45"/>
      <c r="G36" s="45"/>
      <c r="H36" s="45"/>
      <c r="I36" s="32">
        <v>9.5299999999999994</v>
      </c>
      <c r="J36" s="45"/>
      <c r="K36" s="45"/>
      <c r="L36" s="45"/>
      <c r="M36" s="38">
        <v>12.7</v>
      </c>
      <c r="N36" s="45"/>
      <c r="O36" s="45"/>
      <c r="P36" s="45"/>
      <c r="Q36" s="45"/>
      <c r="R36" s="45"/>
      <c r="S36" s="45"/>
      <c r="T36" s="46"/>
      <c r="U36" s="61">
        <v>42</v>
      </c>
    </row>
    <row r="37" spans="1:21">
      <c r="A37" s="37">
        <v>44</v>
      </c>
      <c r="B37" s="29">
        <v>1117.5999999999999</v>
      </c>
      <c r="C37" s="30"/>
      <c r="D37" s="44"/>
      <c r="E37" s="45"/>
      <c r="F37" s="45"/>
      <c r="G37" s="45"/>
      <c r="H37" s="45"/>
      <c r="I37" s="32">
        <v>9.5299999999999994</v>
      </c>
      <c r="J37" s="45"/>
      <c r="K37" s="45"/>
      <c r="L37" s="45"/>
      <c r="M37" s="38">
        <v>12.7</v>
      </c>
      <c r="N37" s="45"/>
      <c r="O37" s="45"/>
      <c r="P37" s="45"/>
      <c r="Q37" s="45"/>
      <c r="R37" s="45"/>
      <c r="S37" s="45"/>
      <c r="T37" s="46"/>
      <c r="U37" s="61">
        <v>44</v>
      </c>
    </row>
    <row r="38" spans="1:21">
      <c r="A38" s="37">
        <v>46</v>
      </c>
      <c r="B38" s="29">
        <v>1168.4000000000001</v>
      </c>
      <c r="C38" s="30"/>
      <c r="D38" s="44"/>
      <c r="E38" s="45"/>
      <c r="F38" s="45"/>
      <c r="G38" s="45"/>
      <c r="H38" s="45"/>
      <c r="I38" s="32">
        <v>9.5299999999999994</v>
      </c>
      <c r="J38" s="45"/>
      <c r="K38" s="45"/>
      <c r="L38" s="45"/>
      <c r="M38" s="38">
        <v>12.7</v>
      </c>
      <c r="N38" s="45"/>
      <c r="O38" s="45"/>
      <c r="P38" s="45"/>
      <c r="Q38" s="45"/>
      <c r="R38" s="45"/>
      <c r="S38" s="45"/>
      <c r="T38" s="46"/>
      <c r="U38" s="61">
        <v>46</v>
      </c>
    </row>
    <row r="39" spans="1:21">
      <c r="A39" s="37">
        <v>48</v>
      </c>
      <c r="B39" s="29">
        <v>1219.2</v>
      </c>
      <c r="C39" s="30"/>
      <c r="D39" s="44"/>
      <c r="E39" s="45"/>
      <c r="F39" s="45"/>
      <c r="G39" s="45"/>
      <c r="H39" s="45"/>
      <c r="I39" s="32">
        <v>9.5299999999999994</v>
      </c>
      <c r="J39" s="45"/>
      <c r="K39" s="45"/>
      <c r="L39" s="45"/>
      <c r="M39" s="38">
        <v>12.7</v>
      </c>
      <c r="N39" s="45"/>
      <c r="O39" s="45"/>
      <c r="P39" s="45"/>
      <c r="Q39" s="45"/>
      <c r="R39" s="45"/>
      <c r="S39" s="45"/>
      <c r="T39" s="46"/>
      <c r="U39" s="61">
        <v>48</v>
      </c>
    </row>
    <row r="40" spans="1:21">
      <c r="A40" s="37">
        <v>52</v>
      </c>
      <c r="B40" s="29">
        <v>1320.8</v>
      </c>
      <c r="C40" s="30"/>
      <c r="D40" s="44"/>
      <c r="E40" s="45"/>
      <c r="F40" s="45"/>
      <c r="G40" s="45"/>
      <c r="H40" s="45"/>
      <c r="I40" s="45"/>
      <c r="J40" s="45"/>
      <c r="K40" s="45"/>
      <c r="L40" s="45"/>
      <c r="M40" s="45"/>
      <c r="N40" s="45"/>
      <c r="O40" s="45"/>
      <c r="P40" s="45"/>
      <c r="Q40" s="45"/>
      <c r="R40" s="45"/>
      <c r="S40" s="45"/>
      <c r="T40" s="46"/>
      <c r="U40" s="61">
        <v>52</v>
      </c>
    </row>
    <row r="41" spans="1:21">
      <c r="A41" s="37">
        <v>56</v>
      </c>
      <c r="B41" s="29">
        <v>1422.4</v>
      </c>
      <c r="C41" s="30"/>
      <c r="D41" s="44"/>
      <c r="E41" s="45"/>
      <c r="F41" s="45"/>
      <c r="G41" s="45"/>
      <c r="H41" s="45"/>
      <c r="I41" s="45"/>
      <c r="J41" s="45"/>
      <c r="K41" s="45"/>
      <c r="L41" s="45"/>
      <c r="M41" s="45"/>
      <c r="N41" s="45"/>
      <c r="O41" s="45"/>
      <c r="P41" s="45"/>
      <c r="Q41" s="45"/>
      <c r="R41" s="45"/>
      <c r="S41" s="45"/>
      <c r="T41" s="46"/>
      <c r="U41" s="61">
        <v>56</v>
      </c>
    </row>
    <row r="42" spans="1:21">
      <c r="A42" s="37">
        <v>60</v>
      </c>
      <c r="B42" s="29">
        <v>1524</v>
      </c>
      <c r="C42" s="30"/>
      <c r="D42" s="44"/>
      <c r="E42" s="45"/>
      <c r="F42" s="45"/>
      <c r="G42" s="45"/>
      <c r="H42" s="45"/>
      <c r="I42" s="45"/>
      <c r="J42" s="45"/>
      <c r="K42" s="45"/>
      <c r="L42" s="45"/>
      <c r="M42" s="45"/>
      <c r="N42" s="45"/>
      <c r="O42" s="45"/>
      <c r="P42" s="45"/>
      <c r="Q42" s="45"/>
      <c r="R42" s="45"/>
      <c r="S42" s="45"/>
      <c r="T42" s="46"/>
      <c r="U42" s="61">
        <v>60</v>
      </c>
    </row>
    <row r="43" spans="1:21">
      <c r="A43" s="37">
        <v>64</v>
      </c>
      <c r="B43" s="29">
        <v>1625.6</v>
      </c>
      <c r="C43" s="30"/>
      <c r="D43" s="44"/>
      <c r="E43" s="45"/>
      <c r="F43" s="45"/>
      <c r="G43" s="45"/>
      <c r="H43" s="45"/>
      <c r="I43" s="45"/>
      <c r="J43" s="45"/>
      <c r="K43" s="45"/>
      <c r="L43" s="45"/>
      <c r="M43" s="45"/>
      <c r="N43" s="45"/>
      <c r="O43" s="45"/>
      <c r="P43" s="45"/>
      <c r="Q43" s="45"/>
      <c r="R43" s="45"/>
      <c r="S43" s="45"/>
      <c r="T43" s="46"/>
      <c r="U43" s="61">
        <v>64</v>
      </c>
    </row>
    <row r="44" spans="1:21">
      <c r="A44" s="37">
        <v>66</v>
      </c>
      <c r="B44" s="29">
        <v>1676.4</v>
      </c>
      <c r="C44" s="30"/>
      <c r="D44" s="44"/>
      <c r="E44" s="45"/>
      <c r="F44" s="45"/>
      <c r="G44" s="45"/>
      <c r="H44" s="45"/>
      <c r="I44" s="45"/>
      <c r="J44" s="45"/>
      <c r="K44" s="45"/>
      <c r="L44" s="45"/>
      <c r="M44" s="45"/>
      <c r="N44" s="45"/>
      <c r="O44" s="45"/>
      <c r="P44" s="45"/>
      <c r="Q44" s="45"/>
      <c r="R44" s="45"/>
      <c r="S44" s="45"/>
      <c r="T44" s="46"/>
      <c r="U44" s="61">
        <v>66</v>
      </c>
    </row>
    <row r="45" spans="1:21">
      <c r="A45" s="37">
        <v>68</v>
      </c>
      <c r="B45" s="29">
        <v>1727.2</v>
      </c>
      <c r="C45" s="30"/>
      <c r="D45" s="44"/>
      <c r="E45" s="45"/>
      <c r="F45" s="45"/>
      <c r="G45" s="45"/>
      <c r="H45" s="45"/>
      <c r="I45" s="45"/>
      <c r="J45" s="45"/>
      <c r="K45" s="45"/>
      <c r="L45" s="45"/>
      <c r="M45" s="45"/>
      <c r="N45" s="45"/>
      <c r="O45" s="45"/>
      <c r="P45" s="45"/>
      <c r="Q45" s="45"/>
      <c r="R45" s="45"/>
      <c r="S45" s="45"/>
      <c r="T45" s="46"/>
      <c r="U45" s="61">
        <v>68</v>
      </c>
    </row>
    <row r="46" spans="1:21">
      <c r="A46" s="37">
        <v>72</v>
      </c>
      <c r="B46" s="29">
        <v>1828.8</v>
      </c>
      <c r="C46" s="30"/>
      <c r="D46" s="44"/>
      <c r="E46" s="45"/>
      <c r="F46" s="45"/>
      <c r="G46" s="45"/>
      <c r="H46" s="45"/>
      <c r="I46" s="45"/>
      <c r="J46" s="45"/>
      <c r="K46" s="45"/>
      <c r="L46" s="45"/>
      <c r="M46" s="45"/>
      <c r="N46" s="45"/>
      <c r="O46" s="45"/>
      <c r="P46" s="45"/>
      <c r="Q46" s="45"/>
      <c r="R46" s="45"/>
      <c r="S46" s="45"/>
      <c r="T46" s="46"/>
      <c r="U46" s="61">
        <v>72</v>
      </c>
    </row>
    <row r="47" spans="1:21">
      <c r="A47" s="37">
        <v>76</v>
      </c>
      <c r="B47" s="29">
        <v>1930.4</v>
      </c>
      <c r="C47" s="30"/>
      <c r="D47" s="44"/>
      <c r="E47" s="45"/>
      <c r="F47" s="45"/>
      <c r="G47" s="45"/>
      <c r="H47" s="45"/>
      <c r="I47" s="45"/>
      <c r="J47" s="45"/>
      <c r="K47" s="45"/>
      <c r="L47" s="45"/>
      <c r="M47" s="45"/>
      <c r="N47" s="45"/>
      <c r="O47" s="45"/>
      <c r="P47" s="45"/>
      <c r="Q47" s="45"/>
      <c r="R47" s="45"/>
      <c r="S47" s="45"/>
      <c r="T47" s="46"/>
      <c r="U47" s="61">
        <v>76</v>
      </c>
    </row>
    <row r="48" spans="1:21" ht="15" thickBot="1">
      <c r="A48" s="47">
        <v>80</v>
      </c>
      <c r="B48" s="48">
        <v>2032</v>
      </c>
      <c r="C48" s="49"/>
      <c r="D48" s="50"/>
      <c r="E48" s="51"/>
      <c r="F48" s="51"/>
      <c r="G48" s="51"/>
      <c r="H48" s="51"/>
      <c r="I48" s="51"/>
      <c r="J48" s="51"/>
      <c r="K48" s="51"/>
      <c r="L48" s="51"/>
      <c r="M48" s="51"/>
      <c r="N48" s="51"/>
      <c r="O48" s="51"/>
      <c r="P48" s="51"/>
      <c r="Q48" s="51"/>
      <c r="R48" s="51"/>
      <c r="S48" s="51"/>
      <c r="T48" s="52"/>
      <c r="U48" s="61">
        <v>80</v>
      </c>
    </row>
  </sheetData>
  <mergeCells count="3">
    <mergeCell ref="D2:T2"/>
    <mergeCell ref="D3:T3"/>
    <mergeCell ref="D5:T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Notes</vt:lpstr>
      <vt:lpstr>Calculation</vt:lpstr>
      <vt:lpstr>Case 1</vt:lpstr>
      <vt:lpstr>Case 2</vt:lpstr>
      <vt:lpstr>Case 3</vt:lpstr>
      <vt:lpstr>Case 4</vt:lpstr>
      <vt:lpstr>Case 5</vt:lpstr>
      <vt:lpstr>Case 6</vt:lpstr>
      <vt:lpstr>Case 7</vt:lpstr>
      <vt:lpstr>Case 8</vt:lpstr>
      <vt:lpstr>Case 9</vt:lpstr>
      <vt:lpstr>Pipe Schedules</vt:lpstr>
      <vt:lpstr>Calculation!Print_Area</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Clive N Westwood</dc:creator>
  <cp:lastModifiedBy>Clive N Westwood</cp:lastModifiedBy>
  <cp:lastPrinted>2012-11-30T09:30:10Z</cp:lastPrinted>
  <dcterms:created xsi:type="dcterms:W3CDTF">2012-11-12T10:06:10Z</dcterms:created>
  <dcterms:modified xsi:type="dcterms:W3CDTF">2012-12-03T14:06:22Z</dcterms:modified>
</cp:coreProperties>
</file>